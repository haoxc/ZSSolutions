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2188" windowHeight="9180" tabRatio="758" activeTab="0"/>
  </bookViews>
  <sheets>
    <sheet name="投资汇总表" sheetId="2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<sst xmlns="http://schemas.openxmlformats.org/spreadsheetml/2006/main" count="226" uniqueCount="188">
  <si>
    <t>光储充电站投资预算汇总表</t>
  </si>
  <si>
    <t>单位：元</t>
  </si>
  <si>
    <t>序号</t>
  </si>
  <si>
    <t>分项</t>
  </si>
  <si>
    <t>合价</t>
  </si>
  <si>
    <t>光伏发电部分</t>
  </si>
  <si>
    <t>储能部分</t>
  </si>
  <si>
    <t>充电桩部分</t>
  </si>
  <si>
    <t>钢构及接地部分</t>
  </si>
  <si>
    <t>合计：</t>
  </si>
  <si>
    <t>主要设备投资预算表</t>
  </si>
  <si>
    <t>设备名称</t>
  </si>
  <si>
    <t>规格、型号</t>
  </si>
  <si>
    <t>单位</t>
  </si>
  <si>
    <t>数量</t>
  </si>
  <si>
    <t>材料单价</t>
  </si>
  <si>
    <t>材料合价</t>
  </si>
  <si>
    <t>安装单价</t>
  </si>
  <si>
    <t>安装合价</t>
  </si>
  <si>
    <t>单项合价</t>
  </si>
  <si>
    <t>备注</t>
  </si>
  <si>
    <t>一、光伏发电部分</t>
  </si>
  <si>
    <t>单晶光伏组件</t>
  </si>
  <si>
    <t>350W，多主栅PERC半片组件，1689*996*35,6*20，20.8%</t>
  </si>
  <si>
    <t>块</t>
  </si>
  <si>
    <t>光伏支架</t>
  </si>
  <si>
    <t>铝合金，含导轨、夹具、压块</t>
  </si>
  <si>
    <t>套</t>
  </si>
  <si>
    <t>逆变器</t>
  </si>
  <si>
    <t>EA25KTSI,组串式逆变器</t>
  </si>
  <si>
    <t>台</t>
  </si>
  <si>
    <t>光伏电缆</t>
  </si>
  <si>
    <t>PF-1*4mm</t>
  </si>
  <si>
    <t>米</t>
  </si>
  <si>
    <t>电力电缆</t>
  </si>
  <si>
    <t>ZR-YJV-0.6/1KV-4*25+1*16mm</t>
  </si>
  <si>
    <t>组串引出线接插件</t>
  </si>
  <si>
    <t>MC4</t>
  </si>
  <si>
    <t>并网柜</t>
  </si>
  <si>
    <t>50KW，详见图纸</t>
  </si>
  <si>
    <t>小计</t>
  </si>
  <si>
    <t>二、储能部分</t>
  </si>
  <si>
    <t>储能变流器</t>
  </si>
  <si>
    <t>EAPCS 50K</t>
  </si>
  <si>
    <t>磷酸铁锂电池</t>
  </si>
  <si>
    <t>3.2V/50Ah</t>
  </si>
  <si>
    <t>KWH</t>
  </si>
  <si>
    <t>电池柜</t>
  </si>
  <si>
    <t>535*670*2200，带直流开关</t>
  </si>
  <si>
    <t>电池连接线</t>
  </si>
  <si>
    <t>EMS能量管理系统</t>
  </si>
  <si>
    <t>定制 </t>
  </si>
  <si>
    <t>储能交流电缆</t>
  </si>
  <si>
    <t>ZR-YJV-0.6/1KV-4*25+1*16m</t>
  </si>
  <si>
    <t>三、充电桩部分</t>
  </si>
  <si>
    <t>充电桩</t>
  </si>
  <si>
    <t>7KVA，单枪，立式充电桩</t>
  </si>
  <si>
    <t>发卡机</t>
  </si>
  <si>
    <t>充电卡</t>
  </si>
  <si>
    <t>张</t>
  </si>
  <si>
    <t>1*10</t>
  </si>
  <si>
    <t>四、钢构及接地部分</t>
  </si>
  <si>
    <t>钢结构</t>
  </si>
  <si>
    <t>预估价，含梁、柱、屋面等材料</t>
  </si>
  <si>
    <t>平方米</t>
  </si>
  <si>
    <t>接地扁钢</t>
  </si>
  <si>
    <t>40*4 Q235B</t>
  </si>
  <si>
    <t>接地线</t>
  </si>
  <si>
    <t>φ16圆钢 L=1.5M</t>
  </si>
  <si>
    <t xml:space="preserve">                                                     年均发电量测算表 </t>
  </si>
  <si>
    <t>项目名称</t>
  </si>
  <si>
    <t>年平均</t>
  </si>
  <si>
    <t>合计</t>
  </si>
  <si>
    <t>第1年</t>
  </si>
  <si>
    <t>第2年</t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</si>
  <si>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</si>
  <si>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</si>
  <si>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</si>
  <si>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</si>
  <si>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</si>
  <si>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</si>
  <si>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</si>
  <si>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</si>
  <si>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第11年</t>
  </si>
  <si>
    <t>第12年</t>
  </si>
  <si>
    <t>第13年</t>
  </si>
  <si>
    <t>组件衰减后组件功率比率</t>
  </si>
  <si>
    <t>实际发电电量（万kwh）</t>
  </si>
  <si>
    <t>自发自用电量（万kwh）</t>
  </si>
  <si>
    <t>剩余上网电量（万kwh）</t>
  </si>
  <si>
    <t>发电收益（万元）</t>
  </si>
  <si>
    <t>第14年</t>
  </si>
  <si>
    <t>第15年</t>
  </si>
  <si>
    <t>第16年</t>
  </si>
  <si>
    <t>第17年</t>
  </si>
  <si>
    <t>第18年</t>
  </si>
  <si>
    <t>第19年</t>
  </si>
  <si>
    <t>第20年</t>
  </si>
  <si>
    <t>第21年</t>
  </si>
  <si>
    <t>第22年</t>
  </si>
  <si>
    <t>第23年</t>
  </si>
  <si>
    <t>第24年</t>
  </si>
  <si>
    <t>第25年</t>
  </si>
  <si>
    <t>光伏发电站测算表</t>
  </si>
  <si>
    <t>电站总功率</t>
  </si>
  <si>
    <t>W</t>
  </si>
  <si>
    <t>电池板面积：</t>
  </si>
  <si>
    <t>m2</t>
  </si>
  <si>
    <t>每片瓦数</t>
  </si>
  <si>
    <t>每组片数</t>
  </si>
  <si>
    <t>片</t>
  </si>
  <si>
    <t>每组瓦数</t>
  </si>
  <si>
    <t>共有组数</t>
  </si>
  <si>
    <t>组</t>
  </si>
  <si>
    <t xml:space="preserve">电池板数量： </t>
  </si>
  <si>
    <t>个</t>
  </si>
  <si>
    <t>单位面积年辐射</t>
  </si>
  <si>
    <t>kWh/m2</t>
  </si>
  <si>
    <t>单位面积年辐射量</t>
  </si>
  <si>
    <t>MJ/m2</t>
  </si>
  <si>
    <t>电池板总面积</t>
  </si>
  <si>
    <t>年电池板辐射量：</t>
  </si>
  <si>
    <t>kWh</t>
  </si>
  <si>
    <t>转换率：</t>
  </si>
  <si>
    <t>组件效率</t>
  </si>
  <si>
    <t>首年发电量不考虑衰减</t>
  </si>
  <si>
    <t>万kwh</t>
  </si>
  <si>
    <t>自用电比例</t>
  </si>
  <si>
    <t>自用电电价</t>
  </si>
  <si>
    <t>元/KWH</t>
  </si>
  <si>
    <t>上网电价</t>
  </si>
  <si>
    <t>光伏收益模型-成本项</t>
  </si>
  <si>
    <t>说明</t>
  </si>
  <si>
    <t>数值</t>
  </si>
  <si>
    <t>光伏电站综合单价</t>
  </si>
  <si>
    <t>仅计算光伏部分</t>
  </si>
  <si>
    <t>元/瓦</t>
  </si>
  <si>
    <t>装机容量</t>
  </si>
  <si>
    <t>瓦</t>
  </si>
  <si>
    <t>总投资</t>
  </si>
  <si>
    <t>元</t>
  </si>
  <si>
    <t>光伏电站年均发电量</t>
  </si>
  <si>
    <t>度</t>
  </si>
  <si>
    <t>年设备维护费</t>
  </si>
  <si>
    <t>总投资*3%</t>
  </si>
  <si>
    <t>年折旧费</t>
  </si>
  <si>
    <t>折旧年限25年</t>
  </si>
  <si>
    <t>年各类费用合计</t>
  </si>
  <si>
    <t>资金内部收益率</t>
  </si>
  <si>
    <t>项目总投资</t>
  </si>
  <si>
    <t xml:space="preserve"> IRR</t>
  </si>
  <si>
    <t>第一年净收益</t>
  </si>
  <si>
    <t>第二年净收益</t>
  </si>
  <si>
    <t>第三年净收益</t>
  </si>
  <si>
    <t>第四年净收益</t>
  </si>
  <si>
    <t>第五年净收益</t>
  </si>
  <si>
    <t>第六年净收益</t>
  </si>
  <si>
    <t>第七年净收益</t>
  </si>
  <si>
    <t>第八年净收益</t>
  </si>
  <si>
    <t>第九年净收益</t>
  </si>
  <si>
    <t>第十年净收益</t>
  </si>
  <si>
    <t>第十一年净收益</t>
  </si>
  <si>
    <t>第十二年净收益</t>
  </si>
  <si>
    <t>第十三年净收益</t>
  </si>
  <si>
    <t>第十四年净收益</t>
  </si>
  <si>
    <t>第十五年净收益</t>
  </si>
  <si>
    <t>第十六年净收益</t>
  </si>
  <si>
    <t>第十七年净收益</t>
  </si>
  <si>
    <t>第十八年净收益</t>
  </si>
  <si>
    <t>第十九年净收益</t>
  </si>
  <si>
    <t>第二十年净收益</t>
  </si>
  <si>
    <t>第二十一年净收益</t>
  </si>
  <si>
    <t>第二十二年净收益</t>
  </si>
  <si>
    <t>第二十三年净收益</t>
  </si>
  <si>
    <t>第二十四年净收益</t>
  </si>
  <si>
    <t>第二十五年净收益</t>
  </si>
  <si>
    <t>25年 IRR</t>
  </si>
  <si>
    <t>光伏电站年均减排表</t>
  </si>
  <si>
    <t>330g标注煤</t>
  </si>
  <si>
    <t>烟尘</t>
  </si>
  <si>
    <t>二氧化硫</t>
  </si>
  <si>
    <t>二氧化碳</t>
  </si>
  <si>
    <t>灰渣</t>
  </si>
  <si>
    <t>氮氧化物</t>
  </si>
  <si>
    <t>指标</t>
  </si>
  <si>
    <t>g/kWH</t>
  </si>
  <si>
    <t>年均减排量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</si>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</sst>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  <numFmt numFmtId="179" formatCode="0.00_);[Red]\(0.00\)"/>
  </numFmts>
  <fonts count="41"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b/>
      <sz val="16"/>
      <name val="仿宋"/>
      <family val="2"/>
      <charset val="134"/>
    </font>
    <font>
      <b/>
      <sz val="11"/>
      <color rgb="FFFF0000"/>
      <name val="宋体"/>
      <family val="2"/>
      <charset val="134"/>
      <scheme val="minor"/>
    </font>
    <font>
      <sz val="14"/>
      <name val="仿宋"/>
      <family val="2"/>
      <charset val="134"/>
    </font>
    <font>
      <b/>
      <sz val="16"/>
      <color theme="1"/>
      <name val="仿宋"/>
      <family val="2"/>
      <charset val="134"/>
    </font>
    <font>
      <b/>
      <sz val="14"/>
      <color theme="1"/>
      <name val="仿宋"/>
      <family val="2"/>
      <charset val="134"/>
    </font>
    <font>
      <sz val="14"/>
      <color theme="1"/>
      <name val="仿宋"/>
      <family val="2"/>
      <charset val="134"/>
    </font>
    <font>
      <b/>
      <sz val="14"/>
      <name val="仿宋"/>
      <family val="2"/>
      <charset val="134"/>
    </font>
    <font>
      <b/>
      <sz val="14"/>
      <color theme="1"/>
      <name val="宋体"/>
      <family val="2"/>
      <charset val="134"/>
      <scheme val="minor"/>
    </font>
    <font>
      <b/>
      <sz val="14"/>
      <name val="宋体"/>
      <family val="2"/>
      <charset val="134"/>
      <scheme val="major"/>
    </font>
    <font>
      <sz val="10"/>
      <name val="宋体"/>
      <family val="2"/>
      <charset val="134"/>
      <scheme val="major"/>
    </font>
    <font>
      <sz val="12"/>
      <color theme="1"/>
      <name val="宋体"/>
      <family val="2"/>
      <charset val="134"/>
      <scheme val="major"/>
    </font>
    <font>
      <b/>
      <sz val="12"/>
      <color theme="1"/>
      <name val="宋体"/>
      <family val="2"/>
      <charset val="134"/>
      <scheme val="major"/>
    </font>
    <font>
      <sz val="12"/>
      <name val="宋体"/>
      <family val="2"/>
      <charset val="134"/>
      <scheme val="major"/>
    </font>
    <font>
      <sz val="11"/>
      <color theme="1"/>
      <name val="宋体"/>
      <family val="2"/>
      <charset val="134"/>
      <scheme val="major"/>
    </font>
    <font>
      <b/>
      <sz val="18"/>
      <color theme="1"/>
      <name val="仿宋"/>
      <family val="2"/>
      <charset val="134"/>
    </font>
    <font>
      <sz val="14"/>
      <color rgb="FF333333"/>
      <name val="仿宋"/>
      <family val="2"/>
      <charset val="134"/>
    </font>
    <font>
      <b/>
      <sz val="12"/>
      <color theme="1"/>
      <name val="仿宋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4"/>
      <color rgb="FF000000"/>
      <name val="仿宋"/>
      <family val="2"/>
    </font>
    <font>
      <b/>
      <sz val="16"/>
      <color rgb="FF000000"/>
      <name val="仿宋"/>
      <family val="2"/>
    </font>
    <font>
      <sz val="11"/>
      <color rgb="FF000000"/>
      <name val="宋体"/>
      <family val="2"/>
      <charset val="134"/>
    </font>
    <font>
      <b/>
      <sz val="11"/>
      <color rgb="FFFF0000"/>
      <name val="宋体"/>
      <family val="2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00000005960464"/>
        <bgColor indexed="64"/>
      </patternFill>
    </fill>
    <fill>
      <patternFill patternType="solid">
        <fgColor theme="4" tint="0.4000000059604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10002946854"/>
        <bgColor indexed="64"/>
      </patternFill>
    </fill>
    <fill>
      <patternFill patternType="solid">
        <fgColor theme="0" tint="-0.249950006604195"/>
        <bgColor indexed="64"/>
      </patternFill>
    </fill>
    <fill>
      <patternFill patternType="solid">
        <fgColor theme="0" tint="-0.149910002946854"/>
        <bgColor indexed="64"/>
      </patternFill>
    </fill>
    <fill>
      <patternFill patternType="solid">
        <fgColor theme="7" tint="0.800000011920929"/>
        <bgColor indexed="64"/>
      </patternFill>
    </fill>
    <fill>
      <patternFill patternType="solid">
        <fgColor theme="7" tint="0.400000005960464"/>
        <bgColor indexed="64"/>
      </patternFill>
    </fill>
    <fill>
      <patternFill patternType="solid">
        <fgColor theme="5" tint="0.600000023841858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</borders>
  <cellStyleXfs count="6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19" fillId="0" borderId="0" applyNumberFormat="0" applyFill="0" applyBorder="0" applyProtection="0">
      <alignment/>
    </xf>
    <xf numFmtId="0" fontId="20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21" fillId="0" borderId="0" applyNumberFormat="0" applyFill="0" applyBorder="0" applyProtection="0">
      <alignment/>
    </xf>
    <xf numFmtId="0" fontId="22" fillId="0" borderId="0" applyNumberFormat="0" applyFill="0" applyBorder="0" applyProtection="0">
      <alignment/>
    </xf>
    <xf numFmtId="0" fontId="23" fillId="0" borderId="0" applyNumberFormat="0" applyFill="0" applyBorder="0" applyProtection="0">
      <alignment/>
    </xf>
    <xf numFmtId="0" fontId="24" fillId="0" borderId="2" applyNumberFormat="0" applyFill="0" applyProtection="0">
      <alignment/>
    </xf>
    <xf numFmtId="0" fontId="25" fillId="0" borderId="2" applyNumberFormat="0" applyFill="0" applyProtection="0">
      <alignment/>
    </xf>
    <xf numFmtId="0" fontId="26" fillId="0" borderId="3" applyNumberFormat="0" applyFill="0" applyProtection="0">
      <alignment/>
    </xf>
    <xf numFmtId="0" fontId="26" fillId="0" borderId="0" applyNumberFormat="0" applyFill="0" applyBorder="0" applyProtection="0">
      <alignment/>
    </xf>
    <xf numFmtId="0" fontId="27" fillId="3" borderId="4" applyNumberFormat="0" applyProtection="0">
      <alignment/>
    </xf>
    <xf numFmtId="0" fontId="28" fillId="4" borderId="5" applyNumberFormat="0" applyProtection="0">
      <alignment/>
    </xf>
    <xf numFmtId="0" fontId="29" fillId="4" borderId="4" applyNumberFormat="0" applyProtection="0">
      <alignment/>
    </xf>
    <xf numFmtId="0" fontId="30" fillId="5" borderId="6" applyNumberFormat="0" applyProtection="0">
      <alignment/>
    </xf>
    <xf numFmtId="0" fontId="31" fillId="0" borderId="7" applyNumberFormat="0" applyFill="0" applyProtection="0">
      <alignment/>
    </xf>
    <xf numFmtId="0" fontId="32" fillId="0" borderId="8" applyNumberFormat="0" applyFill="0" applyProtection="0">
      <alignment/>
    </xf>
    <xf numFmtId="0" fontId="33" fillId="6" borderId="0" applyNumberFormat="0" applyBorder="0" applyProtection="0">
      <alignment/>
    </xf>
    <xf numFmtId="0" fontId="34" fillId="7" borderId="0" applyNumberFormat="0" applyBorder="0" applyProtection="0">
      <alignment/>
    </xf>
    <xf numFmtId="0" fontId="35" fillId="8" borderId="0" applyNumberFormat="0" applyBorder="0" applyProtection="0">
      <alignment/>
    </xf>
    <xf numFmtId="0" fontId="36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36" fillId="12" borderId="0" applyNumberFormat="0" applyBorder="0" applyProtection="0">
      <alignment/>
    </xf>
    <xf numFmtId="0" fontId="36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36" fillId="16" borderId="0" applyNumberFormat="0" applyBorder="0" applyProtection="0">
      <alignment/>
    </xf>
    <xf numFmtId="0" fontId="36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36" fillId="20" borderId="0" applyNumberFormat="0" applyBorder="0" applyProtection="0">
      <alignment/>
    </xf>
    <xf numFmtId="0" fontId="36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36" fillId="24" borderId="0" applyNumberFormat="0" applyBorder="0" applyProtection="0">
      <alignment/>
    </xf>
    <xf numFmtId="0" fontId="36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36" fillId="28" borderId="0" applyNumberFormat="0" applyBorder="0" applyProtection="0">
      <alignment/>
    </xf>
    <xf numFmtId="0" fontId="36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36" fillId="32" borderId="0" applyNumberFormat="0" applyBorder="0" applyProtection="0">
      <alignment/>
    </xf>
  </cellStyleXfs>
  <cellXfs count="116"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/>
    </xf>
    <xf numFmtId="0" fontId="0" fillId="0" borderId="0" xfId="0" applyAlignment="1" applyProtection="1">
      <alignment horizontal="center" vertical="center"/>
      <protection/>
    </xf>
    <xf numFmtId="0" fontId="4" fillId="0" borderId="10" xfId="0" applyFont="1" applyFill="1" applyBorder="1" applyAlignment="1" applyProtection="1">
      <alignment horizontal="right" vertical="center" wrapText="1"/>
      <protection locked="0"/>
    </xf>
    <xf numFmtId="0" fontId="4" fillId="0" borderId="11" xfId="0" applyFont="1" applyFill="1" applyBorder="1" applyAlignment="1" applyProtection="1">
      <alignment horizontal="right" vertical="center" wrapText="1"/>
      <protection locked="0"/>
    </xf>
    <xf numFmtId="0" fontId="4" fillId="0" borderId="12" xfId="0" applyFont="1" applyFill="1" applyBorder="1" applyAlignment="1" applyProtection="1">
      <alignment horizontal="right" vertical="center" wrapText="1"/>
      <protection locked="0"/>
    </xf>
    <xf numFmtId="0" fontId="2" fillId="0" borderId="0" xfId="0" applyFont="1" applyFill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Fill="1" applyBorder="1" applyAlignment="1" applyProtection="1">
      <alignment horizontal="left" vertical="center" wrapText="1"/>
      <protection locked="0"/>
    </xf>
    <xf numFmtId="176" fontId="4" fillId="33" borderId="9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34" borderId="9" xfId="0" applyFont="1" applyFill="1" applyBorder="1" applyAlignment="1" applyProtection="1">
      <alignment horizontal="center" vertical="center"/>
      <protection locked="0"/>
    </xf>
    <xf numFmtId="176" fontId="6" fillId="35" borderId="9" xfId="0" applyNumberFormat="1" applyFont="1" applyFill="1" applyBorder="1" applyAlignment="1" applyProtection="1">
      <alignment horizontal="center" vertical="center"/>
      <protection locked="0"/>
    </xf>
    <xf numFmtId="176" fontId="6" fillId="36" borderId="9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left" vertical="center"/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6" fillId="0" borderId="9" xfId="0" applyFont="1" applyFill="1" applyBorder="1" applyAlignment="1" applyProtection="1">
      <alignment vertical="center"/>
      <protection locked="0"/>
    </xf>
    <xf numFmtId="176" fontId="6" fillId="0" borderId="9" xfId="0" applyNumberFormat="1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34" borderId="9" xfId="0" applyFont="1" applyFill="1" applyBorder="1" applyAlignment="1" applyProtection="1">
      <alignment horizontal="center" vertical="center"/>
      <protection locked="0"/>
    </xf>
    <xf numFmtId="176" fontId="7" fillId="35" borderId="9" xfId="0" applyNumberFormat="1" applyFont="1" applyFill="1" applyBorder="1" applyAlignment="1" applyProtection="1">
      <alignment horizontal="center" vertical="center"/>
      <protection locked="0"/>
    </xf>
    <xf numFmtId="176" fontId="7" fillId="36" borderId="9" xfId="0" applyNumberFormat="1" applyFont="1" applyFill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176" fontId="7" fillId="0" borderId="9" xfId="0" applyNumberFormat="1" applyFont="1" applyFill="1" applyBorder="1" applyAlignment="1" applyProtection="1">
      <alignment horizontal="center" vertical="center"/>
      <protection locked="0"/>
    </xf>
    <xf numFmtId="0" fontId="8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34" borderId="9" xfId="0" applyFont="1" applyFill="1" applyBorder="1" applyAlignment="1" applyProtection="1">
      <alignment horizontal="center" vertical="center" wrapText="1"/>
      <protection locked="0"/>
    </xf>
    <xf numFmtId="176" fontId="6" fillId="35" borderId="9" xfId="0" applyNumberFormat="1" applyFont="1" applyFill="1" applyBorder="1" applyAlignment="1" applyProtection="1">
      <alignment horizontal="center" vertical="center" wrapText="1"/>
      <protection locked="0"/>
    </xf>
    <xf numFmtId="176" fontId="6" fillId="36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6" fillId="0" borderId="9" xfId="0" applyFont="1" applyFill="1" applyBorder="1" applyAlignment="1" applyProtection="1">
      <alignment vertical="center" wrapText="1"/>
      <protection locked="0"/>
    </xf>
    <xf numFmtId="176" fontId="6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7" fillId="34" borderId="9" xfId="0" applyFont="1" applyFill="1" applyBorder="1" applyAlignment="1" applyProtection="1">
      <alignment horizontal="center" vertical="center" wrapText="1"/>
      <protection locked="0"/>
    </xf>
    <xf numFmtId="176" fontId="7" fillId="35" borderId="9" xfId="0" applyNumberFormat="1" applyFont="1" applyFill="1" applyBorder="1" applyAlignment="1" applyProtection="1">
      <alignment horizontal="center" vertical="center" wrapText="1"/>
      <protection locked="0"/>
    </xf>
    <xf numFmtId="176" fontId="7" fillId="36" borderId="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9" fillId="34" borderId="9" xfId="0" applyFont="1" applyFill="1" applyBorder="1" applyAlignment="1" applyProtection="1">
      <alignment horizontal="center" vertical="center"/>
      <protection locked="0"/>
    </xf>
    <xf numFmtId="176" fontId="9" fillId="35" borderId="9" xfId="0" applyNumberFormat="1" applyFont="1" applyFill="1" applyBorder="1" applyAlignment="1" applyProtection="1">
      <alignment horizontal="center" vertical="center"/>
      <protection locked="0"/>
    </xf>
    <xf numFmtId="176" fontId="9" fillId="36" borderId="9" xfId="0" applyNumberFormat="1" applyFont="1" applyFill="1" applyBorder="1" applyAlignment="1" applyProtection="1">
      <alignment horizontal="center" vertical="center"/>
      <protection locked="0"/>
    </xf>
    <xf numFmtId="0" fontId="10" fillId="37" borderId="0" xfId="0" applyFont="1" applyFill="1" applyBorder="1" applyAlignment="1" applyProtection="1">
      <alignment horizontal="left" vertical="center"/>
      <protection locked="0"/>
    </xf>
    <xf numFmtId="0" fontId="11" fillId="38" borderId="9" xfId="0" applyFont="1" applyFill="1" applyBorder="1" applyAlignment="1" applyProtection="1">
      <alignment horizontal="center" vertical="center"/>
      <protection locked="0"/>
    </xf>
    <xf numFmtId="0" fontId="11" fillId="38" borderId="9" xfId="0" applyFont="1" applyFill="1" applyBorder="1" applyAlignment="1" applyProtection="1">
      <alignment horizontal="center" vertical="center" shrinkToFit="1"/>
      <protection locked="0"/>
    </xf>
    <xf numFmtId="0" fontId="11" fillId="39" borderId="9" xfId="0" applyFont="1" applyFill="1" applyBorder="1" applyAlignment="1" applyProtection="1">
      <alignment horizontal="center" vertical="center"/>
      <protection locked="0"/>
    </xf>
    <xf numFmtId="10" fontId="11" fillId="40" borderId="9" xfId="0" applyNumberFormat="1" applyFont="1" applyFill="1" applyBorder="1" applyAlignment="1" applyProtection="1">
      <alignment vertical="center" shrinkToFit="1"/>
      <protection locked="0"/>
    </xf>
    <xf numFmtId="10" fontId="11" fillId="37" borderId="9" xfId="0" applyNumberFormat="1" applyFont="1" applyFill="1" applyBorder="1" applyAlignment="1" applyProtection="1">
      <alignment vertical="center" shrinkToFit="1"/>
      <protection locked="0"/>
    </xf>
    <xf numFmtId="177" fontId="11" fillId="40" borderId="9" xfId="0" applyNumberFormat="1" applyFont="1" applyFill="1" applyBorder="1" applyAlignment="1" applyProtection="1">
      <alignment vertical="center" shrinkToFit="1"/>
      <protection locked="0"/>
    </xf>
    <xf numFmtId="177" fontId="11" fillId="41" borderId="9" xfId="0" applyNumberFormat="1" applyFont="1" applyFill="1" applyBorder="1" applyAlignment="1" applyProtection="1">
      <alignment vertical="center" shrinkToFit="1"/>
      <protection locked="0"/>
    </xf>
    <xf numFmtId="0" fontId="11" fillId="37" borderId="0" xfId="0" applyFont="1" applyFill="1" applyBorder="1" applyAlignment="1" applyProtection="1">
      <alignment horizontal="center" vertical="center"/>
      <protection locked="0"/>
    </xf>
    <xf numFmtId="178" fontId="11" fillId="37" borderId="0" xfId="0" applyNumberFormat="1" applyFont="1" applyFill="1" applyBorder="1" applyAlignment="1" applyProtection="1">
      <alignment vertical="center" shrinkToFit="1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77" fontId="11" fillId="0" borderId="0" xfId="0" applyNumberFormat="1" applyFont="1" applyFill="1" applyBorder="1" applyAlignment="1" applyProtection="1">
      <alignment vertical="center" shrinkToFit="1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12" fillId="0" borderId="9" xfId="0" applyFont="1" applyFill="1" applyBorder="1" applyAlignment="1" applyProtection="1">
      <alignment vertical="center"/>
      <protection locked="0"/>
    </xf>
    <xf numFmtId="0" fontId="13" fillId="33" borderId="9" xfId="0" applyFont="1" applyFill="1" applyBorder="1" applyAlignment="1" applyProtection="1">
      <alignment vertical="center"/>
      <protection locked="0"/>
    </xf>
    <xf numFmtId="0" fontId="12" fillId="33" borderId="9" xfId="0" applyFont="1" applyFill="1" applyBorder="1" applyAlignment="1" applyProtection="1">
      <alignment vertical="center"/>
      <protection locked="0"/>
    </xf>
    <xf numFmtId="177" fontId="12" fillId="0" borderId="9" xfId="0" applyNumberFormat="1" applyFont="1" applyFill="1" applyBorder="1" applyAlignment="1" applyProtection="1">
      <alignment vertical="center"/>
      <protection locked="0"/>
    </xf>
    <xf numFmtId="0" fontId="5" fillId="0" borderId="12" xfId="0" applyFont="1" applyFill="1" applyBorder="1" applyAlignment="1" applyProtection="1">
      <alignment horizontal="center" vertical="center"/>
      <protection locked="0"/>
    </xf>
    <xf numFmtId="176" fontId="6" fillId="42" borderId="9" xfId="0" applyNumberFormat="1" applyFont="1" applyFill="1" applyBorder="1" applyAlignment="1" applyProtection="1">
      <alignment horizontal="center" vertical="center"/>
      <protection locked="0"/>
    </xf>
    <xf numFmtId="176" fontId="7" fillId="42" borderId="9" xfId="0" applyNumberFormat="1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vertical="center" wrapText="1"/>
      <protection locked="0"/>
    </xf>
    <xf numFmtId="176" fontId="11" fillId="40" borderId="9" xfId="0" applyNumberFormat="1" applyFont="1" applyFill="1" applyBorder="1" applyAlignment="1" applyProtection="1">
      <alignment vertical="center" shrinkToFit="1"/>
      <protection locked="0"/>
    </xf>
    <xf numFmtId="176" fontId="11" fillId="0" borderId="0" xfId="0" applyNumberFormat="1" applyFont="1" applyFill="1" applyBorder="1" applyAlignment="1" applyProtection="1">
      <alignment vertical="center" shrinkToFit="1"/>
      <protection locked="0"/>
    </xf>
    <xf numFmtId="0" fontId="14" fillId="37" borderId="0" xfId="0" applyFont="1" applyFill="1" applyBorder="1" applyAlignment="1" applyProtection="1">
      <alignment vertical="center" shrinkToFit="1"/>
      <protection locked="0"/>
    </xf>
    <xf numFmtId="178" fontId="12" fillId="0" borderId="9" xfId="0" applyNumberFormat="1" applyFont="1" applyFill="1" applyBorder="1" applyAlignment="1" applyProtection="1">
      <alignment vertical="center"/>
      <protection locked="0"/>
    </xf>
    <xf numFmtId="179" fontId="13" fillId="0" borderId="9" xfId="0" applyNumberFormat="1" applyFont="1" applyFill="1" applyBorder="1" applyAlignment="1" applyProtection="1">
      <alignment vertical="center"/>
      <protection locked="0"/>
    </xf>
    <xf numFmtId="0" fontId="15" fillId="0" borderId="9" xfId="0" applyFont="1" applyFill="1" applyBorder="1" applyAlignment="1" applyProtection="1">
      <alignment vertical="center"/>
      <protection locked="0"/>
    </xf>
    <xf numFmtId="179" fontId="15" fillId="0" borderId="9" xfId="0" applyNumberFormat="1" applyFont="1" applyFill="1" applyBorder="1" applyAlignment="1" applyProtection="1">
      <alignment vertical="center"/>
      <protection locked="0"/>
    </xf>
    <xf numFmtId="179" fontId="12" fillId="0" borderId="9" xfId="0" applyNumberFormat="1" applyFont="1" applyFill="1" applyBorder="1" applyAlignment="1" applyProtection="1">
      <alignment vertical="center"/>
      <protection locked="0"/>
    </xf>
    <xf numFmtId="10" fontId="12" fillId="33" borderId="9" xfId="0" applyNumberFormat="1" applyFont="1" applyFill="1" applyBorder="1" applyAlignment="1" applyProtection="1">
      <alignment vertical="center"/>
      <protection locked="0"/>
    </xf>
    <xf numFmtId="9" fontId="15" fillId="33" borderId="9" xfId="22" applyNumberFormat="1" applyFont="1" applyFill="1" applyBorder="1" applyAlignment="1" applyProtection="1">
      <alignment vertical="center"/>
      <protection locked="0"/>
    </xf>
    <xf numFmtId="179" fontId="15" fillId="0" borderId="9" xfId="22" applyNumberFormat="1" applyFont="1" applyFill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177" fontId="7" fillId="33" borderId="9" xfId="0" applyNumberFormat="1" applyFont="1" applyFill="1" applyBorder="1" applyAlignment="1" applyProtection="1">
      <alignment horizontal="center"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177" fontId="7" fillId="43" borderId="9" xfId="0" applyNumberFormat="1" applyFont="1" applyFill="1" applyBorder="1" applyAlignment="1" applyProtection="1">
      <alignment horizontal="center" vertical="center"/>
      <protection locked="0"/>
    </xf>
    <xf numFmtId="176" fontId="7" fillId="0" borderId="9" xfId="0" applyNumberFormat="1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10" fontId="18" fillId="0" borderId="9" xfId="0" applyNumberFormat="1" applyFont="1" applyBorder="1" applyAlignment="1" applyProtection="1">
      <alignment horizontal="center" vertical="center"/>
      <protection locked="0"/>
    </xf>
    <xf numFmtId="10" fontId="6" fillId="0" borderId="9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2" fillId="0" borderId="9" xfId="0" applyFont="1" applyFill="1" applyBorder="1" applyAlignment="1" applyProtection="1">
      <alignment vertical="center"/>
      <protection locked="0"/>
    </xf>
    <xf numFmtId="0" fontId="12" fillId="36" borderId="9" xfId="0" applyFont="1" applyFill="1" applyBorder="1" applyAlignment="1" applyProtection="1">
      <alignment vertical="center"/>
      <protection locked="0"/>
    </xf>
    <xf numFmtId="0" fontId="14" fillId="36" borderId="9" xfId="0" applyFont="1" applyFill="1" applyBorder="1" applyAlignment="1" applyProtection="1">
      <alignment vertical="center" shrinkToFit="1"/>
      <protection locked="0"/>
    </xf>
    <xf numFmtId="0" fontId="13" fillId="0" borderId="9" xfId="0" applyFont="1" applyFill="1" applyBorder="1" applyAlignment="1" applyProtection="1">
      <alignment vertical="center"/>
      <protection locked="0"/>
    </xf>
    <xf numFmtId="0" fontId="14" fillId="0" borderId="9" xfId="0" applyFont="1" applyFill="1" applyBorder="1" applyAlignment="1" applyProtection="1">
      <alignment vertical="center" shrinkToFit="1"/>
      <protection locked="0"/>
    </xf>
    <xf numFmtId="177" fontId="13" fillId="0" borderId="9" xfId="0" applyNumberFormat="1" applyFont="1" applyFill="1" applyBorder="1" applyAlignment="1" applyProtection="1">
      <alignment vertical="center"/>
      <protection locked="0"/>
    </xf>
    <xf numFmtId="0" fontId="38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0" xfId="0" applyNumberFormat="1" applyFont="1" applyFill="1" applyBorder="1" applyAlignment="1" applyProtection="1">
      <alignment vertical="center" wrapText="1"/>
      <protection locked="0"/>
    </xf>
    <xf numFmtId="0" fontId="40" fillId="0" borderId="0" xfId="0" applyNumberFormat="1" applyFont="1" applyFill="1" applyBorder="1" applyAlignment="1" applyProtection="1">
      <alignment horizontal="center" vertical="center" wrapText="1"/>
      <protection/>
    </xf>
    <xf numFmtId="0" fontId="39" fillId="0" borderId="0" xfId="0" applyNumberFormat="1" applyFont="1" applyFill="1" applyBorder="1" applyAlignment="1" applyProtection="1">
      <alignment horizontal="center" vertical="center"/>
      <protection/>
    </xf>
    <xf numFmtId="0" fontId="37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37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37" fillId="0" borderId="12" xfId="0" applyNumberFormat="1" applyFont="1" applyFill="1" applyBorder="1" applyAlignment="1" applyProtection="1">
      <alignment horizontal="right" vertical="center" wrapText="1"/>
      <protection locked="0"/>
    </xf>
    <xf numFmtId="0" fontId="38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9" xfId="0" applyNumberFormat="1" applyFont="1" applyFill="1" applyBorder="1" applyAlignment="1" applyProtection="1">
      <alignment horizontal="left" vertical="center" wrapText="1"/>
      <protection locked="0"/>
    </xf>
    <xf numFmtId="176" fontId="37" fillId="33" borderId="9" xfId="0" applyNumberFormat="1" applyFont="1" applyFill="1" applyBorder="1" applyAlignment="1" applyProtection="1">
      <alignment horizontal="center" vertical="center" wrapText="1"/>
      <protection locked="0"/>
    </xf>
  </cellXfs>
  <cellStyles count="5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千位分隔" xfId="20" builtinId="3"/>
    <cellStyle name="货币" xfId="21" builtinId="4"/>
    <cellStyle name="百分比" xfId="22" builtinId="5"/>
    <cellStyle name="千位分隔[0]" xfId="23" builtinId="6"/>
    <cellStyle name="货币[0]" xfId="24" builtinId="7"/>
    <cellStyle name="超链接" xfId="25" builtinId="8"/>
    <cellStyle name="已访问的超链接" xfId="26" builtinId="9"/>
    <cellStyle name="注释" xfId="27" builtinId="10"/>
    <cellStyle name="警告文本" xfId="28" builtinId="11"/>
    <cellStyle name="标题" xfId="29" builtinId="15"/>
    <cellStyle name="解释性文本" xfId="30" builtinId="53"/>
    <cellStyle name="标题 1" xfId="31" builtinId="16"/>
    <cellStyle name="标题 2" xfId="32" builtinId="17"/>
    <cellStyle name="标题 3" xfId="33" builtinId="18"/>
    <cellStyle name="标题 4" xfId="34" builtinId="19"/>
    <cellStyle name="输入" xfId="35" builtinId="20"/>
    <cellStyle name="输出" xfId="36" builtinId="21"/>
    <cellStyle name="计算" xfId="37" builtinId="22"/>
    <cellStyle name="检查单元格" xfId="38" builtinId="23"/>
    <cellStyle name="链接单元格" xfId="39" builtinId="24"/>
    <cellStyle name="汇总" xfId="40" builtinId="25"/>
    <cellStyle name="好" xfId="41" builtinId="26"/>
    <cellStyle name="差" xfId="42" builtinId="27"/>
    <cellStyle name="适中" xfId="43" builtinId="28"/>
    <cellStyle name="强调文字颜色 1" xfId="44" builtinId="29"/>
    <cellStyle name="20% - 强调文字颜色 1" xfId="45" builtinId="30"/>
    <cellStyle name="40% - 强调文字颜色 1" xfId="46" builtinId="31"/>
    <cellStyle name="60% - 强调文字颜色 1" xfId="47" builtinId="32"/>
    <cellStyle name="强调文字颜色 2" xfId="48" builtinId="33"/>
    <cellStyle name="20% - 强调文字颜色 2" xfId="49" builtinId="34"/>
    <cellStyle name="40% - 强调文字颜色 2" xfId="50" builtinId="35"/>
    <cellStyle name="60% - 强调文字颜色 2" xfId="51" builtinId="36"/>
    <cellStyle name="强调文字颜色 3" xfId="52" builtinId="37"/>
    <cellStyle name="20% - 强调文字颜色 3" xfId="53" builtinId="38"/>
    <cellStyle name="40% - 强调文字颜色 3" xfId="54" builtinId="39"/>
    <cellStyle name="60% - 强调文字颜色 3" xfId="55" builtinId="40"/>
    <cellStyle name="强调文字颜色 4" xfId="56" builtinId="41"/>
    <cellStyle name="20% - 强调文字颜色 4" xfId="57" builtinId="42"/>
    <cellStyle name="40% - 强调文字颜色 4" xfId="58" builtinId="43"/>
    <cellStyle name="60% - 强调文字颜色 4" xfId="59" builtinId="44"/>
    <cellStyle name="强调文字颜色 5" xfId="60" builtinId="45"/>
    <cellStyle name="20% - 强调文字颜色 5" xfId="61" builtinId="46"/>
    <cellStyle name="40% - 强调文字颜色 5" xfId="62" builtinId="47"/>
    <cellStyle name="60% - 强调文字颜色 5" xfId="63" builtinId="48"/>
    <cellStyle name="强调文字颜色 6" xfId="64" builtinId="49"/>
    <cellStyle name="20% - 强调文字颜色 6" xfId="65" builtinId="50"/>
    <cellStyle name="40% - 强调文字颜色 6" xfId="66" builtinId="51"/>
    <cellStyle name="60% - 强调文字颜色 6" xfId="67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calcChain" Target="calcChain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etc="http://www.wps.cn/officeDocument/2017/etCustomData" mc:Ignorable="x14ac xr xr2 xr3" xr:uid="{00000000-0001-0000-0000-000000000000}">
  <dimension ref="A1:P127"/>
  <sheetViews>
    <sheetView tabSelected="1" workbookViewId="0" topLeftCell="A1">
      <selection pane="topLeft" activeCell="F5" sqref="F5"/>
    </sheetView>
  </sheetViews>
  <sheetFormatPr defaultColWidth="9.005" defaultRowHeight="14.4"/>
  <cols>
    <col min="1" max="1" width="25.625" style="1" customWidth="1"/>
    <col min="2" max="2" width="28.75" style="1" customWidth="1"/>
    <col min="3" max="3" width="21.625" style="1" customWidth="1"/>
    <col min="4" max="4" width="15.625" style="1" customWidth="1"/>
    <col min="5" max="5" width="13.5" style="1" customWidth="1"/>
    <col min="6" max="6" width="14.125" style="1" customWidth="1"/>
    <col min="7" max="8" width="13.5" style="1" customWidth="1"/>
    <col min="9" max="9" width="15.5" style="1" customWidth="1"/>
    <col min="10" max="16" width="7.625" style="1" customWidth="1"/>
    <col min="17" max="16384" width="9" style="1"/>
  </cols>
  <sheetData>
    <row r="1" spans="1:12" ht="20.25" customHeight="1">
      <c r="A1" s="105" t="s">
        <v>0</v>
      </c>
      <c r="B1" s="105"/>
      <c r="C1" s="105"/>
      <c r="D1" s="106"/>
      <c r="F1" s="107"/>
      <c r="G1" s="108"/>
      <c r="H1" s="108"/>
      <c r="I1" s="108"/>
      <c r="J1" s="108"/>
      <c r="K1" s="108"/>
      <c r="L1" s="108"/>
    </row>
    <row r="2" spans="1:12" ht="20.25" customHeight="1">
      <c r="A2" s="109" t="s">
        <v>1</v>
      </c>
      <c r="B2" s="110"/>
      <c r="C2" s="111"/>
      <c r="D2" s="112"/>
      <c r="F2" s="108"/>
      <c r="G2" s="108"/>
      <c r="H2" s="108"/>
      <c r="I2" s="108"/>
      <c r="J2" s="108"/>
      <c r="K2" s="108"/>
      <c r="L2" s="108"/>
    </row>
    <row r="3" spans="1:12" ht="17.25" customHeight="1">
      <c r="A3" s="113" t="s">
        <v>2</v>
      </c>
      <c r="B3" s="113" t="s">
        <v>3</v>
      </c>
      <c r="C3" s="113" t="s">
        <v>4</v>
      </c>
      <c r="F3" s="108"/>
      <c r="G3" s="108"/>
      <c r="H3" s="108"/>
      <c r="I3" s="108"/>
      <c r="J3" s="108"/>
      <c r="K3" s="108"/>
      <c r="L3" s="108"/>
    </row>
    <row r="4" spans="1:12" ht="17.25" customHeight="1">
      <c r="A4" s="113">
        <v>1</v>
      </c>
      <c r="B4" s="114" t="s">
        <v>5</v>
      </c>
      <c r="C4" s="115">
        <f>投资汇总表!I20</f>
        <v>149910</v>
      </c>
      <c r="F4" s="108"/>
      <c r="G4" s="108"/>
      <c r="H4" s="108"/>
      <c r="I4" s="108"/>
      <c r="J4" s="108"/>
      <c r="K4" s="108"/>
      <c r="L4" s="108"/>
    </row>
    <row r="5" spans="1:3" ht="17.4">
      <c r="A5" s="10">
        <v>2</v>
      </c>
      <c r="B5" s="11" t="s">
        <v>6</v>
      </c>
      <c r="C5" s="12">
        <f>投资汇总表!I28</f>
        <v>150737</v>
      </c>
    </row>
    <row r="6" spans="1:3" ht="17.4">
      <c r="A6" s="10">
        <v>3</v>
      </c>
      <c r="B6" s="11" t="s">
        <v>7</v>
      </c>
      <c r="C6" s="12">
        <f>投资汇总表!I34</f>
        <v>4131.20</v>
      </c>
    </row>
    <row r="7" spans="1:3" ht="17.4">
      <c r="A7" s="10">
        <v>4</v>
      </c>
      <c r="B7" s="11" t="s">
        <v>8</v>
      </c>
      <c r="C7" s="12">
        <f>投资汇总表!I39</f>
        <v>270160</v>
      </c>
    </row>
    <row r="8" spans="1:3" ht="17.4">
      <c r="A8" s="10" t="s">
        <v>9</v>
      </c>
      <c r="B8" s="10"/>
      <c r="C8" s="12">
        <f>SUM(C4:C7)</f>
        <v>574938.19999999995</v>
      </c>
    </row>
    <row r="10" spans="1:10" ht="20.4">
      <c r="A10" s="13" t="s">
        <v>10</v>
      </c>
      <c r="B10" s="14"/>
      <c r="C10" s="14"/>
      <c r="D10" s="14"/>
      <c r="E10" s="14"/>
      <c r="F10" s="14"/>
      <c r="G10" s="14"/>
      <c r="H10" s="14"/>
      <c r="I10" s="14"/>
      <c r="J10" s="70"/>
    </row>
    <row r="11" spans="1:10" ht="17.4">
      <c r="A11" s="15" t="s">
        <v>11</v>
      </c>
      <c r="B11" s="16" t="s">
        <v>12</v>
      </c>
      <c r="C11" s="15" t="s">
        <v>13</v>
      </c>
      <c r="D11" s="17" t="s">
        <v>14</v>
      </c>
      <c r="E11" s="18" t="s">
        <v>15</v>
      </c>
      <c r="F11" s="18" t="s">
        <v>16</v>
      </c>
      <c r="G11" s="19" t="s">
        <v>17</v>
      </c>
      <c r="H11" s="19" t="s">
        <v>18</v>
      </c>
      <c r="I11" s="71" t="s">
        <v>19</v>
      </c>
      <c r="J11" s="15" t="s">
        <v>20</v>
      </c>
    </row>
    <row r="12" spans="1:10" ht="17.4">
      <c r="A12" s="20" t="s">
        <v>21</v>
      </c>
      <c r="B12" s="21"/>
      <c r="C12" s="22"/>
      <c r="D12" s="23"/>
      <c r="E12" s="24"/>
      <c r="F12" s="24"/>
      <c r="G12" s="24"/>
      <c r="H12" s="24"/>
      <c r="I12" s="24"/>
      <c r="J12" s="35"/>
    </row>
    <row r="13" spans="1:10" ht="69.6">
      <c r="A13" s="25" t="s">
        <v>22</v>
      </c>
      <c r="B13" s="26" t="s">
        <v>23</v>
      </c>
      <c r="C13" s="27" t="s">
        <v>24</v>
      </c>
      <c r="D13" s="28">
        <v>126</v>
      </c>
      <c r="E13" s="29">
        <f>2*350</f>
        <v>700</v>
      </c>
      <c r="F13" s="29">
        <f t="shared" si="0" ref="F13:F19">D13*E13</f>
        <v>88200</v>
      </c>
      <c r="G13" s="30">
        <v>60</v>
      </c>
      <c r="H13" s="30">
        <f t="shared" si="1" ref="H13:H19">D13*G13</f>
        <v>7560</v>
      </c>
      <c r="I13" s="72">
        <f t="shared" si="2" ref="I13:I19">F13+H13</f>
        <v>95760</v>
      </c>
      <c r="J13" s="27"/>
    </row>
    <row r="14" spans="1:10" ht="34.8">
      <c r="A14" s="25" t="s">
        <v>25</v>
      </c>
      <c r="B14" s="26" t="s">
        <v>26</v>
      </c>
      <c r="C14" s="27" t="s">
        <v>27</v>
      </c>
      <c r="D14" s="28">
        <v>1</v>
      </c>
      <c r="E14" s="29">
        <f>0.4*44100</f>
        <v>17640</v>
      </c>
      <c r="F14" s="29">
        <f t="shared" si="0"/>
        <v>17640</v>
      </c>
      <c r="G14" s="30">
        <v>6200</v>
      </c>
      <c r="H14" s="30">
        <f t="shared" si="1"/>
        <v>6200</v>
      </c>
      <c r="I14" s="72">
        <f t="shared" si="2"/>
        <v>23840</v>
      </c>
      <c r="J14" s="27"/>
    </row>
    <row r="15" spans="1:10" ht="17.4">
      <c r="A15" s="25" t="s">
        <v>28</v>
      </c>
      <c r="B15" s="26" t="s">
        <v>29</v>
      </c>
      <c r="C15" s="27" t="s">
        <v>30</v>
      </c>
      <c r="D15" s="28">
        <v>2</v>
      </c>
      <c r="E15" s="29">
        <v>8300</v>
      </c>
      <c r="F15" s="29">
        <f t="shared" si="0"/>
        <v>16600</v>
      </c>
      <c r="G15" s="30">
        <v>200</v>
      </c>
      <c r="H15" s="30">
        <f t="shared" si="1"/>
        <v>400</v>
      </c>
      <c r="I15" s="72">
        <f t="shared" si="2"/>
        <v>17000</v>
      </c>
      <c r="J15" s="27"/>
    </row>
    <row r="16" spans="1:10" ht="17.4">
      <c r="A16" s="25" t="s">
        <v>31</v>
      </c>
      <c r="B16" s="26" t="s">
        <v>32</v>
      </c>
      <c r="C16" s="27" t="s">
        <v>33</v>
      </c>
      <c r="D16" s="28">
        <v>800</v>
      </c>
      <c r="E16" s="29">
        <v>3</v>
      </c>
      <c r="F16" s="29">
        <f t="shared" si="0"/>
        <v>2400</v>
      </c>
      <c r="G16" s="30">
        <v>1.50</v>
      </c>
      <c r="H16" s="30">
        <f t="shared" si="1"/>
        <v>1200</v>
      </c>
      <c r="I16" s="72">
        <f t="shared" si="2"/>
        <v>3600</v>
      </c>
      <c r="J16" s="27"/>
    </row>
    <row r="17" spans="1:10" ht="34.8">
      <c r="A17" s="25" t="s">
        <v>34</v>
      </c>
      <c r="B17" s="26" t="s">
        <v>35</v>
      </c>
      <c r="C17" s="27" t="s">
        <v>33</v>
      </c>
      <c r="D17" s="28">
        <v>100</v>
      </c>
      <c r="E17" s="29">
        <v>46</v>
      </c>
      <c r="F17" s="29">
        <f t="shared" si="0"/>
        <v>4600</v>
      </c>
      <c r="G17" s="30">
        <v>4</v>
      </c>
      <c r="H17" s="30">
        <f t="shared" si="1"/>
        <v>400</v>
      </c>
      <c r="I17" s="72">
        <f t="shared" si="2"/>
        <v>5000</v>
      </c>
      <c r="J17" s="27"/>
    </row>
    <row r="18" spans="1:10" ht="17.4">
      <c r="A18" s="25" t="s">
        <v>36</v>
      </c>
      <c r="B18" s="26" t="s">
        <v>37</v>
      </c>
      <c r="C18" s="27" t="s">
        <v>27</v>
      </c>
      <c r="D18" s="28">
        <v>40</v>
      </c>
      <c r="E18" s="29">
        <v>5</v>
      </c>
      <c r="F18" s="29">
        <f t="shared" si="0"/>
        <v>200</v>
      </c>
      <c r="G18" s="30">
        <v>4</v>
      </c>
      <c r="H18" s="30">
        <f t="shared" si="1"/>
        <v>160</v>
      </c>
      <c r="I18" s="72">
        <f t="shared" si="2"/>
        <v>360</v>
      </c>
      <c r="J18" s="27"/>
    </row>
    <row r="19" spans="1:10" ht="17.4">
      <c r="A19" s="25" t="s">
        <v>38</v>
      </c>
      <c r="B19" s="26" t="s">
        <v>39</v>
      </c>
      <c r="C19" s="27" t="s">
        <v>30</v>
      </c>
      <c r="D19" s="28">
        <v>1</v>
      </c>
      <c r="E19" s="29">
        <v>3850</v>
      </c>
      <c r="F19" s="29">
        <f t="shared" si="0"/>
        <v>3850</v>
      </c>
      <c r="G19" s="30">
        <v>500</v>
      </c>
      <c r="H19" s="30">
        <f t="shared" si="1"/>
        <v>500</v>
      </c>
      <c r="I19" s="72">
        <f t="shared" si="2"/>
        <v>4350</v>
      </c>
      <c r="J19" s="27"/>
    </row>
    <row r="20" spans="1:10" ht="17.4">
      <c r="A20" s="31" t="s">
        <v>40</v>
      </c>
      <c r="B20" s="21"/>
      <c r="C20" s="22"/>
      <c r="D20" s="17"/>
      <c r="E20" s="18"/>
      <c r="F20" s="18"/>
      <c r="G20" s="19"/>
      <c r="H20" s="19"/>
      <c r="I20" s="71">
        <f>SUM(I13:I19)</f>
        <v>149910</v>
      </c>
      <c r="J20" s="15"/>
    </row>
    <row r="21" spans="1:10" ht="17.4">
      <c r="A21" s="32" t="s">
        <v>41</v>
      </c>
      <c r="B21" s="21"/>
      <c r="C21" s="22"/>
      <c r="D21" s="23"/>
      <c r="E21" s="24"/>
      <c r="F21" s="33"/>
      <c r="G21" s="24"/>
      <c r="H21" s="33"/>
      <c r="I21" s="33"/>
      <c r="J21" s="35"/>
    </row>
    <row r="22" spans="1:10" ht="17.4">
      <c r="A22" s="10" t="s">
        <v>42</v>
      </c>
      <c r="B22" s="10" t="s">
        <v>43</v>
      </c>
      <c r="C22" s="10" t="s">
        <v>30</v>
      </c>
      <c r="D22" s="28">
        <v>1</v>
      </c>
      <c r="E22" s="29">
        <v>16525</v>
      </c>
      <c r="F22" s="29">
        <f t="shared" si="3" ref="F22:F27">D22*E22</f>
        <v>16525</v>
      </c>
      <c r="G22" s="30">
        <v>260</v>
      </c>
      <c r="H22" s="30">
        <f t="shared" si="4" ref="H22:H27">D22*G22</f>
        <v>260</v>
      </c>
      <c r="I22" s="72">
        <f t="shared" si="5" ref="I22:I27">F22+H22</f>
        <v>16785</v>
      </c>
      <c r="J22" s="27"/>
    </row>
    <row r="23" spans="1:10" ht="17.4">
      <c r="A23" s="10" t="s">
        <v>44</v>
      </c>
      <c r="B23" s="10" t="s">
        <v>45</v>
      </c>
      <c r="C23" s="10" t="s">
        <v>46</v>
      </c>
      <c r="D23" s="28">
        <v>76.80</v>
      </c>
      <c r="E23" s="29">
        <v>1380</v>
      </c>
      <c r="F23" s="29">
        <f t="shared" si="3"/>
        <v>105984</v>
      </c>
      <c r="G23" s="30">
        <v>10</v>
      </c>
      <c r="H23" s="30">
        <f t="shared" si="4"/>
        <v>768</v>
      </c>
      <c r="I23" s="72">
        <f t="shared" si="5"/>
        <v>106752</v>
      </c>
      <c r="J23" s="27"/>
    </row>
    <row r="24" spans="1:10" ht="34.8">
      <c r="A24" s="10" t="s">
        <v>47</v>
      </c>
      <c r="B24" s="10" t="s">
        <v>48</v>
      </c>
      <c r="C24" s="10" t="s">
        <v>30</v>
      </c>
      <c r="D24" s="28">
        <v>1</v>
      </c>
      <c r="E24" s="29">
        <v>2800</v>
      </c>
      <c r="F24" s="29">
        <f t="shared" si="3"/>
        <v>2800</v>
      </c>
      <c r="G24" s="30">
        <v>100</v>
      </c>
      <c r="H24" s="30">
        <f t="shared" si="4"/>
        <v>100</v>
      </c>
      <c r="I24" s="72">
        <f t="shared" si="5"/>
        <v>2900</v>
      </c>
      <c r="J24" s="27"/>
    </row>
    <row r="25" spans="1:10" ht="17.4">
      <c r="A25" s="10" t="s">
        <v>49</v>
      </c>
      <c r="B25" s="10"/>
      <c r="C25" s="10" t="s">
        <v>27</v>
      </c>
      <c r="D25" s="28">
        <v>1</v>
      </c>
      <c r="E25" s="29">
        <v>1600</v>
      </c>
      <c r="F25" s="29">
        <f t="shared" si="3"/>
        <v>1600</v>
      </c>
      <c r="G25" s="30">
        <v>300</v>
      </c>
      <c r="H25" s="30">
        <f t="shared" si="4"/>
        <v>300</v>
      </c>
      <c r="I25" s="72">
        <f t="shared" si="5"/>
        <v>1900</v>
      </c>
      <c r="J25" s="27"/>
    </row>
    <row r="26" spans="1:10" ht="17.4">
      <c r="A26" s="10" t="s">
        <v>50</v>
      </c>
      <c r="B26" s="10" t="s">
        <v>51</v>
      </c>
      <c r="C26" s="10" t="s">
        <v>27</v>
      </c>
      <c r="D26" s="28">
        <v>1</v>
      </c>
      <c r="E26" s="29">
        <v>20000</v>
      </c>
      <c r="F26" s="29">
        <f t="shared" si="3"/>
        <v>20000</v>
      </c>
      <c r="G26" s="30"/>
      <c r="H26" s="30">
        <f t="shared" si="4"/>
        <v>0</v>
      </c>
      <c r="I26" s="72">
        <f t="shared" si="5"/>
        <v>20000</v>
      </c>
      <c r="J26" s="27"/>
    </row>
    <row r="27" spans="1:10" ht="34.8">
      <c r="A27" s="10" t="s">
        <v>52</v>
      </c>
      <c r="B27" s="10" t="s">
        <v>53</v>
      </c>
      <c r="C27" s="27" t="s">
        <v>33</v>
      </c>
      <c r="D27" s="28">
        <v>30</v>
      </c>
      <c r="E27" s="29">
        <v>75</v>
      </c>
      <c r="F27" s="29">
        <f t="shared" si="3"/>
        <v>2250</v>
      </c>
      <c r="G27" s="30">
        <v>5</v>
      </c>
      <c r="H27" s="30">
        <f t="shared" si="4"/>
        <v>150</v>
      </c>
      <c r="I27" s="72">
        <f t="shared" si="5"/>
        <v>2400</v>
      </c>
      <c r="J27" s="27"/>
    </row>
    <row r="28" spans="1:10" ht="17.4">
      <c r="A28" s="15" t="s">
        <v>40</v>
      </c>
      <c r="B28" s="34"/>
      <c r="C28" s="34"/>
      <c r="D28" s="17"/>
      <c r="E28" s="18"/>
      <c r="F28" s="18"/>
      <c r="G28" s="19"/>
      <c r="H28" s="19"/>
      <c r="I28" s="71">
        <f>SUM(I22:I27)</f>
        <v>150737</v>
      </c>
      <c r="J28" s="15"/>
    </row>
    <row r="29" spans="1:10" ht="17.4">
      <c r="A29" s="35" t="s">
        <v>54</v>
      </c>
      <c r="B29" s="35"/>
      <c r="C29" s="35"/>
      <c r="D29" s="23"/>
      <c r="E29" s="24"/>
      <c r="F29" s="33"/>
      <c r="G29" s="24"/>
      <c r="H29" s="33"/>
      <c r="I29" s="33"/>
      <c r="J29" s="35"/>
    </row>
    <row r="30" spans="1:10" ht="34.8">
      <c r="A30" s="25" t="s">
        <v>55</v>
      </c>
      <c r="B30" s="25" t="s">
        <v>56</v>
      </c>
      <c r="C30" s="27" t="s">
        <v>30</v>
      </c>
      <c r="D30" s="28">
        <v>1</v>
      </c>
      <c r="E30" s="29">
        <v>3126.20</v>
      </c>
      <c r="F30" s="29">
        <f t="shared" si="6" ref="F30:F33">D30*E30</f>
        <v>3126.20</v>
      </c>
      <c r="G30" s="30">
        <v>180</v>
      </c>
      <c r="H30" s="30">
        <f t="shared" si="7" ref="H30:H33">D30*G30</f>
        <v>180</v>
      </c>
      <c r="I30" s="72">
        <f t="shared" si="8" ref="I30:I33">F30+H30</f>
        <v>3306.20</v>
      </c>
      <c r="J30" s="27"/>
    </row>
    <row r="31" spans="1:10" ht="17.4">
      <c r="A31" s="10" t="s">
        <v>57</v>
      </c>
      <c r="B31" s="10"/>
      <c r="C31" s="10" t="s">
        <v>30</v>
      </c>
      <c r="D31" s="28">
        <v>1</v>
      </c>
      <c r="E31" s="29">
        <v>300</v>
      </c>
      <c r="F31" s="29">
        <f t="shared" si="6"/>
        <v>300</v>
      </c>
      <c r="G31" s="30">
        <v>55</v>
      </c>
      <c r="H31" s="30">
        <f t="shared" si="7"/>
        <v>55</v>
      </c>
      <c r="I31" s="72">
        <f t="shared" si="8"/>
        <v>355</v>
      </c>
      <c r="J31" s="27"/>
    </row>
    <row r="32" spans="1:10" ht="17.4">
      <c r="A32" s="10" t="s">
        <v>58</v>
      </c>
      <c r="B32" s="10"/>
      <c r="C32" s="10" t="s">
        <v>59</v>
      </c>
      <c r="D32" s="28">
        <v>5</v>
      </c>
      <c r="E32" s="29">
        <v>10</v>
      </c>
      <c r="F32" s="29">
        <f t="shared" si="6"/>
        <v>50</v>
      </c>
      <c r="G32" s="30">
        <v>0</v>
      </c>
      <c r="H32" s="30">
        <f t="shared" si="7"/>
        <v>0</v>
      </c>
      <c r="I32" s="72">
        <f t="shared" si="8"/>
        <v>50</v>
      </c>
      <c r="J32" s="27"/>
    </row>
    <row r="33" spans="1:10" ht="17.4">
      <c r="A33" s="25" t="s">
        <v>34</v>
      </c>
      <c r="B33" s="25" t="s">
        <v>60</v>
      </c>
      <c r="C33" s="27" t="s">
        <v>33</v>
      </c>
      <c r="D33" s="28">
        <v>60</v>
      </c>
      <c r="E33" s="29">
        <v>5</v>
      </c>
      <c r="F33" s="29">
        <f t="shared" si="6"/>
        <v>300</v>
      </c>
      <c r="G33" s="30">
        <v>2</v>
      </c>
      <c r="H33" s="30">
        <f t="shared" si="7"/>
        <v>120</v>
      </c>
      <c r="I33" s="72">
        <f t="shared" si="8"/>
        <v>420</v>
      </c>
      <c r="J33" s="27"/>
    </row>
    <row r="34" spans="1:10" ht="17.4">
      <c r="A34" s="15" t="s">
        <v>40</v>
      </c>
      <c r="B34" s="16"/>
      <c r="C34" s="16"/>
      <c r="D34" s="36"/>
      <c r="E34" s="37"/>
      <c r="F34" s="18"/>
      <c r="G34" s="38"/>
      <c r="H34" s="19"/>
      <c r="I34" s="71">
        <f>SUM(I30:I33)</f>
        <v>4131.20</v>
      </c>
      <c r="J34" s="16"/>
    </row>
    <row r="35" spans="1:10" ht="17.4">
      <c r="A35" s="39" t="s">
        <v>61</v>
      </c>
      <c r="B35" s="40"/>
      <c r="C35" s="41"/>
      <c r="D35" s="42"/>
      <c r="E35" s="43"/>
      <c r="F35" s="33"/>
      <c r="G35" s="43"/>
      <c r="H35" s="33"/>
      <c r="I35" s="33"/>
      <c r="J35" s="73"/>
    </row>
    <row r="36" spans="1:10" ht="34.8">
      <c r="A36" s="25" t="s">
        <v>62</v>
      </c>
      <c r="B36" s="44" t="s">
        <v>63</v>
      </c>
      <c r="C36" s="25" t="s">
        <v>64</v>
      </c>
      <c r="D36" s="45">
        <f>15*16</f>
        <v>240</v>
      </c>
      <c r="E36" s="46">
        <v>700</v>
      </c>
      <c r="F36" s="29">
        <f t="shared" si="9" ref="F36:F38">D36*E36</f>
        <v>168000</v>
      </c>
      <c r="G36" s="47">
        <v>400</v>
      </c>
      <c r="H36" s="30">
        <f t="shared" si="10" ref="H36:H38">D36*G36</f>
        <v>96000</v>
      </c>
      <c r="I36" s="72">
        <f t="shared" si="11" ref="I36:I38">F36+H36</f>
        <v>264000</v>
      </c>
      <c r="J36" s="16"/>
    </row>
    <row r="37" spans="1:10" ht="17.4">
      <c r="A37" s="25" t="s">
        <v>65</v>
      </c>
      <c r="B37" s="44" t="s">
        <v>66</v>
      </c>
      <c r="C37" s="25" t="s">
        <v>33</v>
      </c>
      <c r="D37" s="45">
        <v>320</v>
      </c>
      <c r="E37" s="46">
        <v>12</v>
      </c>
      <c r="F37" s="29">
        <f t="shared" si="9"/>
        <v>3840</v>
      </c>
      <c r="G37" s="47">
        <v>5</v>
      </c>
      <c r="H37" s="30">
        <f t="shared" si="10"/>
        <v>1600</v>
      </c>
      <c r="I37" s="72">
        <f t="shared" si="11"/>
        <v>5440</v>
      </c>
      <c r="J37" s="25"/>
    </row>
    <row r="38" spans="1:10" ht="17.4">
      <c r="A38" s="25" t="s">
        <v>67</v>
      </c>
      <c r="B38" s="44" t="s">
        <v>68</v>
      </c>
      <c r="C38" s="25" t="s">
        <v>33</v>
      </c>
      <c r="D38" s="45">
        <v>60</v>
      </c>
      <c r="E38" s="46">
        <v>8</v>
      </c>
      <c r="F38" s="29">
        <f t="shared" si="9"/>
        <v>480</v>
      </c>
      <c r="G38" s="47">
        <v>4</v>
      </c>
      <c r="H38" s="30">
        <f t="shared" si="10"/>
        <v>240</v>
      </c>
      <c r="I38" s="72">
        <f t="shared" si="11"/>
        <v>720</v>
      </c>
      <c r="J38" s="25"/>
    </row>
    <row r="39" spans="1:10" ht="17.4">
      <c r="A39" s="15" t="s">
        <v>40</v>
      </c>
      <c r="B39" s="48"/>
      <c r="C39" s="49"/>
      <c r="D39" s="50"/>
      <c r="E39" s="51"/>
      <c r="F39" s="18"/>
      <c r="G39" s="52"/>
      <c r="H39" s="19"/>
      <c r="I39" s="71">
        <f>SUM(I36:I38)</f>
        <v>270160</v>
      </c>
      <c r="J39" s="49"/>
    </row>
    <row r="43" spans="1:16" ht="17.4">
      <c r="A43" s="53" t="s">
        <v>69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</row>
    <row r="44" spans="1:16" ht="14.4">
      <c r="A44" s="54" t="s">
        <v>70</v>
      </c>
      <c r="B44" s="55" t="s">
        <v>71</v>
      </c>
      <c r="C44" s="55" t="s">
        <v>72</v>
      </c>
      <c r="D44" s="55" t="s">
        <v>73</v>
      </c>
      <c r="E44" s="55" t="s">
        <v>74</v>
      </c>
      <c r="F44" s="55" t="s">
        <v>75</v>
      </c>
      <c r="G44" s="55" t="s">
        <v>76</v>
      </c>
      <c r="H44" s="55" t="s">
        <v>77</v>
      </c>
      <c r="I44" s="55" t="s">
        <v>78</v>
      </c>
      <c r="J44" s="55" t="s">
        <v>79</v>
      </c>
      <c r="K44" s="55" t="s">
        <v>80</v>
      </c>
      <c r="L44" s="55" t="s">
        <v>81</v>
      </c>
      <c r="M44" s="55" t="s">
        <v>82</v>
      </c>
      <c r="N44" s="55" t="s">
        <v>83</v>
      </c>
      <c r="O44" s="55" t="s">
        <v>84</v>
      </c>
      <c r="P44" s="55" t="s">
        <v>85</v>
      </c>
    </row>
    <row r="45" spans="1:16" ht="14.4">
      <c r="A45" s="56" t="s">
        <v>86</v>
      </c>
      <c r="B45" s="57">
        <f t="shared" si="12" ref="B45:B49">AVERAGE(D45:P45,D52:O52)</f>
        <v>0.88200000000000001</v>
      </c>
      <c r="C45" s="57"/>
      <c r="D45" s="58">
        <f>100%-2%</f>
        <v>0.98</v>
      </c>
      <c r="E45" s="58">
        <f>D45-2%</f>
        <v>0.96</v>
      </c>
      <c r="F45" s="58">
        <f t="shared" si="13" ref="F45:M45">E45-6%/8</f>
        <v>0.9525</v>
      </c>
      <c r="G45" s="58">
        <f t="shared" si="13"/>
        <v>0.945</v>
      </c>
      <c r="H45" s="58">
        <f t="shared" si="13"/>
        <v>0.93750000000000011</v>
      </c>
      <c r="I45" s="58">
        <f t="shared" si="13"/>
        <v>0.93000000000000016</v>
      </c>
      <c r="J45" s="58">
        <f t="shared" si="13"/>
        <v>0.92250000000000021</v>
      </c>
      <c r="K45" s="58">
        <f t="shared" si="13"/>
        <v>0.91500000000000026</v>
      </c>
      <c r="L45" s="58">
        <f t="shared" si="13"/>
        <v>0.90750000000000031</v>
      </c>
      <c r="M45" s="58">
        <f t="shared" si="13"/>
        <v>0.90000000000000036</v>
      </c>
      <c r="N45" s="58">
        <f t="shared" si="14" ref="N45:P45">M45-10%/15</f>
        <v>0.89333333333333365</v>
      </c>
      <c r="O45" s="58">
        <f t="shared" si="14"/>
        <v>0.88666666666666694</v>
      </c>
      <c r="P45" s="58">
        <f t="shared" si="14"/>
        <v>0.88000000000000023</v>
      </c>
    </row>
    <row r="46" spans="1:16" ht="14.4">
      <c r="A46" s="56" t="s">
        <v>87</v>
      </c>
      <c r="B46" s="59">
        <f t="shared" si="12"/>
        <v>3.4920475815455996</v>
      </c>
      <c r="C46" s="59">
        <f t="shared" si="15" ref="C46:C49">SUM(D46:P46,D53:O53)</f>
        <v>87.301189538639989</v>
      </c>
      <c r="D46" s="59">
        <f>B73*D45</f>
        <v>3.8800528683839994</v>
      </c>
      <c r="E46" s="59">
        <f>B73*E45</f>
        <v>3.8008681159679991</v>
      </c>
      <c r="F46" s="59">
        <f>B73*F45</f>
        <v>3.7711738338119996</v>
      </c>
      <c r="G46" s="59">
        <f>B73*G45</f>
        <v>3.7414795516559995</v>
      </c>
      <c r="H46" s="59">
        <f>B73*H45</f>
        <v>3.7117852695</v>
      </c>
      <c r="I46" s="59">
        <f>B73*I45</f>
        <v>3.682090987344</v>
      </c>
      <c r="J46" s="59">
        <f>B73*J45</f>
        <v>3.652396705188</v>
      </c>
      <c r="K46" s="59">
        <f>B73*K45</f>
        <v>3.6227024230320004</v>
      </c>
      <c r="L46" s="59">
        <f>B73*L45</f>
        <v>3.5930081408760004</v>
      </c>
      <c r="M46" s="59">
        <f>B73*M45</f>
        <v>3.5633138587200008</v>
      </c>
      <c r="N46" s="59">
        <f>B73*N45</f>
        <v>3.5369189412480004</v>
      </c>
      <c r="O46" s="59">
        <f>B73*O45</f>
        <v>3.5105240237760005</v>
      </c>
      <c r="P46" s="59">
        <f>B73*P45</f>
        <v>3.4841291063040001</v>
      </c>
    </row>
    <row r="47" spans="1:16" ht="14.4">
      <c r="A47" s="56" t="s">
        <v>88</v>
      </c>
      <c r="B47" s="59">
        <f t="shared" si="12"/>
        <v>2.7936380652364798</v>
      </c>
      <c r="C47" s="59">
        <f t="shared" si="15"/>
        <v>69.840951630911988</v>
      </c>
      <c r="D47" s="59">
        <f>D46*B74</f>
        <v>3.1040422947071997</v>
      </c>
      <c r="E47" s="59">
        <f>E46*B74</f>
        <v>3.0406944927743993</v>
      </c>
      <c r="F47" s="59">
        <f>F46*B74</f>
        <v>3.0169390670495999</v>
      </c>
      <c r="G47" s="59">
        <f>G46*B74</f>
        <v>2.9931836413247996</v>
      </c>
      <c r="H47" s="59">
        <f>H46*B74</f>
        <v>2.9694282156000003</v>
      </c>
      <c r="I47" s="59">
        <f>I46*B74</f>
        <v>2.9456727898752</v>
      </c>
      <c r="J47" s="59">
        <f>J46*B74</f>
        <v>2.9219173641504002</v>
      </c>
      <c r="K47" s="59">
        <f>K46*B74</f>
        <v>2.8981619384256003</v>
      </c>
      <c r="L47" s="59">
        <f>L46*B74</f>
        <v>2.8744065127008005</v>
      </c>
      <c r="M47" s="59">
        <f>M46*B74</f>
        <v>2.8506510869760007</v>
      </c>
      <c r="N47" s="59">
        <f>N46*B74</f>
        <v>2.8295351529984005</v>
      </c>
      <c r="O47" s="59">
        <f>O46*B74</f>
        <v>2.8084192190208004</v>
      </c>
      <c r="P47" s="59">
        <f>P46*B74</f>
        <v>2.7873032850432002</v>
      </c>
    </row>
    <row r="48" spans="1:16" ht="14.4">
      <c r="A48" s="56" t="s">
        <v>89</v>
      </c>
      <c r="B48" s="59">
        <f t="shared" si="12"/>
        <v>0.69840951630911985</v>
      </c>
      <c r="C48" s="59">
        <f t="shared" si="15"/>
        <v>17.460237907727993</v>
      </c>
      <c r="D48" s="59">
        <f>D46*(1-B74)</f>
        <v>0.77601057367679971</v>
      </c>
      <c r="E48" s="59">
        <f>E46*(1-B74)</f>
        <v>0.7601736231935996</v>
      </c>
      <c r="F48" s="59">
        <f>F46*(1-B74)</f>
        <v>0.75423476676239976</v>
      </c>
      <c r="G48" s="59">
        <f>G46*(1-B74)</f>
        <v>0.7482959103311998</v>
      </c>
      <c r="H48" s="59">
        <f>H46*(1-B74)</f>
        <v>0.74235705389999984</v>
      </c>
      <c r="I48" s="59">
        <f>I46*(1-B74)</f>
        <v>0.73641819746879988</v>
      </c>
      <c r="J48" s="59">
        <f>J46*(1-B74)</f>
        <v>0.73047934103759982</v>
      </c>
      <c r="K48" s="59">
        <f>K46*(1-B74)</f>
        <v>0.72454048460639997</v>
      </c>
      <c r="L48" s="59">
        <f>L46*(1-B74)</f>
        <v>0.7186016281751999</v>
      </c>
      <c r="M48" s="59">
        <f>M46*(1-B74)</f>
        <v>0.71266277174400006</v>
      </c>
      <c r="N48" s="59">
        <f>N46*(1-B74)</f>
        <v>0.70738378824959991</v>
      </c>
      <c r="O48" s="59">
        <f>O46*(1-B74)</f>
        <v>0.70210480475519998</v>
      </c>
      <c r="P48" s="59">
        <f>P46*(1-B74)</f>
        <v>0.69682582126079984</v>
      </c>
    </row>
    <row r="49" spans="1:16" ht="14.4">
      <c r="A49" s="56" t="s">
        <v>90</v>
      </c>
      <c r="B49" s="59">
        <f t="shared" si="12"/>
        <v>2.7622096370025697</v>
      </c>
      <c r="C49" s="59">
        <f t="shared" si="15"/>
        <v>69.055240925064226</v>
      </c>
      <c r="D49" s="60">
        <f>D47*B75+B76*D48</f>
        <v>3.0691218188917437</v>
      </c>
      <c r="E49" s="60">
        <f>E47*B75+B76*E48</f>
        <v>3.0064866797306875</v>
      </c>
      <c r="F49" s="60">
        <f>F47*B75+B76*F48</f>
        <v>2.9829985025452919</v>
      </c>
      <c r="G49" s="60">
        <f>G47*B75+B76*G48</f>
        <v>2.9595103253598958</v>
      </c>
      <c r="H49" s="60">
        <f>H47*B75+B76*H48</f>
        <v>2.9360221481745001</v>
      </c>
      <c r="I49" s="60">
        <f>I47*B75+B76*I48</f>
        <v>2.912533970989104</v>
      </c>
      <c r="J49" s="60">
        <f>J47*B75+B76*J48</f>
        <v>2.889045793803708</v>
      </c>
      <c r="K49" s="60">
        <f>K47*B75+B76*K48</f>
        <v>2.8655576166183123</v>
      </c>
      <c r="L49" s="60">
        <f>L47*B75+B76*L48</f>
        <v>2.8420694394329167</v>
      </c>
      <c r="M49" s="60">
        <f>M47*B75+B76*M48</f>
        <v>2.8185812622475206</v>
      </c>
      <c r="N49" s="60">
        <f>N47*B75+B76*N48</f>
        <v>2.7977028825271684</v>
      </c>
      <c r="O49" s="60">
        <f>O47*B75+B76*O48</f>
        <v>2.7768245028068161</v>
      </c>
      <c r="P49" s="59">
        <f>P47*B75+B76*P48</f>
        <v>2.7559461230864639</v>
      </c>
    </row>
    <row r="50" spans="1:16" ht="14.4">
      <c r="A50" s="61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</row>
    <row r="51" spans="1:16" ht="14.4">
      <c r="A51" s="54" t="s">
        <v>70</v>
      </c>
      <c r="B51" s="55" t="s">
        <v>71</v>
      </c>
      <c r="C51" s="55" t="s">
        <v>72</v>
      </c>
      <c r="D51" s="55" t="s">
        <v>91</v>
      </c>
      <c r="E51" s="55" t="s">
        <v>92</v>
      </c>
      <c r="F51" s="55" t="s">
        <v>93</v>
      </c>
      <c r="G51" s="55" t="s">
        <v>94</v>
      </c>
      <c r="H51" s="55" t="s">
        <v>95</v>
      </c>
      <c r="I51" s="55" t="s">
        <v>96</v>
      </c>
      <c r="J51" s="55" t="s">
        <v>97</v>
      </c>
      <c r="K51" s="55" t="s">
        <v>98</v>
      </c>
      <c r="L51" s="55" t="s">
        <v>99</v>
      </c>
      <c r="M51" s="55" t="s">
        <v>100</v>
      </c>
      <c r="N51" s="55" t="s">
        <v>101</v>
      </c>
      <c r="O51" s="55" t="s">
        <v>102</v>
      </c>
      <c r="P51" s="55"/>
    </row>
    <row r="52" spans="1:16" ht="14.4">
      <c r="A52" s="56" t="s">
        <v>86</v>
      </c>
      <c r="B52" s="57">
        <f t="shared" si="16" ref="B52:B56">B45</f>
        <v>0.88200000000000001</v>
      </c>
      <c r="C52" s="57"/>
      <c r="D52" s="58">
        <f>P45-10%/15</f>
        <v>0.87333333333333352</v>
      </c>
      <c r="E52" s="58">
        <f t="shared" si="17" ref="E52:O52">D52-10%/15</f>
        <v>0.86666666666666681</v>
      </c>
      <c r="F52" s="58">
        <f t="shared" si="17"/>
        <v>0.8600000000000001</v>
      </c>
      <c r="G52" s="58">
        <f t="shared" si="17"/>
        <v>0.85333333333333339</v>
      </c>
      <c r="H52" s="58">
        <f t="shared" si="17"/>
        <v>0.84666666666666668</v>
      </c>
      <c r="I52" s="58">
        <f t="shared" si="17"/>
        <v>0.84</v>
      </c>
      <c r="J52" s="58">
        <f t="shared" si="17"/>
        <v>0.83333333333333326</v>
      </c>
      <c r="K52" s="58">
        <f t="shared" si="17"/>
        <v>0.82666666666666655</v>
      </c>
      <c r="L52" s="58">
        <f t="shared" si="17"/>
        <v>0.81999999999999984</v>
      </c>
      <c r="M52" s="58">
        <f t="shared" si="17"/>
        <v>0.81333333333333313</v>
      </c>
      <c r="N52" s="58">
        <f t="shared" si="17"/>
        <v>0.80666666666666642</v>
      </c>
      <c r="O52" s="58">
        <f t="shared" si="17"/>
        <v>0.79999999999999971</v>
      </c>
      <c r="P52" s="57"/>
    </row>
    <row r="53" spans="1:16" ht="14.4">
      <c r="A53" s="56" t="s">
        <v>87</v>
      </c>
      <c r="B53" s="59">
        <f t="shared" si="16"/>
        <v>3.4920475815455996</v>
      </c>
      <c r="C53" s="59">
        <f t="shared" si="18" ref="C53:C56">C46</f>
        <v>87.301189538639989</v>
      </c>
      <c r="D53" s="59">
        <f>B73*D52</f>
        <v>3.4577341888320001</v>
      </c>
      <c r="E53" s="59">
        <f>B73*E52</f>
        <v>3.4313392713600002</v>
      </c>
      <c r="F53" s="59">
        <f>B73*F52</f>
        <v>3.4049443538879998</v>
      </c>
      <c r="G53" s="59">
        <f>B73*G52</f>
        <v>3.3785494364159998</v>
      </c>
      <c r="H53" s="59">
        <f>B73*H52</f>
        <v>3.3521545189439994</v>
      </c>
      <c r="I53" s="59">
        <f>B73*I52</f>
        <v>3.3257596014719994</v>
      </c>
      <c r="J53" s="59">
        <f>B73*J52</f>
        <v>3.299364683999999</v>
      </c>
      <c r="K53" s="59">
        <f>B73*K52</f>
        <v>3.2729697665279991</v>
      </c>
      <c r="L53" s="59">
        <f>B73*L52</f>
        <v>3.2465748490559987</v>
      </c>
      <c r="M53" s="59">
        <f>B73*M52</f>
        <v>3.2201799315839987</v>
      </c>
      <c r="N53" s="59">
        <f>B73*N52</f>
        <v>3.1937850141119983</v>
      </c>
      <c r="O53" s="59">
        <f>B73*O52</f>
        <v>3.1673900966399984</v>
      </c>
      <c r="P53" s="57"/>
    </row>
    <row r="54" spans="1:16" ht="14.4">
      <c r="A54" s="56" t="s">
        <v>88</v>
      </c>
      <c r="B54" s="59">
        <f t="shared" si="16"/>
        <v>2.7936380652364798</v>
      </c>
      <c r="C54" s="59">
        <f t="shared" si="18"/>
        <v>69.840951630911988</v>
      </c>
      <c r="D54" s="59">
        <f>D53*B74</f>
        <v>2.7661873510656001</v>
      </c>
      <c r="E54" s="59">
        <f>E53*B74</f>
        <v>2.7450714170880004</v>
      </c>
      <c r="F54" s="59">
        <f>F53*B74</f>
        <v>2.7239554831103998</v>
      </c>
      <c r="G54" s="59">
        <f>G53*B74</f>
        <v>2.7028395491328001</v>
      </c>
      <c r="H54" s="59">
        <f>H53*B74</f>
        <v>2.6817236151551995</v>
      </c>
      <c r="I54" s="59">
        <f>I53*B74</f>
        <v>2.6606076811775998</v>
      </c>
      <c r="J54" s="59">
        <f>J53*B74</f>
        <v>2.6394917471999992</v>
      </c>
      <c r="K54" s="59">
        <f>K53*B74</f>
        <v>2.6183758132223995</v>
      </c>
      <c r="L54" s="59">
        <f>L53*B74</f>
        <v>2.597259879244799</v>
      </c>
      <c r="M54" s="59">
        <f>M53*B74</f>
        <v>2.5761439452671993</v>
      </c>
      <c r="N54" s="59">
        <f>N53*B74</f>
        <v>2.5550280112895987</v>
      </c>
      <c r="O54" s="59">
        <f>O53*B74</f>
        <v>2.533912077311999</v>
      </c>
      <c r="P54" s="74"/>
    </row>
    <row r="55" spans="1:16" ht="14.4">
      <c r="A55" s="56" t="s">
        <v>89</v>
      </c>
      <c r="B55" s="59">
        <f t="shared" si="16"/>
        <v>0.69840951630911985</v>
      </c>
      <c r="C55" s="59">
        <f t="shared" si="18"/>
        <v>17.460237907727993</v>
      </c>
      <c r="D55" s="59">
        <f>D53*(1-B74)</f>
        <v>0.69154683776639991</v>
      </c>
      <c r="E55" s="59">
        <f>E53*(1-B74)</f>
        <v>0.68626785427199988</v>
      </c>
      <c r="F55" s="59">
        <f>F53*(1-B74)</f>
        <v>0.68098887077759984</v>
      </c>
      <c r="G55" s="59">
        <f>G53*(1-B74)</f>
        <v>0.67570988728319981</v>
      </c>
      <c r="H55" s="59">
        <f>H53*(1-B74)</f>
        <v>0.67043090378879977</v>
      </c>
      <c r="I55" s="59">
        <f>I53*(1-B74)</f>
        <v>0.66515192029439973</v>
      </c>
      <c r="J55" s="59">
        <f>J53*(1-B74)</f>
        <v>0.6598729367999997</v>
      </c>
      <c r="K55" s="59">
        <f>K53*(1-B74)</f>
        <v>0.65459395330559966</v>
      </c>
      <c r="L55" s="59">
        <f>L53*(1-B74)</f>
        <v>0.64931496981119963</v>
      </c>
      <c r="M55" s="59">
        <f>M53*(1-B74)</f>
        <v>0.64403598631679959</v>
      </c>
      <c r="N55" s="59">
        <f>N53*(1-B74)</f>
        <v>0.63875700282239956</v>
      </c>
      <c r="O55" s="59">
        <f>O53*(1-B74)</f>
        <v>0.63347801932799952</v>
      </c>
      <c r="P55" s="74"/>
    </row>
    <row r="56" spans="1:16" ht="14.4">
      <c r="A56" s="56" t="s">
        <v>90</v>
      </c>
      <c r="B56" s="59">
        <f t="shared" si="16"/>
        <v>2.7622096370025697</v>
      </c>
      <c r="C56" s="59">
        <f t="shared" si="18"/>
        <v>69.055240925064226</v>
      </c>
      <c r="D56" s="60">
        <f>D54*B75+B76*D55</f>
        <v>2.7350677433661121</v>
      </c>
      <c r="E56" s="60">
        <f>E54*B75+B76*E55</f>
        <v>2.7141893636457604</v>
      </c>
      <c r="F56" s="60">
        <f>F54*B75+B76*F55</f>
        <v>2.6933109839254077</v>
      </c>
      <c r="G56" s="60">
        <f>G54*B75+B76*G55</f>
        <v>2.6724326042050559</v>
      </c>
      <c r="H56" s="60">
        <f>H54*B75+B76*H55</f>
        <v>2.6515542244847032</v>
      </c>
      <c r="I56" s="60">
        <f>I54*B75+B76*I55</f>
        <v>2.6306758447643519</v>
      </c>
      <c r="J56" s="60">
        <f>J54*B75+B76*J55</f>
        <v>2.6097974650439992</v>
      </c>
      <c r="K56" s="60">
        <f>K54*B75+B76*K55</f>
        <v>2.5889190853236475</v>
      </c>
      <c r="L56" s="60">
        <f>L54*B75+B76*L55</f>
        <v>2.5680407056032948</v>
      </c>
      <c r="M56" s="60">
        <f>M54*B75+B76*M55</f>
        <v>2.547162325882943</v>
      </c>
      <c r="N56" s="60">
        <f>N54*B75+B76*N55</f>
        <v>2.5262839461625903</v>
      </c>
      <c r="O56" s="60">
        <f>O54*B75+B76*O55</f>
        <v>2.505405566442239</v>
      </c>
      <c r="P56" s="74"/>
    </row>
    <row r="57" spans="1:16" ht="14.4">
      <c r="A57" s="63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75"/>
    </row>
    <row r="58" spans="1:16" ht="17.4">
      <c r="A58" s="65" t="s">
        <v>103</v>
      </c>
      <c r="B58" s="65"/>
      <c r="C58" s="65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75"/>
    </row>
    <row r="59" spans="1:3" ht="15.6">
      <c r="A59" s="66" t="s">
        <v>104</v>
      </c>
      <c r="B59" s="67">
        <v>44100</v>
      </c>
      <c r="C59" s="66" t="s">
        <v>105</v>
      </c>
    </row>
    <row r="60" spans="1:3" ht="15.6">
      <c r="A60" s="66" t="s">
        <v>106</v>
      </c>
      <c r="B60" s="66">
        <v>1.65</v>
      </c>
      <c r="C60" s="66" t="s">
        <v>107</v>
      </c>
    </row>
    <row r="61" spans="1:3" ht="15.6">
      <c r="A61" s="66" t="s">
        <v>108</v>
      </c>
      <c r="B61" s="68">
        <v>350</v>
      </c>
      <c r="C61" s="66" t="s">
        <v>105</v>
      </c>
    </row>
    <row r="62" spans="1:13" ht="15.6">
      <c r="A62" s="66" t="s">
        <v>109</v>
      </c>
      <c r="B62" s="68">
        <v>21</v>
      </c>
      <c r="C62" s="66" t="s">
        <v>110</v>
      </c>
      <c r="M62" s="76"/>
    </row>
    <row r="63" spans="1:3" ht="15.6">
      <c r="A63" s="66" t="s">
        <v>111</v>
      </c>
      <c r="B63" s="66">
        <f>B62*B61</f>
        <v>7350</v>
      </c>
      <c r="C63" s="66" t="s">
        <v>105</v>
      </c>
    </row>
    <row r="64" spans="1:3" ht="15.6">
      <c r="A64" s="66" t="s">
        <v>112</v>
      </c>
      <c r="B64" s="69">
        <f>B59/B63</f>
        <v>6</v>
      </c>
      <c r="C64" s="66" t="s">
        <v>113</v>
      </c>
    </row>
    <row r="65" spans="1:3" ht="15.6">
      <c r="A65" s="66" t="s">
        <v>114</v>
      </c>
      <c r="B65" s="69">
        <f>B59/B61</f>
        <v>126</v>
      </c>
      <c r="C65" s="66" t="s">
        <v>115</v>
      </c>
    </row>
    <row r="66" spans="1:3" ht="15.6">
      <c r="A66" s="66" t="s">
        <v>114</v>
      </c>
      <c r="B66" s="77">
        <f>B65</f>
        <v>126</v>
      </c>
      <c r="C66" s="66" t="s">
        <v>115</v>
      </c>
    </row>
    <row r="67" spans="1:3" ht="15.6">
      <c r="A67" s="66" t="s">
        <v>116</v>
      </c>
      <c r="B67" s="78">
        <v>1368.10</v>
      </c>
      <c r="C67" s="79" t="s">
        <v>117</v>
      </c>
    </row>
    <row r="68" spans="1:3" ht="14.4">
      <c r="A68" s="79" t="s">
        <v>118</v>
      </c>
      <c r="B68" s="80">
        <f>B67*3.6</f>
        <v>4925.16</v>
      </c>
      <c r="C68" s="79" t="s">
        <v>119</v>
      </c>
    </row>
    <row r="69" spans="1:3" ht="15.6">
      <c r="A69" s="66" t="s">
        <v>120</v>
      </c>
      <c r="B69" s="81">
        <f>B60*B66</f>
        <v>207.89999999999998</v>
      </c>
      <c r="C69" s="66" t="s">
        <v>107</v>
      </c>
    </row>
    <row r="70" spans="1:3" ht="15.6">
      <c r="A70" s="66" t="s">
        <v>121</v>
      </c>
      <c r="B70" s="81">
        <f>B67*B69</f>
        <v>284427.98999999993</v>
      </c>
      <c r="C70" s="66" t="s">
        <v>122</v>
      </c>
    </row>
    <row r="71" spans="1:3" ht="15.6">
      <c r="A71" s="66" t="s">
        <v>123</v>
      </c>
      <c r="B71" s="82">
        <f>IF(B61=60,7.6%,17.4%)</f>
        <v>0.17399999999999999</v>
      </c>
      <c r="C71" s="66"/>
    </row>
    <row r="72" spans="1:3" ht="15.6">
      <c r="A72" s="66" t="s">
        <v>124</v>
      </c>
      <c r="B72" s="83">
        <v>0.80</v>
      </c>
      <c r="C72" s="66"/>
    </row>
    <row r="73" spans="1:3" ht="15.6">
      <c r="A73" s="66" t="s">
        <v>125</v>
      </c>
      <c r="B73" s="84">
        <f>B70*B72*B71/10000</f>
        <v>3.9592376207999993</v>
      </c>
      <c r="C73" s="66" t="s">
        <v>126</v>
      </c>
    </row>
    <row r="74" spans="1:3" ht="15.6">
      <c r="A74" s="66" t="s">
        <v>127</v>
      </c>
      <c r="B74" s="82">
        <v>0.80</v>
      </c>
      <c r="C74" s="66"/>
    </row>
    <row r="75" spans="1:3" ht="15.6">
      <c r="A75" s="85" t="s">
        <v>128</v>
      </c>
      <c r="B75" s="85">
        <v>0.90</v>
      </c>
      <c r="C75" s="85" t="s">
        <v>129</v>
      </c>
    </row>
    <row r="76" spans="1:3" ht="15.6">
      <c r="A76" s="85" t="s">
        <v>130</v>
      </c>
      <c r="B76" s="85">
        <v>0.355</v>
      </c>
      <c r="C76" s="85" t="s">
        <v>129</v>
      </c>
    </row>
    <row r="80" spans="1:5" ht="22.2">
      <c r="A80" s="86" t="s">
        <v>131</v>
      </c>
      <c r="B80" s="86"/>
      <c r="C80" s="86"/>
      <c r="D80" s="86"/>
      <c r="E80" s="86"/>
    </row>
    <row r="81" spans="1:5" ht="20.4">
      <c r="A81" s="87" t="s">
        <v>2</v>
      </c>
      <c r="B81" s="87" t="s">
        <v>3</v>
      </c>
      <c r="C81" s="88" t="s">
        <v>132</v>
      </c>
      <c r="D81" s="88" t="s">
        <v>133</v>
      </c>
      <c r="E81" s="87" t="s">
        <v>13</v>
      </c>
    </row>
    <row r="82" spans="1:5" ht="17.4">
      <c r="A82" s="27">
        <v>1</v>
      </c>
      <c r="B82" s="89" t="s">
        <v>134</v>
      </c>
      <c r="C82" s="89" t="s">
        <v>135</v>
      </c>
      <c r="D82" s="90">
        <f>D84/D83</f>
        <v>3.3993197278911564</v>
      </c>
      <c r="E82" s="91" t="s">
        <v>136</v>
      </c>
    </row>
    <row r="83" spans="1:5" ht="17.4">
      <c r="A83" s="27">
        <v>2</v>
      </c>
      <c r="B83" s="89" t="s">
        <v>137</v>
      </c>
      <c r="C83" s="89"/>
      <c r="D83" s="90">
        <v>44100</v>
      </c>
      <c r="E83" s="91" t="s">
        <v>138</v>
      </c>
    </row>
    <row r="84" spans="1:5" ht="17.4">
      <c r="A84" s="27">
        <v>3</v>
      </c>
      <c r="B84" s="89" t="s">
        <v>139</v>
      </c>
      <c r="C84" s="92"/>
      <c r="D84" s="90">
        <f>投资汇总表!I20</f>
        <v>149910</v>
      </c>
      <c r="E84" s="91" t="s">
        <v>140</v>
      </c>
    </row>
    <row r="85" spans="1:5" ht="17.4">
      <c r="A85" s="27">
        <v>4</v>
      </c>
      <c r="B85" s="89" t="s">
        <v>141</v>
      </c>
      <c r="C85" s="89"/>
      <c r="D85" s="90">
        <f>投资汇总表!B46*10000</f>
        <v>34920.475815455997</v>
      </c>
      <c r="E85" s="91" t="s">
        <v>142</v>
      </c>
    </row>
    <row r="86" spans="1:5" ht="17.4">
      <c r="A86" s="27">
        <v>5</v>
      </c>
      <c r="B86" s="89" t="s">
        <v>143</v>
      </c>
      <c r="C86" s="92" t="s">
        <v>144</v>
      </c>
      <c r="D86" s="93">
        <f>D84*3%</f>
        <v>4497.30</v>
      </c>
      <c r="E86" s="91" t="s">
        <v>140</v>
      </c>
    </row>
    <row r="87" spans="1:5" ht="17.4">
      <c r="A87" s="27">
        <v>6</v>
      </c>
      <c r="B87" s="89" t="s">
        <v>145</v>
      </c>
      <c r="C87" s="89" t="s">
        <v>146</v>
      </c>
      <c r="D87" s="93">
        <f>D84*(1-5%)/25</f>
        <v>5696.58</v>
      </c>
      <c r="E87" s="91" t="s">
        <v>140</v>
      </c>
    </row>
    <row r="88" spans="1:5" ht="17.4">
      <c r="A88" s="27">
        <v>7</v>
      </c>
      <c r="B88" s="89" t="s">
        <v>147</v>
      </c>
      <c r="C88" s="89"/>
      <c r="D88" s="93">
        <f>D86+D87</f>
        <v>10193.880000000001</v>
      </c>
      <c r="E88" s="91" t="s">
        <v>140</v>
      </c>
    </row>
    <row r="92" spans="1:3" ht="22.2">
      <c r="A92" s="86" t="s">
        <v>148</v>
      </c>
      <c r="B92" s="86"/>
      <c r="C92" s="86"/>
    </row>
    <row r="93" spans="1:3" ht="17.4">
      <c r="A93" s="89" t="s">
        <v>149</v>
      </c>
      <c r="B93" s="94">
        <f>-投资汇总表!D84</f>
        <v>-149910</v>
      </c>
      <c r="C93" s="95" t="s">
        <v>150</v>
      </c>
    </row>
    <row r="94" spans="1:3" ht="17.4">
      <c r="A94" s="89" t="s">
        <v>151</v>
      </c>
      <c r="B94" s="94" t="e">
        <f>#REF!+投资汇总表!D49*10000-投资汇总表!D86</f>
        <v>#REF!</v>
      </c>
      <c r="C94" s="96" t="e">
        <f>IRR(B93:B94)</f>
        <v>#VALUE!</v>
      </c>
    </row>
    <row r="95" spans="1:3" ht="17.4">
      <c r="A95" s="89" t="s">
        <v>152</v>
      </c>
      <c r="B95" s="94" t="e">
        <f>#REF!+投资汇总表!E49*10000-投资汇总表!D86</f>
        <v>#REF!</v>
      </c>
      <c r="C95" s="96" t="e">
        <f>IRR(B93:B95)</f>
        <v>#VALUE!</v>
      </c>
    </row>
    <row r="96" spans="1:3" ht="17.4">
      <c r="A96" s="89" t="s">
        <v>153</v>
      </c>
      <c r="B96" s="94" t="e">
        <f>#REF!+投资汇总表!F49*10000-投资汇总表!D86</f>
        <v>#REF!</v>
      </c>
      <c r="C96" s="96" t="e">
        <f>IRR(B93:B96)</f>
        <v>#VALUE!</v>
      </c>
    </row>
    <row r="97" spans="1:3" ht="17.4">
      <c r="A97" s="89" t="s">
        <v>154</v>
      </c>
      <c r="B97" s="94" t="e">
        <f>#REF!+投资汇总表!G49*10000-投资汇总表!D86</f>
        <v>#REF!</v>
      </c>
      <c r="C97" s="96" t="e">
        <f>IRR(B93:B97)</f>
        <v>#VALUE!</v>
      </c>
    </row>
    <row r="98" spans="1:3" ht="17.4">
      <c r="A98" s="89" t="s">
        <v>155</v>
      </c>
      <c r="B98" s="94" t="e">
        <f>#REF!+投资汇总表!H49*10000-投资汇总表!D86</f>
        <v>#REF!</v>
      </c>
      <c r="C98" s="96" t="e">
        <f>IRR(B93:B98)</f>
        <v>#VALUE!</v>
      </c>
    </row>
    <row r="99" spans="1:3" ht="17.4">
      <c r="A99" s="89" t="s">
        <v>156</v>
      </c>
      <c r="B99" s="94" t="e">
        <f>#REF!+投资汇总表!I49*10000-投资汇总表!D86</f>
        <v>#REF!</v>
      </c>
      <c r="C99" s="96" t="e">
        <f>IRR(B93:B99)</f>
        <v>#VALUE!</v>
      </c>
    </row>
    <row r="100" spans="1:3" ht="17.4">
      <c r="A100" s="89" t="s">
        <v>157</v>
      </c>
      <c r="B100" s="94" t="e">
        <f>#REF!+投资汇总表!J49*10000-投资汇总表!D86</f>
        <v>#REF!</v>
      </c>
      <c r="C100" s="96" t="e">
        <f>IRR(B93:B100)</f>
        <v>#VALUE!</v>
      </c>
    </row>
    <row r="101" spans="1:3" ht="17.4">
      <c r="A101" s="89" t="s">
        <v>158</v>
      </c>
      <c r="B101" s="94" t="e">
        <f>#REF!+投资汇总表!K49*10000-投资汇总表!D86</f>
        <v>#REF!</v>
      </c>
      <c r="C101" s="96" t="e">
        <f>IRR(B93:B101)</f>
        <v>#VALUE!</v>
      </c>
    </row>
    <row r="102" spans="1:3" ht="17.4">
      <c r="A102" s="89" t="s">
        <v>159</v>
      </c>
      <c r="B102" s="94" t="e">
        <f>#REF!+投资汇总表!L49*10000-投资汇总表!D86</f>
        <v>#REF!</v>
      </c>
      <c r="C102" s="96" t="e">
        <f>IRR(B93:B102)</f>
        <v>#VALUE!</v>
      </c>
    </row>
    <row r="103" spans="1:3" ht="17.4">
      <c r="A103" s="89" t="s">
        <v>160</v>
      </c>
      <c r="B103" s="94" t="e">
        <f>#REF!+投资汇总表!M49*10000-投资汇总表!D86</f>
        <v>#REF!</v>
      </c>
      <c r="C103" s="96" t="e">
        <f>IRR(B93:B103)</f>
        <v>#VALUE!</v>
      </c>
    </row>
    <row r="104" spans="1:3" ht="17.4">
      <c r="A104" s="89" t="s">
        <v>161</v>
      </c>
      <c r="B104" s="94" t="e">
        <f>#REF!+投资汇总表!N49*10000-投资汇总表!D86</f>
        <v>#REF!</v>
      </c>
      <c r="C104" s="96" t="e">
        <f>IRR(B93:B104)</f>
        <v>#VALUE!</v>
      </c>
    </row>
    <row r="105" spans="1:3" ht="17.4">
      <c r="A105" s="89" t="s">
        <v>162</v>
      </c>
      <c r="B105" s="94" t="e">
        <f>#REF!+投资汇总表!O49*10000-投资汇总表!D86</f>
        <v>#REF!</v>
      </c>
      <c r="C105" s="96" t="e">
        <f>IRR(B93:B105)</f>
        <v>#VALUE!</v>
      </c>
    </row>
    <row r="106" spans="1:3" ht="17.4">
      <c r="A106" s="89" t="s">
        <v>163</v>
      </c>
      <c r="B106" s="94" t="e">
        <f>#REF!+投资汇总表!P49*10000-投资汇总表!D86</f>
        <v>#REF!</v>
      </c>
      <c r="C106" s="96" t="e">
        <f>IRR(B93:B106)</f>
        <v>#VALUE!</v>
      </c>
    </row>
    <row r="107" spans="1:3" ht="17.4">
      <c r="A107" s="89" t="s">
        <v>164</v>
      </c>
      <c r="B107" s="94" t="e">
        <f>#REF!+投资汇总表!D56*10000-投资汇总表!D86</f>
        <v>#REF!</v>
      </c>
      <c r="C107" s="96" t="e">
        <f>IRR(B93:B107)</f>
        <v>#VALUE!</v>
      </c>
    </row>
    <row r="108" spans="1:3" ht="17.4">
      <c r="A108" s="89" t="s">
        <v>165</v>
      </c>
      <c r="B108" s="94" t="e">
        <f>#REF!+投资汇总表!E56*10000-投资汇总表!D86</f>
        <v>#REF!</v>
      </c>
      <c r="C108" s="96" t="e">
        <f>IRR(B93:B108)</f>
        <v>#VALUE!</v>
      </c>
    </row>
    <row r="109" spans="1:3" ht="17.4">
      <c r="A109" s="89" t="s">
        <v>166</v>
      </c>
      <c r="B109" s="94" t="e">
        <f>#REF!+投资汇总表!F56*10000-投资汇总表!D86</f>
        <v>#REF!</v>
      </c>
      <c r="C109" s="96" t="e">
        <f>IRR(B93:B109)</f>
        <v>#VALUE!</v>
      </c>
    </row>
    <row r="110" spans="1:3" ht="17.4">
      <c r="A110" s="89" t="s">
        <v>167</v>
      </c>
      <c r="B110" s="94" t="e">
        <f>#REF!+投资汇总表!G56*10000-投资汇总表!D86</f>
        <v>#REF!</v>
      </c>
      <c r="C110" s="96" t="e">
        <f>IRR(B93:B110)</f>
        <v>#VALUE!</v>
      </c>
    </row>
    <row r="111" spans="1:3" ht="17.4">
      <c r="A111" s="89" t="s">
        <v>168</v>
      </c>
      <c r="B111" s="94" t="e">
        <f>#REF!+投资汇总表!H56*10000-投资汇总表!D86</f>
        <v>#REF!</v>
      </c>
      <c r="C111" s="96" t="e">
        <f>IRR(B93:B111)</f>
        <v>#VALUE!</v>
      </c>
    </row>
    <row r="112" spans="1:3" ht="17.4">
      <c r="A112" s="89" t="s">
        <v>169</v>
      </c>
      <c r="B112" s="94" t="e">
        <f>#REF!+投资汇总表!I56*10000-投资汇总表!D86</f>
        <v>#REF!</v>
      </c>
      <c r="C112" s="96" t="e">
        <f>IRR(B93:B112)</f>
        <v>#VALUE!</v>
      </c>
    </row>
    <row r="113" spans="1:3" ht="17.4">
      <c r="A113" s="89" t="s">
        <v>170</v>
      </c>
      <c r="B113" s="94" t="e">
        <f>#REF!+投资汇总表!J56*10000-投资汇总表!D86</f>
        <v>#REF!</v>
      </c>
      <c r="C113" s="96" t="e">
        <f>IRR(B93:B113)</f>
        <v>#VALUE!</v>
      </c>
    </row>
    <row r="114" spans="1:3" ht="17.4">
      <c r="A114" s="89" t="s">
        <v>171</v>
      </c>
      <c r="B114" s="94" t="e">
        <f>#REF!+投资汇总表!K56*10000-投资汇总表!D86</f>
        <v>#REF!</v>
      </c>
      <c r="C114" s="96" t="e">
        <f>IRR(B93:B114)</f>
        <v>#VALUE!</v>
      </c>
    </row>
    <row r="115" spans="1:3" ht="17.4">
      <c r="A115" s="89" t="s">
        <v>172</v>
      </c>
      <c r="B115" s="94" t="e">
        <f>#REF!+投资汇总表!L56*10000-投资汇总表!D86</f>
        <v>#REF!</v>
      </c>
      <c r="C115" s="96" t="e">
        <f>IRR(B93:B115)</f>
        <v>#VALUE!</v>
      </c>
    </row>
    <row r="116" spans="1:3" ht="17.4">
      <c r="A116" s="89" t="s">
        <v>173</v>
      </c>
      <c r="B116" s="94" t="e">
        <f>#REF!+投资汇总表!M56*10000-投资汇总表!D86</f>
        <v>#REF!</v>
      </c>
      <c r="C116" s="96" t="e">
        <f>IRR(B93:B116)</f>
        <v>#VALUE!</v>
      </c>
    </row>
    <row r="117" spans="1:3" ht="17.4">
      <c r="A117" s="89" t="s">
        <v>174</v>
      </c>
      <c r="B117" s="94" t="e">
        <f>#REF!+投资汇总表!N56*10000-投资汇总表!D86</f>
        <v>#REF!</v>
      </c>
      <c r="C117" s="96" t="e">
        <f>IRR(B93:B117)</f>
        <v>#VALUE!</v>
      </c>
    </row>
    <row r="118" spans="1:3" ht="17.4">
      <c r="A118" s="89" t="s">
        <v>175</v>
      </c>
      <c r="B118" s="94" t="e">
        <f>#REF!+投资汇总表!O56*10000-投资汇总表!D86</f>
        <v>#REF!</v>
      </c>
      <c r="C118" s="96" t="e">
        <f>IRR(B93:B118)</f>
        <v>#VALUE!</v>
      </c>
    </row>
    <row r="119" spans="1:2" ht="17.4">
      <c r="A119" s="15" t="s">
        <v>176</v>
      </c>
      <c r="B119" s="97" t="e">
        <f>IRR(B93:B118)</f>
        <v>#VALUE!</v>
      </c>
    </row>
    <row r="124" spans="1:8" ht="17.4">
      <c r="A124" s="98" t="s">
        <v>177</v>
      </c>
      <c r="B124" s="98"/>
      <c r="C124" s="98"/>
      <c r="D124" s="98"/>
      <c r="E124" s="98"/>
      <c r="F124" s="98"/>
      <c r="G124" s="98"/>
      <c r="H124" s="98"/>
    </row>
    <row r="125" spans="1:8" ht="15.6">
      <c r="A125" s="99"/>
      <c r="B125" s="100" t="s">
        <v>178</v>
      </c>
      <c r="C125" s="100" t="s">
        <v>179</v>
      </c>
      <c r="D125" s="100" t="s">
        <v>180</v>
      </c>
      <c r="E125" s="100" t="s">
        <v>181</v>
      </c>
      <c r="F125" s="100" t="s">
        <v>182</v>
      </c>
      <c r="G125" s="100" t="s">
        <v>183</v>
      </c>
      <c r="H125" s="101" t="s">
        <v>13</v>
      </c>
    </row>
    <row r="126" spans="1:8" ht="15.6">
      <c r="A126" s="102" t="s">
        <v>184</v>
      </c>
      <c r="B126" s="102">
        <v>330</v>
      </c>
      <c r="C126" s="102">
        <v>0.40</v>
      </c>
      <c r="D126" s="102">
        <v>2.30</v>
      </c>
      <c r="E126" s="102">
        <v>822</v>
      </c>
      <c r="F126" s="102">
        <v>119.45</v>
      </c>
      <c r="G126" s="102">
        <v>15</v>
      </c>
      <c r="H126" s="103" t="s">
        <v>185</v>
      </c>
    </row>
    <row r="127" spans="1:8" ht="15.6">
      <c r="A127" s="102" t="s">
        <v>186</v>
      </c>
      <c r="B127" s="104">
        <f>投资汇总表!B46*B126/100</f>
        <v>11.523757019100479</v>
      </c>
      <c r="C127" s="104">
        <f>投资汇总表!B46*C126*1/100</f>
        <v>0.013968190326182399</v>
      </c>
      <c r="D127" s="104">
        <f>投资汇总表!B46*D126/100</f>
        <v>0.080317094375548792</v>
      </c>
      <c r="E127" s="104">
        <f>投资汇总表!B46*E126/100</f>
        <v>28.704631120304828</v>
      </c>
      <c r="F127" s="104">
        <f>投资汇总表!B46*F126/100</f>
        <v>4.1712508361562186</v>
      </c>
      <c r="G127" s="104">
        <f>投资汇总表!B46*G126/100</f>
        <v>0.52380713723183991</v>
      </c>
      <c r="H127" s="103" t="s">
        <v>187</v>
      </c>
    </row>
  </sheetData>
  <sheetProtection password="DF0A" sheet="1" objects="1"/>
  <mergeCells count="14">
    <mergeCell ref="A1:C1"/>
    <mergeCell ref="A2:C2"/>
    <mergeCell ref="A8:B8"/>
    <mergeCell ref="A10:J10"/>
    <mergeCell ref="A12:C12"/>
    <mergeCell ref="A20:C20"/>
    <mergeCell ref="A21:C21"/>
    <mergeCell ref="A35:C35"/>
    <mergeCell ref="A43:P43"/>
    <mergeCell ref="A58:C58"/>
    <mergeCell ref="A80:E80"/>
    <mergeCell ref="A92:C92"/>
    <mergeCell ref="A124:H124"/>
    <mergeCell ref="F1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投资汇总表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</dc:creator>
  <cp:keywords/>
  <dc:description/>
  <cp:lastModifiedBy>V.</cp:lastModifiedBy>
  <dcterms:created xsi:type="dcterms:W3CDTF">2021-01-15T03:39:00Z</dcterms:created>
  <dcterms:modified xsi:type="dcterms:W3CDTF">2024-03-06T09:11:23Z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AFE94BCF4D154B6C8CD302CE27BE1380</vt:lpwstr>
  </property>
</Properties>
</file>