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3500" tabRatio="728"/>
  </bookViews>
  <sheets>
    <sheet name="基本数据" sheetId="17" r:id="rId1"/>
    <sheet name="IRR模型" sheetId="16" r:id="rId2"/>
    <sheet name="储能敏感性分析" sheetId="18" r:id="rId3"/>
  </sheets>
  <calcPr calcId="144525"/>
</workbook>
</file>

<file path=xl/sharedStrings.xml><?xml version="1.0" encoding="utf-8"?>
<sst xmlns="http://schemas.openxmlformats.org/spreadsheetml/2006/main" count="218" uniqueCount="129">
  <si>
    <r>
      <rPr>
        <sz val="11"/>
        <color theme="0"/>
        <rFont val="宋体"/>
        <charset val="134"/>
      </rPr>
      <t>阳光工匠论坛（</t>
    </r>
    <r>
      <rPr>
        <sz val="11"/>
        <color theme="0"/>
        <rFont val="Calibri"/>
        <charset val="134"/>
      </rPr>
      <t>bbs.21spv.com</t>
    </r>
    <r>
      <rPr>
        <sz val="11"/>
        <color theme="0"/>
        <rFont val="宋体"/>
        <charset val="134"/>
      </rPr>
      <t>）</t>
    </r>
    <r>
      <rPr>
        <sz val="11"/>
        <color theme="0"/>
        <rFont val="Calibri"/>
        <charset val="134"/>
      </rPr>
      <t xml:space="preserve">   </t>
    </r>
    <r>
      <rPr>
        <sz val="11"/>
        <color theme="0"/>
        <rFont val="宋体"/>
        <charset val="134"/>
      </rPr>
      <t>光伏</t>
    </r>
    <r>
      <rPr>
        <sz val="11"/>
        <color theme="0"/>
        <rFont val="Calibri"/>
        <charset val="134"/>
      </rPr>
      <t>/</t>
    </r>
    <r>
      <rPr>
        <sz val="11"/>
        <color theme="0"/>
        <rFont val="宋体"/>
        <charset val="134"/>
      </rPr>
      <t>储能</t>
    </r>
    <r>
      <rPr>
        <sz val="11"/>
        <color theme="0"/>
        <rFont val="Calibri"/>
        <charset val="134"/>
      </rPr>
      <t>/</t>
    </r>
    <r>
      <rPr>
        <sz val="11"/>
        <color theme="0"/>
        <rFont val="宋体"/>
        <charset val="134"/>
      </rPr>
      <t>运维</t>
    </r>
    <r>
      <rPr>
        <sz val="11"/>
        <color theme="0"/>
        <rFont val="Calibri"/>
        <charset val="134"/>
      </rPr>
      <t>/</t>
    </r>
    <r>
      <rPr>
        <sz val="11"/>
        <color theme="0"/>
        <rFont val="宋体"/>
        <charset val="134"/>
      </rPr>
      <t>能源</t>
    </r>
    <r>
      <rPr>
        <sz val="11"/>
        <color theme="0"/>
        <rFont val="Calibri"/>
        <charset val="134"/>
      </rPr>
      <t>/</t>
    </r>
    <r>
      <rPr>
        <sz val="11"/>
        <color theme="0"/>
        <rFont val="宋体"/>
        <charset val="134"/>
      </rPr>
      <t>电力资料下载</t>
    </r>
    <r>
      <rPr>
        <sz val="11"/>
        <color theme="0"/>
        <rFont val="Calibri"/>
        <charset val="134"/>
      </rPr>
      <t xml:space="preserve">   QQ</t>
    </r>
    <r>
      <rPr>
        <sz val="11"/>
        <color theme="0"/>
        <rFont val="宋体"/>
        <charset val="134"/>
      </rPr>
      <t>群：</t>
    </r>
    <r>
      <rPr>
        <sz val="11"/>
        <color theme="0"/>
        <rFont val="Calibri"/>
        <charset val="134"/>
      </rPr>
      <t xml:space="preserve">312095674   </t>
    </r>
    <r>
      <rPr>
        <sz val="11"/>
        <color theme="0"/>
        <rFont val="宋体"/>
        <charset val="134"/>
      </rPr>
      <t>小编微信：</t>
    </r>
    <r>
      <rPr>
        <sz val="11"/>
        <color theme="0"/>
        <rFont val="Calibri"/>
        <charset val="134"/>
      </rPr>
      <t>15995027646</t>
    </r>
  </si>
  <si>
    <r>
      <rPr>
        <sz val="11"/>
        <color theme="1"/>
        <rFont val="Arial Unicode MS"/>
        <charset val="134"/>
      </rPr>
      <t>基本数据</t>
    </r>
  </si>
  <si>
    <r>
      <rPr>
        <sz val="11"/>
        <color theme="1"/>
        <rFont val="宋体"/>
        <charset val="134"/>
      </rPr>
      <t>其他数据</t>
    </r>
  </si>
  <si>
    <r>
      <rPr>
        <sz val="11"/>
        <color theme="1"/>
        <rFont val="宋体"/>
        <charset val="134"/>
      </rPr>
      <t>光伏部分</t>
    </r>
  </si>
  <si>
    <t>储能部分</t>
  </si>
  <si>
    <t>充电桩部分</t>
  </si>
  <si>
    <t>编号</t>
  </si>
  <si>
    <t>项目</t>
  </si>
  <si>
    <t>单位</t>
  </si>
  <si>
    <t>数据</t>
  </si>
  <si>
    <t>每日循环次数</t>
  </si>
  <si>
    <t>项目情况</t>
  </si>
  <si>
    <t>容量使用费</t>
  </si>
  <si>
    <r>
      <rPr>
        <sz val="11"/>
        <color theme="1"/>
        <rFont val="宋体"/>
        <charset val="134"/>
      </rPr>
      <t>元</t>
    </r>
    <r>
      <rPr>
        <sz val="11"/>
        <color theme="1"/>
        <rFont val="Calibri"/>
        <charset val="134"/>
      </rPr>
      <t>/KVA</t>
    </r>
  </si>
  <si>
    <t>无功补偿费</t>
  </si>
  <si>
    <t>装机容量</t>
  </si>
  <si>
    <t>kW</t>
  </si>
  <si>
    <t>蓄电池容量</t>
  </si>
  <si>
    <t>kWh</t>
  </si>
  <si>
    <t>充电桩容量</t>
  </si>
  <si>
    <t>需求响应</t>
  </si>
  <si>
    <r>
      <rPr>
        <sz val="11"/>
        <color theme="1"/>
        <rFont val="宋体"/>
        <charset val="134"/>
      </rPr>
      <t>元</t>
    </r>
    <r>
      <rPr>
        <sz val="11"/>
        <color theme="1"/>
        <rFont val="Calibri"/>
        <charset val="134"/>
      </rPr>
      <t>/kWh</t>
    </r>
  </si>
  <si>
    <t>首年发电小时数</t>
  </si>
  <si>
    <t>h</t>
  </si>
  <si>
    <t>效率</t>
  </si>
  <si>
    <t>%</t>
  </si>
  <si>
    <t>充电电量</t>
  </si>
  <si>
    <t>kWh/d</t>
  </si>
  <si>
    <t>用户电价</t>
  </si>
  <si>
    <t>DOD</t>
  </si>
  <si>
    <t>充电服务费</t>
  </si>
  <si>
    <t>脱硫燃煤电价</t>
  </si>
  <si>
    <t>增容</t>
  </si>
  <si>
    <t>KVA</t>
  </si>
  <si>
    <t>投资</t>
  </si>
  <si>
    <t>无功补偿容量</t>
  </si>
  <si>
    <t>充电桩投资</t>
  </si>
  <si>
    <t>元</t>
  </si>
  <si>
    <t>每瓦静态投资</t>
  </si>
  <si>
    <r>
      <rPr>
        <sz val="10"/>
        <color indexed="8"/>
        <rFont val="宋体"/>
        <charset val="134"/>
      </rPr>
      <t>元</t>
    </r>
    <r>
      <rPr>
        <sz val="10"/>
        <color indexed="8"/>
        <rFont val="Arial"/>
        <charset val="134"/>
      </rPr>
      <t>/Wp</t>
    </r>
  </si>
  <si>
    <t>电价情况</t>
  </si>
  <si>
    <t>运营</t>
  </si>
  <si>
    <t>非夏季峰谷价差</t>
  </si>
  <si>
    <t>年均经营成本</t>
  </si>
  <si>
    <t>非夏季峰平价差</t>
  </si>
  <si>
    <t>折旧期</t>
  </si>
  <si>
    <t>年</t>
  </si>
  <si>
    <t>夏季峰谷价差</t>
  </si>
  <si>
    <t>残值率</t>
  </si>
  <si>
    <t>补贴</t>
  </si>
  <si>
    <t>夏季峰平价差</t>
  </si>
  <si>
    <t>电价补贴</t>
  </si>
  <si>
    <t>每WH静态投资</t>
  </si>
  <si>
    <t>元/Wh</t>
  </si>
  <si>
    <t>元/Wp</t>
  </si>
  <si>
    <t>上网模式</t>
  </si>
  <si>
    <t>自用比例</t>
  </si>
  <si>
    <t>循环寿命</t>
  </si>
  <si>
    <t>次</t>
  </si>
  <si>
    <t>电费折扣</t>
  </si>
  <si>
    <t>电池年衰减率</t>
  </si>
  <si>
    <t>年运行天数</t>
  </si>
  <si>
    <t>天</t>
  </si>
  <si>
    <t>汇总信息</t>
  </si>
  <si>
    <t>财务指标</t>
  </si>
  <si>
    <t>总造价</t>
  </si>
  <si>
    <t>回收期(税前)</t>
  </si>
  <si>
    <t>回收期(税后)</t>
  </si>
  <si>
    <t>实际投资</t>
  </si>
  <si>
    <t>财务净现值(税前)</t>
  </si>
  <si>
    <t>运营比例</t>
  </si>
  <si>
    <t>财务净现值(税后)</t>
  </si>
  <si>
    <t>资本金比例</t>
  </si>
  <si>
    <t>全投资内部收益率(税前)</t>
  </si>
  <si>
    <t>长期贷款利率</t>
  </si>
  <si>
    <t>全投资内部收益率(税后)</t>
  </si>
  <si>
    <t>长期贷款还款期限</t>
  </si>
  <si>
    <r>
      <rPr>
        <sz val="11"/>
        <color theme="1"/>
        <rFont val="宋体"/>
        <charset val="134"/>
      </rPr>
      <t>分类</t>
    </r>
  </si>
  <si>
    <r>
      <rPr>
        <sz val="11"/>
        <color theme="1"/>
        <rFont val="宋体"/>
        <charset val="134"/>
      </rPr>
      <t>合计</t>
    </r>
  </si>
  <si>
    <r>
      <rPr>
        <b/>
        <sz val="11"/>
        <color theme="1"/>
        <rFont val="宋体"/>
        <charset val="134"/>
      </rPr>
      <t>光伏发电量</t>
    </r>
    <r>
      <rPr>
        <b/>
        <sz val="11"/>
        <color theme="1"/>
        <rFont val="Calibri"/>
        <charset val="134"/>
      </rPr>
      <t>(KWH)</t>
    </r>
  </si>
  <si>
    <r>
      <rPr>
        <sz val="11"/>
        <color theme="1"/>
        <rFont val="宋体"/>
        <charset val="134"/>
      </rPr>
      <t>衰减率</t>
    </r>
  </si>
  <si>
    <r>
      <rPr>
        <sz val="11"/>
        <color theme="1"/>
        <rFont val="宋体"/>
        <charset val="134"/>
      </rPr>
      <t>每年发电量</t>
    </r>
    <r>
      <rPr>
        <sz val="11"/>
        <color theme="1"/>
        <rFont val="Calibri"/>
        <charset val="134"/>
      </rPr>
      <t>(KWH)</t>
    </r>
  </si>
  <si>
    <t>收入</t>
  </si>
  <si>
    <r>
      <rPr>
        <sz val="11"/>
        <color theme="1"/>
        <rFont val="宋体"/>
        <charset val="134"/>
      </rPr>
      <t>上网电价部分</t>
    </r>
  </si>
  <si>
    <r>
      <rPr>
        <sz val="11"/>
        <color theme="1"/>
        <rFont val="宋体"/>
        <charset val="134"/>
      </rPr>
      <t>企业电价部分</t>
    </r>
  </si>
  <si>
    <t>补贴-国家-20年</t>
  </si>
  <si>
    <t>峰谷电价差</t>
  </si>
  <si>
    <t>按需增容费</t>
  </si>
  <si>
    <t>无功补偿费用</t>
  </si>
  <si>
    <r>
      <rPr>
        <b/>
        <u/>
        <sz val="11"/>
        <color theme="1"/>
        <rFont val="宋体"/>
        <charset val="134"/>
      </rPr>
      <t>收入合计</t>
    </r>
  </si>
  <si>
    <t>运营费用</t>
  </si>
  <si>
    <r>
      <rPr>
        <sz val="11"/>
        <color theme="1"/>
        <rFont val="宋体"/>
        <charset val="134"/>
      </rPr>
      <t>设施维护费</t>
    </r>
  </si>
  <si>
    <t>更换PCS及大修</t>
  </si>
  <si>
    <t>费用合计</t>
  </si>
  <si>
    <t>贷款</t>
  </si>
  <si>
    <t>等额本金</t>
  </si>
  <si>
    <t>-本金</t>
  </si>
  <si>
    <t>-利息</t>
  </si>
  <si>
    <t>等额本息</t>
  </si>
  <si>
    <t>贷款合计</t>
  </si>
  <si>
    <t>税费</t>
  </si>
  <si>
    <t>累计收入</t>
  </si>
  <si>
    <r>
      <rPr>
        <sz val="11"/>
        <color theme="1"/>
        <rFont val="宋体"/>
        <charset val="134"/>
      </rPr>
      <t>增值税</t>
    </r>
  </si>
  <si>
    <r>
      <rPr>
        <sz val="11"/>
        <color theme="1"/>
        <rFont val="宋体"/>
        <charset val="134"/>
      </rPr>
      <t>增值税附加</t>
    </r>
  </si>
  <si>
    <t>折旧</t>
  </si>
  <si>
    <r>
      <rPr>
        <sz val="11"/>
        <color theme="1"/>
        <rFont val="宋体"/>
        <charset val="134"/>
      </rPr>
      <t>所得税</t>
    </r>
  </si>
  <si>
    <t>税费汇总</t>
  </si>
  <si>
    <t>累计现金净流入</t>
  </si>
  <si>
    <t>现金流</t>
  </si>
  <si>
    <t>税前收入</t>
  </si>
  <si>
    <t>税前回收期</t>
  </si>
  <si>
    <t>税后回收期</t>
  </si>
  <si>
    <r>
      <rPr>
        <sz val="11"/>
        <color theme="1"/>
        <rFont val="宋体"/>
        <charset val="134"/>
      </rPr>
      <t>全投资内部收益率</t>
    </r>
    <r>
      <rPr>
        <sz val="11"/>
        <color theme="1"/>
        <rFont val="Calibri"/>
        <charset val="134"/>
      </rPr>
      <t>(</t>
    </r>
    <r>
      <rPr>
        <sz val="11"/>
        <color theme="1"/>
        <rFont val="宋体"/>
        <charset val="134"/>
      </rPr>
      <t>税前</t>
    </r>
    <r>
      <rPr>
        <sz val="11"/>
        <color theme="1"/>
        <rFont val="Calibri"/>
        <charset val="134"/>
      </rPr>
      <t>)</t>
    </r>
  </si>
  <si>
    <r>
      <rPr>
        <sz val="11"/>
        <color theme="1"/>
        <rFont val="宋体"/>
        <charset val="134"/>
      </rPr>
      <t>全投资内部收益率</t>
    </r>
    <r>
      <rPr>
        <sz val="11"/>
        <color theme="1"/>
        <rFont val="Calibri"/>
        <charset val="134"/>
      </rPr>
      <t>(</t>
    </r>
    <r>
      <rPr>
        <sz val="11"/>
        <color theme="1"/>
        <rFont val="宋体"/>
        <charset val="134"/>
      </rPr>
      <t>税后</t>
    </r>
    <r>
      <rPr>
        <sz val="11"/>
        <color theme="1"/>
        <rFont val="Calibri"/>
        <charset val="134"/>
      </rPr>
      <t>)</t>
    </r>
  </si>
  <si>
    <t>一天充放一次</t>
  </si>
  <si>
    <r>
      <rPr>
        <sz val="11"/>
        <color indexed="8"/>
        <rFont val="宋体"/>
        <charset val="134"/>
      </rPr>
      <t>序号</t>
    </r>
  </si>
  <si>
    <r>
      <rPr>
        <sz val="11"/>
        <color indexed="8"/>
        <rFont val="宋体"/>
        <charset val="134"/>
      </rPr>
      <t>项目</t>
    </r>
  </si>
  <si>
    <r>
      <rPr>
        <sz val="11"/>
        <color indexed="8"/>
        <rFont val="宋体"/>
        <charset val="134"/>
      </rPr>
      <t>财务内部收益率（</t>
    </r>
    <r>
      <rPr>
        <sz val="11"/>
        <color indexed="8"/>
        <rFont val="Arial"/>
        <charset val="134"/>
      </rPr>
      <t>%</t>
    </r>
    <r>
      <rPr>
        <sz val="11"/>
        <color indexed="8"/>
        <rFont val="宋体"/>
        <charset val="134"/>
      </rPr>
      <t>）</t>
    </r>
  </si>
  <si>
    <t>全部投资（所得税前）</t>
  </si>
  <si>
    <t>全部投资（所得税后）</t>
  </si>
  <si>
    <t>考虑30%残值</t>
  </si>
  <si>
    <r>
      <rPr>
        <sz val="11"/>
        <color indexed="8"/>
        <rFont val="宋体"/>
        <charset val="134"/>
      </rPr>
      <t>基本方案</t>
    </r>
  </si>
  <si>
    <r>
      <rPr>
        <sz val="11"/>
        <color indexed="8"/>
        <rFont val="宋体"/>
        <charset val="134"/>
      </rPr>
      <t>投资变化</t>
    </r>
  </si>
  <si>
    <t>电价变化</t>
  </si>
  <si>
    <t>峰谷</t>
  </si>
  <si>
    <t>注：基本方案，投资1.30375元/Wh，电价差0.6098元/kWh</t>
  </si>
  <si>
    <t>一天充放两次</t>
  </si>
  <si>
    <t>峰平</t>
  </si>
  <si>
    <t>注：基本方案，投资1.30375元/Wh，峰谷电价差0.6098元/kWh，峰平电价差0.3094元/kWh，</t>
  </si>
</sst>
</file>

<file path=xl/styles.xml><?xml version="1.0" encoding="utf-8"?>
<styleSheet xmlns="http://schemas.openxmlformats.org/spreadsheetml/2006/main">
  <numFmts count="10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  <numFmt numFmtId="177" formatCode="0.0000_ "/>
    <numFmt numFmtId="178" formatCode="0.0%"/>
    <numFmt numFmtId="179" formatCode="_ * #,##0_ ;_ * \-#,##0_ ;_ * &quot;-&quot;??_ ;_ @_ "/>
    <numFmt numFmtId="180" formatCode="\¥#,##0.00;[Red]\¥\-#,##0.00"/>
    <numFmt numFmtId="181" formatCode="0_ "/>
  </numFmts>
  <fonts count="4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indexed="9"/>
      <name val="Arial"/>
      <charset val="134"/>
    </font>
    <font>
      <sz val="11"/>
      <color indexed="8"/>
      <name val="Arial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u/>
      <sz val="11"/>
      <color theme="1"/>
      <name val="Calibri"/>
      <charset val="134"/>
    </font>
    <font>
      <b/>
      <sz val="11"/>
      <color rgb="FFFF0000"/>
      <name val="宋体"/>
      <charset val="134"/>
    </font>
    <font>
      <b/>
      <sz val="11"/>
      <color rgb="FFFF0000"/>
      <name val="Calibri"/>
      <charset val="134"/>
    </font>
    <font>
      <b/>
      <u/>
      <sz val="11"/>
      <color theme="1"/>
      <name val="宋体"/>
      <charset val="134"/>
    </font>
    <font>
      <sz val="11"/>
      <color theme="0"/>
      <name val="宋体"/>
      <charset val="134"/>
    </font>
    <font>
      <sz val="11"/>
      <color theme="0"/>
      <name val="Calibri"/>
      <charset val="134"/>
    </font>
    <font>
      <sz val="10"/>
      <color indexed="8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u/>
      <sz val="11"/>
      <color indexed="12"/>
      <name val="Calibri"/>
      <charset val="134"/>
    </font>
    <font>
      <u/>
      <sz val="12"/>
      <color indexed="12"/>
      <name val="宋体"/>
      <charset val="134"/>
    </font>
    <font>
      <sz val="11"/>
      <color theme="1"/>
      <name val="Tahoma"/>
      <charset val="134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Arial Unicode MS"/>
      <charset val="134"/>
    </font>
    <font>
      <sz val="10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2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3" fillId="20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0" fillId="29" borderId="23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7" fillId="24" borderId="20" applyNumberFormat="0" applyAlignment="0" applyProtection="0">
      <alignment vertical="center"/>
    </xf>
    <xf numFmtId="0" fontId="37" fillId="24" borderId="18" applyNumberFormat="0" applyAlignment="0" applyProtection="0">
      <alignment vertical="center"/>
    </xf>
    <xf numFmtId="0" fontId="22" fillId="19" borderId="17" applyNumberFormat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17" fillId="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1" fillId="0" borderId="0"/>
    <xf numFmtId="0" fontId="17" fillId="3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/>
    <xf numFmtId="0" fontId="4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left" indent="1"/>
      <protection locked="0"/>
    </xf>
    <xf numFmtId="0" fontId="2" fillId="3" borderId="3" xfId="0" applyFont="1" applyFill="1" applyBorder="1" applyAlignment="1" applyProtection="1">
      <alignment horizontal="left" indent="1"/>
      <protection locked="0"/>
    </xf>
    <xf numFmtId="0" fontId="2" fillId="3" borderId="4" xfId="0" applyFont="1" applyFill="1" applyBorder="1" applyAlignment="1" applyProtection="1">
      <alignment horizontal="left" indent="1"/>
      <protection locked="0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vertic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0" fontId="3" fillId="4" borderId="6" xfId="0" applyFont="1" applyFill="1" applyBorder="1" applyProtection="1">
      <protection locked="0"/>
    </xf>
    <xf numFmtId="10" fontId="3" fillId="4" borderId="6" xfId="11" applyNumberFormat="1" applyFont="1" applyFill="1" applyBorder="1" applyAlignment="1" applyProtection="1">
      <alignment horizontal="center" vertical="center"/>
      <protection locked="0"/>
    </xf>
    <xf numFmtId="10" fontId="3" fillId="4" borderId="7" xfId="11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Protection="1">
      <protection locked="0"/>
    </xf>
    <xf numFmtId="9" fontId="3" fillId="4" borderId="6" xfId="0" applyNumberFormat="1" applyFont="1" applyFill="1" applyBorder="1" applyAlignment="1" applyProtection="1">
      <alignment horizontal="center"/>
      <protection locked="0"/>
    </xf>
    <xf numFmtId="176" fontId="0" fillId="0" borderId="0" xfId="0" applyNumberFormat="1" applyProtection="1"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176" fontId="0" fillId="5" borderId="0" xfId="0" applyNumberFormat="1" applyFill="1" applyProtection="1"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Protection="1">
      <protection locked="0"/>
    </xf>
    <xf numFmtId="177" fontId="0" fillId="0" borderId="0" xfId="0" applyNumberFormat="1" applyProtection="1"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left"/>
      <protection locked="0"/>
    </xf>
    <xf numFmtId="177" fontId="0" fillId="5" borderId="0" xfId="0" applyNumberFormat="1" applyFill="1" applyProtection="1">
      <protection locked="0"/>
    </xf>
    <xf numFmtId="0" fontId="6" fillId="0" borderId="0" xfId="0" applyFont="1" applyProtection="1">
      <protection locked="0"/>
    </xf>
    <xf numFmtId="0" fontId="6" fillId="6" borderId="6" xfId="0" applyFont="1" applyFill="1" applyBorder="1" applyProtection="1">
      <protection locked="0"/>
    </xf>
    <xf numFmtId="0" fontId="7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78" fontId="6" fillId="0" borderId="0" xfId="0" applyNumberFormat="1" applyFont="1" applyProtection="1">
      <protection locked="0"/>
    </xf>
    <xf numFmtId="179" fontId="6" fillId="0" borderId="0" xfId="8" applyNumberFormat="1" applyFont="1" applyAlignment="1" applyProtection="1">
      <protection locked="0"/>
    </xf>
    <xf numFmtId="0" fontId="8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vertical="center"/>
      <protection locked="0"/>
    </xf>
    <xf numFmtId="179" fontId="7" fillId="0" borderId="0" xfId="0" applyNumberFormat="1" applyFont="1" applyProtection="1">
      <protection locked="0"/>
    </xf>
    <xf numFmtId="43" fontId="7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43" fontId="6" fillId="0" borderId="0" xfId="8" applyFont="1" applyAlignment="1" applyProtection="1">
      <protection locked="0"/>
    </xf>
    <xf numFmtId="179" fontId="6" fillId="0" borderId="0" xfId="0" applyNumberFormat="1" applyFont="1" applyProtection="1">
      <protection locked="0"/>
    </xf>
    <xf numFmtId="0" fontId="10" fillId="0" borderId="0" xfId="0" applyFont="1" applyProtection="1">
      <protection locked="0"/>
    </xf>
    <xf numFmtId="0" fontId="12" fillId="0" borderId="0" xfId="0" applyFont="1" applyProtection="1">
      <protection locked="0"/>
    </xf>
    <xf numFmtId="43" fontId="6" fillId="0" borderId="0" xfId="0" applyNumberFormat="1" applyFont="1" applyProtection="1">
      <protection locked="0"/>
    </xf>
    <xf numFmtId="0" fontId="13" fillId="0" borderId="0" xfId="0" applyFont="1" applyProtection="1">
      <protection locked="0"/>
    </xf>
    <xf numFmtId="43" fontId="7" fillId="0" borderId="0" xfId="8" applyFont="1" applyAlignme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76" fontId="6" fillId="0" borderId="0" xfId="0" applyNumberFormat="1" applyFont="1" applyProtection="1">
      <protection locked="0"/>
    </xf>
    <xf numFmtId="180" fontId="6" fillId="0" borderId="0" xfId="0" applyNumberFormat="1" applyFont="1" applyProtection="1">
      <protection locked="0"/>
    </xf>
    <xf numFmtId="0" fontId="6" fillId="0" borderId="6" xfId="0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14" fillId="7" borderId="0" xfId="0" applyFont="1" applyFill="1" applyAlignment="1" applyProtection="1">
      <alignment horizontal="center" vertical="center"/>
      <protection locked="0"/>
    </xf>
    <xf numFmtId="0" fontId="15" fillId="7" borderId="0" xfId="0" applyFont="1" applyFill="1" applyAlignment="1" applyProtection="1">
      <alignment horizontal="center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0" fontId="9" fillId="8" borderId="3" xfId="0" applyFont="1" applyFill="1" applyBorder="1" applyAlignment="1" applyProtection="1">
      <alignment horizontal="center" vertical="center"/>
      <protection locked="0"/>
    </xf>
    <xf numFmtId="0" fontId="9" fillId="8" borderId="4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6" fillId="8" borderId="5" xfId="0" applyFont="1" applyFill="1" applyBorder="1" applyAlignment="1" applyProtection="1">
      <alignment horizontal="center" vertical="center"/>
      <protection locked="0"/>
    </xf>
    <xf numFmtId="0" fontId="9" fillId="8" borderId="6" xfId="0" applyFont="1" applyFill="1" applyBorder="1" applyAlignment="1" applyProtection="1">
      <alignment horizontal="center" vertical="center"/>
      <protection locked="0"/>
    </xf>
    <xf numFmtId="0" fontId="6" fillId="8" borderId="6" xfId="0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4" fillId="7" borderId="12" xfId="0" applyFont="1" applyFill="1" applyBorder="1" applyAlignment="1" applyProtection="1">
      <alignment horizontal="center" vertical="center"/>
      <protection locked="0"/>
    </xf>
    <xf numFmtId="0" fontId="15" fillId="7" borderId="13" xfId="0" applyFont="1" applyFill="1" applyBorder="1" applyAlignment="1" applyProtection="1">
      <alignment horizontal="center" vertical="center"/>
      <protection locked="0"/>
    </xf>
    <xf numFmtId="0" fontId="15" fillId="7" borderId="14" xfId="0" applyFont="1" applyFill="1" applyBorder="1" applyAlignment="1" applyProtection="1">
      <alignment horizontal="center" vertical="center"/>
      <protection locked="0"/>
    </xf>
    <xf numFmtId="0" fontId="16" fillId="8" borderId="6" xfId="60" applyFont="1" applyFill="1" applyBorder="1" applyAlignment="1" applyProtection="1">
      <alignment horizontal="center" vertical="center"/>
      <protection locked="0"/>
    </xf>
    <xf numFmtId="0" fontId="16" fillId="8" borderId="6" xfId="48" applyFont="1" applyFill="1" applyBorder="1" applyAlignment="1" applyProtection="1">
      <alignment horizontal="center" vertical="center"/>
      <protection locked="0"/>
    </xf>
    <xf numFmtId="9" fontId="6" fillId="0" borderId="7" xfId="11" applyFont="1" applyFill="1" applyBorder="1" applyAlignment="1" applyProtection="1">
      <alignment horizontal="center" vertical="center"/>
      <protection locked="0"/>
    </xf>
    <xf numFmtId="10" fontId="6" fillId="0" borderId="7" xfId="11" applyNumberFormat="1" applyFont="1" applyFill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5" borderId="7" xfId="0" applyFont="1" applyFill="1" applyBorder="1" applyAlignment="1" applyProtection="1">
      <alignment horizontal="center" vertical="center"/>
      <protection locked="0"/>
    </xf>
    <xf numFmtId="9" fontId="6" fillId="5" borderId="7" xfId="11" applyFont="1" applyFill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9" fontId="6" fillId="0" borderId="6" xfId="11" applyFont="1" applyFill="1" applyBorder="1" applyAlignment="1" applyProtection="1">
      <alignment horizontal="center" vertical="center"/>
      <protection locked="0"/>
    </xf>
    <xf numFmtId="0" fontId="16" fillId="0" borderId="6" xfId="48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6" fillId="0" borderId="7" xfId="11" applyNumberFormat="1" applyFont="1" applyFill="1" applyBorder="1" applyAlignment="1" applyProtection="1">
      <alignment horizontal="center" vertical="center"/>
      <protection locked="0"/>
    </xf>
    <xf numFmtId="181" fontId="6" fillId="5" borderId="7" xfId="0" applyNumberFormat="1" applyFont="1" applyFill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181" fontId="6" fillId="0" borderId="7" xfId="0" applyNumberFormat="1" applyFont="1" applyBorder="1" applyAlignment="1" applyProtection="1">
      <alignment horizontal="center" vertical="center"/>
      <protection locked="0"/>
    </xf>
    <xf numFmtId="178" fontId="6" fillId="0" borderId="7" xfId="11" applyNumberFormat="1" applyFont="1" applyFill="1" applyBorder="1" applyAlignment="1" applyProtection="1">
      <alignment horizontal="center" vertical="center"/>
      <protection locked="0"/>
    </xf>
    <xf numFmtId="176" fontId="6" fillId="0" borderId="6" xfId="0" applyNumberFormat="1" applyFont="1" applyBorder="1" applyAlignment="1" applyProtection="1">
      <alignment horizontal="center" vertical="center"/>
      <protection locked="0"/>
    </xf>
    <xf numFmtId="181" fontId="6" fillId="0" borderId="6" xfId="0" applyNumberFormat="1" applyFont="1" applyBorder="1" applyAlignment="1" applyProtection="1">
      <alignment horizontal="center" vertical="center"/>
      <protection locked="0"/>
    </xf>
    <xf numFmtId="10" fontId="6" fillId="0" borderId="6" xfId="11" applyNumberFormat="1" applyFont="1" applyFill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9" fillId="0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Fill="1" applyBorder="1" applyAlignment="1" applyProtection="1">
      <alignment horizontal="center" vertical="center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 quotePrefix="1">
      <protection locked="0"/>
    </xf>
  </cellXfs>
  <cellStyles count="6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千位分隔 4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百分比 4" xfId="21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超链接 2 2" xfId="39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常规 2 2" xfId="48"/>
    <cellStyle name="40% - 强调文字颜色 5" xfId="49" builtinId="47"/>
    <cellStyle name="60% - 强调文字颜色 5" xfId="50" builtinId="48"/>
    <cellStyle name="强调文字颜色 6" xfId="51" builtinId="49"/>
    <cellStyle name="常规 2 3" xfId="52"/>
    <cellStyle name="40% - 强调文字颜色 6" xfId="53" builtinId="51"/>
    <cellStyle name="60% - 强调文字颜色 6" xfId="54" builtinId="52"/>
    <cellStyle name="百分比 3" xfId="55"/>
    <cellStyle name="常规 2" xfId="56"/>
    <cellStyle name="常规 3" xfId="57"/>
    <cellStyle name="常规 4" xfId="58"/>
    <cellStyle name="千位分隔 2" xfId="59"/>
    <cellStyle name="常规 5" xfId="60"/>
    <cellStyle name="千位分隔 3" xfId="61"/>
    <cellStyle name="超链接 2" xfId="62"/>
    <cellStyle name="千位分隔 2 2" xfId="63"/>
  </cellStyles>
  <tableStyles count="0" defaultTableStyle="TableStyleMedium9" defaultPivotStyle="PivotStyleLight16"/>
  <colors>
    <mruColors>
      <color rgb="000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税前净现金流图表</a:t>
            </a:r>
            <a:endParaRPr lang="zh-CN" alt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7087563066589"/>
          <c:y val="0.114776632302405"/>
          <c:w val="0.860049456540031"/>
          <c:h val="0.847422680412371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 w="25400">
              <a:noFill/>
            </a:ln>
          </c:spPr>
          <c:dLbls>
            <c:delete val="1"/>
          </c:dLbls>
          <c:cat>
            <c:numRef>
              <c:f>IRR模型!$C$1:$AB$1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IRR模型!$C$52:$AB$52</c:f>
              <c:numCache>
                <c:formatCode>_ * #,##0.00_ ;_ * \-#,##0.00_ ;_ * "-"??_ ;_ @_ </c:formatCode>
                <c:ptCount val="26"/>
                <c:pt idx="0">
                  <c:v>-5215000</c:v>
                </c:pt>
                <c:pt idx="1">
                  <c:v>-4130003.6392</c:v>
                </c:pt>
                <c:pt idx="2">
                  <c:v>-3061282.223812</c:v>
                </c:pt>
                <c:pt idx="3">
                  <c:v>-2008591.62965482</c:v>
                </c:pt>
                <c:pt idx="4">
                  <c:v>-971691.394409998</c:v>
                </c:pt>
                <c:pt idx="5">
                  <c:v>49655.337306152</c:v>
                </c:pt>
                <c:pt idx="6">
                  <c:v>1055681.86804656</c:v>
                </c:pt>
                <c:pt idx="7">
                  <c:v>2046618.00082586</c:v>
                </c:pt>
                <c:pt idx="8">
                  <c:v>3022690.09161347</c:v>
                </c:pt>
                <c:pt idx="9">
                  <c:v>3984121.10103927</c:v>
                </c:pt>
                <c:pt idx="10">
                  <c:v>3984121.10103927</c:v>
                </c:pt>
                <c:pt idx="11">
                  <c:v>3984121.10103927</c:v>
                </c:pt>
                <c:pt idx="12">
                  <c:v>3984121.10103927</c:v>
                </c:pt>
                <c:pt idx="13">
                  <c:v>3984121.10103927</c:v>
                </c:pt>
                <c:pt idx="14">
                  <c:v>3984121.10103927</c:v>
                </c:pt>
                <c:pt idx="15">
                  <c:v>3984121.10103927</c:v>
                </c:pt>
                <c:pt idx="16">
                  <c:v>3984121.10103927</c:v>
                </c:pt>
                <c:pt idx="17">
                  <c:v>3984121.10103927</c:v>
                </c:pt>
                <c:pt idx="18">
                  <c:v>3984121.10103927</c:v>
                </c:pt>
                <c:pt idx="19">
                  <c:v>3984121.10103927</c:v>
                </c:pt>
                <c:pt idx="20">
                  <c:v>3984121.10103927</c:v>
                </c:pt>
                <c:pt idx="21">
                  <c:v>3984121.10103927</c:v>
                </c:pt>
                <c:pt idx="22">
                  <c:v>3984121.10103927</c:v>
                </c:pt>
                <c:pt idx="23">
                  <c:v>3984121.10103927</c:v>
                </c:pt>
                <c:pt idx="24">
                  <c:v>3984121.10103927</c:v>
                </c:pt>
                <c:pt idx="25">
                  <c:v>3984121.10103927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14880"/>
        <c:axId val="217281664"/>
      </c:areaChart>
      <c:catAx>
        <c:axId val="19311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7281664"/>
        <c:crosses val="autoZero"/>
        <c:auto val="1"/>
        <c:lblAlgn val="ctr"/>
        <c:lblOffset val="100"/>
        <c:noMultiLvlLbl val="0"/>
      </c:catAx>
      <c:valAx>
        <c:axId val="217281664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311488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000" b="1" i="0" baseline="0"/>
              <a:t>内部收益率敏感性分析图（税</a:t>
            </a:r>
            <a:r>
              <a:rPr lang="zh-CN" altLang="en-US" sz="1000" b="1" i="0" baseline="0"/>
              <a:t>后</a:t>
            </a:r>
            <a:r>
              <a:rPr lang="zh-CN" altLang="zh-CN" sz="1000" b="1" i="0" baseline="0"/>
              <a:t>全部投资）</a:t>
            </a:r>
            <a:endParaRPr lang="zh-CN" altLang="zh-CN" sz="1000" b="1" i="0" baseline="0"/>
          </a:p>
        </c:rich>
      </c:tx>
      <c:layout>
        <c:manualLayout>
          <c:xMode val="edge"/>
          <c:yMode val="edge"/>
          <c:x val="0.221166666666667"/>
          <c:y val="0.018518518518518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58573928259"/>
          <c:y val="0.085659813356664"/>
          <c:w val="0.861858705161855"/>
          <c:h val="0.742420895304754"/>
        </c:manualLayout>
      </c:layout>
      <c:lineChart>
        <c:grouping val="standard"/>
        <c:varyColors val="0"/>
        <c:ser>
          <c:idx val="0"/>
          <c:order val="0"/>
          <c:tx>
            <c:strRef>
              <c:f>储能敏感性分析!$B$6</c:f>
              <c:strCache>
                <c:ptCount val="1"/>
                <c:pt idx="0">
                  <c:v>投资变化</c:v>
                </c:pt>
              </c:strCache>
            </c:strRef>
          </c:tx>
          <c:dLbls>
            <c:delete val="1"/>
          </c:dLbls>
          <c:cat>
            <c:numRef>
              <c:f>储能敏感性分析!$B$7:$B$14</c:f>
              <c:numCache>
                <c:formatCode>0%</c:formatCode>
                <c:ptCount val="8"/>
                <c:pt idx="0" c:formatCode="0%">
                  <c:v>0.2</c:v>
                </c:pt>
                <c:pt idx="1" c:formatCode="0%">
                  <c:v>0.15</c:v>
                </c:pt>
                <c:pt idx="2" c:formatCode="0%">
                  <c:v>0.1</c:v>
                </c:pt>
                <c:pt idx="3" c:formatCode="0%">
                  <c:v>0.05</c:v>
                </c:pt>
                <c:pt idx="4" c:formatCode="0%">
                  <c:v>-0.05</c:v>
                </c:pt>
                <c:pt idx="5" c:formatCode="0%">
                  <c:v>-0.1</c:v>
                </c:pt>
                <c:pt idx="6" c:formatCode="0%">
                  <c:v>-0.15</c:v>
                </c:pt>
                <c:pt idx="7" c:formatCode="0%">
                  <c:v>-0.2</c:v>
                </c:pt>
              </c:numCache>
            </c:numRef>
          </c:cat>
          <c:val>
            <c:numRef>
              <c:f>储能敏感性分析!$D$7:$D$14</c:f>
              <c:numCache>
                <c:formatCode>0.00%</c:formatCode>
                <c:ptCount val="8"/>
                <c:pt idx="0">
                  <c:v>0.0351</c:v>
                </c:pt>
                <c:pt idx="1">
                  <c:v>0.0402</c:v>
                </c:pt>
                <c:pt idx="2">
                  <c:v>0.0439</c:v>
                </c:pt>
                <c:pt idx="3">
                  <c:v>0.0497</c:v>
                </c:pt>
                <c:pt idx="4">
                  <c:v>0.0609</c:v>
                </c:pt>
                <c:pt idx="5">
                  <c:v>0.0683</c:v>
                </c:pt>
                <c:pt idx="6">
                  <c:v>0.0742</c:v>
                </c:pt>
                <c:pt idx="7">
                  <c:v>0.083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储能敏感性分析!$B$16</c:f>
              <c:strCache>
                <c:ptCount val="1"/>
                <c:pt idx="0">
                  <c:v>电价变化</c:v>
                </c:pt>
              </c:strCache>
            </c:strRef>
          </c:tx>
          <c:dLbls>
            <c:delete val="1"/>
          </c:dLbls>
          <c:val>
            <c:numRef>
              <c:f>储能敏感性分析!$D$17:$D$24</c:f>
              <c:numCache>
                <c:formatCode>0.00%</c:formatCode>
                <c:ptCount val="8"/>
                <c:pt idx="0">
                  <c:v>0.0859773201172558</c:v>
                </c:pt>
                <c:pt idx="1">
                  <c:v>0.0800378101868229</c:v>
                </c:pt>
                <c:pt idx="2">
                  <c:v>0.0740164014464236</c:v>
                </c:pt>
                <c:pt idx="3">
                  <c:v>0.0684615708382231</c:v>
                </c:pt>
                <c:pt idx="4">
                  <c:v>0.0557739255115736</c:v>
                </c:pt>
                <c:pt idx="5">
                  <c:v>0.0510721507887177</c:v>
                </c:pt>
                <c:pt idx="6">
                  <c:v>0.0426821513844326</c:v>
                </c:pt>
                <c:pt idx="7">
                  <c:v>0.0374332153261845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951040"/>
        <c:axId val="219899008"/>
      </c:lineChart>
      <c:catAx>
        <c:axId val="21895104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9899008"/>
        <c:crosses val="autoZero"/>
        <c:auto val="1"/>
        <c:lblAlgn val="ctr"/>
        <c:lblOffset val="100"/>
        <c:noMultiLvlLbl val="0"/>
      </c:catAx>
      <c:valAx>
        <c:axId val="219899008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89510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86666666666667"/>
          <c:y val="0.934801326917469"/>
          <c:w val="0.426666666666667"/>
          <c:h val="0.060569043452901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000" b="1" i="0" baseline="0"/>
              <a:t>内部收益率敏感性分析图（税后全部投资）</a:t>
            </a:r>
            <a:endParaRPr lang="zh-CN" altLang="zh-CN" sz="1000"/>
          </a:p>
        </c:rich>
      </c:tx>
      <c:layout>
        <c:manualLayout>
          <c:xMode val="edge"/>
          <c:yMode val="edge"/>
          <c:x val="0.223944444444445"/>
          <c:y val="0.01388888888888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141294838145"/>
          <c:y val="0.108807961504812"/>
          <c:w val="0.881303149606298"/>
          <c:h val="0.696124599008457"/>
        </c:manualLayout>
      </c:layout>
      <c:lineChart>
        <c:grouping val="standard"/>
        <c:varyColors val="0"/>
        <c:ser>
          <c:idx val="0"/>
          <c:order val="0"/>
          <c:tx>
            <c:strRef>
              <c:f>储能敏感性分析!$B$33</c:f>
              <c:strCache>
                <c:ptCount val="1"/>
                <c:pt idx="0">
                  <c:v>投资变化</c:v>
                </c:pt>
              </c:strCache>
            </c:strRef>
          </c:tx>
          <c:dLbls>
            <c:delete val="1"/>
          </c:dLbls>
          <c:cat>
            <c:numRef>
              <c:f>储能敏感性分析!$B$34:$B$41</c:f>
              <c:numCache>
                <c:formatCode>0%</c:formatCode>
                <c:ptCount val="8"/>
                <c:pt idx="0" c:formatCode="0%">
                  <c:v>0.2</c:v>
                </c:pt>
                <c:pt idx="1" c:formatCode="0%">
                  <c:v>0.15</c:v>
                </c:pt>
                <c:pt idx="2" c:formatCode="0%">
                  <c:v>0.1</c:v>
                </c:pt>
                <c:pt idx="3" c:formatCode="0%">
                  <c:v>0.05</c:v>
                </c:pt>
                <c:pt idx="4" c:formatCode="0%">
                  <c:v>-0.05</c:v>
                </c:pt>
                <c:pt idx="5" c:formatCode="0%">
                  <c:v>-0.1</c:v>
                </c:pt>
                <c:pt idx="6" c:formatCode="0%">
                  <c:v>-0.15</c:v>
                </c:pt>
                <c:pt idx="7" c:formatCode="0%">
                  <c:v>-0.2</c:v>
                </c:pt>
              </c:numCache>
            </c:numRef>
          </c:cat>
          <c:val>
            <c:numRef>
              <c:f>储能敏感性分析!$D$34:$D$41</c:f>
              <c:numCache>
                <c:formatCode>0.00%</c:formatCode>
                <c:ptCount val="8"/>
                <c:pt idx="0">
                  <c:v>0.0302293905581881</c:v>
                </c:pt>
                <c:pt idx="1">
                  <c:v>0.0389138693934107</c:v>
                </c:pt>
                <c:pt idx="2">
                  <c:v>0.0482378904698687</c:v>
                </c:pt>
                <c:pt idx="3">
                  <c:v>0.0582824105784935</c:v>
                </c:pt>
                <c:pt idx="4">
                  <c:v>0.0747271090953103</c:v>
                </c:pt>
                <c:pt idx="5">
                  <c:v>0.0874507509633498</c:v>
                </c:pt>
                <c:pt idx="6">
                  <c:v>0.101407883655719</c:v>
                </c:pt>
                <c:pt idx="7">
                  <c:v>0.109247921148009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储能敏感性分析!$B$43</c:f>
              <c:strCache>
                <c:ptCount val="1"/>
                <c:pt idx="0">
                  <c:v>电价变化</c:v>
                </c:pt>
              </c:strCache>
            </c:strRef>
          </c:tx>
          <c:dLbls>
            <c:delete val="1"/>
          </c:dLbls>
          <c:cat>
            <c:numRef>
              <c:f>储能敏感性分析!$B$34:$B$41</c:f>
              <c:numCache>
                <c:formatCode>0%</c:formatCode>
                <c:ptCount val="8"/>
                <c:pt idx="0" c:formatCode="0%">
                  <c:v>0.2</c:v>
                </c:pt>
                <c:pt idx="1" c:formatCode="0%">
                  <c:v>0.15</c:v>
                </c:pt>
                <c:pt idx="2" c:formatCode="0%">
                  <c:v>0.1</c:v>
                </c:pt>
                <c:pt idx="3" c:formatCode="0%">
                  <c:v>0.05</c:v>
                </c:pt>
                <c:pt idx="4" c:formatCode="0%">
                  <c:v>-0.05</c:v>
                </c:pt>
                <c:pt idx="5" c:formatCode="0%">
                  <c:v>-0.1</c:v>
                </c:pt>
                <c:pt idx="6" c:formatCode="0%">
                  <c:v>-0.15</c:v>
                </c:pt>
                <c:pt idx="7" c:formatCode="0%">
                  <c:v>-0.2</c:v>
                </c:pt>
              </c:numCache>
            </c:numRef>
          </c:cat>
          <c:val>
            <c:numRef>
              <c:f>储能敏感性分析!$D$44:$D$51</c:f>
              <c:numCache>
                <c:formatCode>0.00%</c:formatCode>
                <c:ptCount val="8"/>
                <c:pt idx="0">
                  <c:v>0.107001024749369</c:v>
                </c:pt>
                <c:pt idx="1">
                  <c:v>0.0958672700878881</c:v>
                </c:pt>
                <c:pt idx="2">
                  <c:v>0.0861887615257892</c:v>
                </c:pt>
                <c:pt idx="3">
                  <c:v>0.0730739620240694</c:v>
                </c:pt>
                <c:pt idx="4">
                  <c:v>0.0588588284053937</c:v>
                </c:pt>
                <c:pt idx="5">
                  <c:v>0.0466362077656784</c:v>
                </c:pt>
                <c:pt idx="6">
                  <c:v>0.0341509913380445</c:v>
                </c:pt>
                <c:pt idx="7">
                  <c:v>0.0266187907639499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921024"/>
        <c:axId val="219926912"/>
      </c:lineChart>
      <c:catAx>
        <c:axId val="2199210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9926912"/>
        <c:crosses val="autoZero"/>
        <c:auto val="1"/>
        <c:lblAlgn val="ctr"/>
        <c:lblOffset val="100"/>
        <c:noMultiLvlLbl val="0"/>
      </c:catAx>
      <c:valAx>
        <c:axId val="219926912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99210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86666666666667"/>
          <c:y val="0.902393919510061"/>
          <c:w val="0.426666666666667"/>
          <c:h val="0.0837171916010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9524</xdr:colOff>
      <xdr:row>15</xdr:row>
      <xdr:rowOff>9524</xdr:rowOff>
    </xdr:from>
    <xdr:to>
      <xdr:col>20</xdr:col>
      <xdr:colOff>0</xdr:colOff>
      <xdr:row>34</xdr:row>
      <xdr:rowOff>180974</xdr:rowOff>
    </xdr:to>
    <xdr:graphicFrame>
      <xdr:nvGraphicFramePr>
        <xdr:cNvPr id="2" name="图表 1"/>
        <xdr:cNvGraphicFramePr/>
      </xdr:nvGraphicFramePr>
      <xdr:xfrm>
        <a:off x="7364730" y="3247390"/>
        <a:ext cx="5888990" cy="3800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9524</xdr:colOff>
      <xdr:row>3</xdr:row>
      <xdr:rowOff>28575</xdr:rowOff>
    </xdr:from>
    <xdr:to>
      <xdr:col>12</xdr:col>
      <xdr:colOff>685799</xdr:colOff>
      <xdr:row>19</xdr:row>
      <xdr:rowOff>38100</xdr:rowOff>
    </xdr:to>
    <xdr:graphicFrame>
      <xdr:nvGraphicFramePr>
        <xdr:cNvPr id="3" name="图表 2"/>
        <xdr:cNvGraphicFramePr/>
      </xdr:nvGraphicFramePr>
      <xdr:xfrm>
        <a:off x="6324600" y="800100"/>
        <a:ext cx="4791075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933449</xdr:colOff>
      <xdr:row>27</xdr:row>
      <xdr:rowOff>209549</xdr:rowOff>
    </xdr:from>
    <xdr:to>
      <xdr:col>12</xdr:col>
      <xdr:colOff>676274</xdr:colOff>
      <xdr:row>44</xdr:row>
      <xdr:rowOff>19049</xdr:rowOff>
    </xdr:to>
    <xdr:graphicFrame>
      <xdr:nvGraphicFramePr>
        <xdr:cNvPr id="4" name="图表 3"/>
        <xdr:cNvGraphicFramePr/>
      </xdr:nvGraphicFramePr>
      <xdr:xfrm>
        <a:off x="6315075" y="5285740"/>
        <a:ext cx="4791075" cy="307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35"/>
  <sheetViews>
    <sheetView tabSelected="1" topLeftCell="A19" workbookViewId="0">
      <selection activeCell="H46" sqref="H46"/>
    </sheetView>
  </sheetViews>
  <sheetFormatPr defaultColWidth="9" defaultRowHeight="15"/>
  <cols>
    <col min="1" max="1" width="9" style="32"/>
    <col min="2" max="2" width="4.38333333333333" style="51" customWidth="1"/>
    <col min="3" max="3" width="16.25" style="51" customWidth="1"/>
    <col min="4" max="4" width="7.63333333333333" style="51" customWidth="1"/>
    <col min="5" max="5" width="9" style="51"/>
    <col min="6" max="6" width="4.63333333333333" style="32" customWidth="1"/>
    <col min="7" max="7" width="5.25" style="32" customWidth="1"/>
    <col min="8" max="8" width="22.75" style="32" customWidth="1"/>
    <col min="9" max="9" width="7.63333333333333" style="32" customWidth="1"/>
    <col min="10" max="10" width="8.5" style="32" customWidth="1"/>
    <col min="11" max="11" width="1.5" style="32" customWidth="1"/>
    <col min="12" max="12" width="5.25" style="32" customWidth="1"/>
    <col min="13" max="13" width="13" style="32" customWidth="1"/>
    <col min="14" max="14" width="7.63333333333333" style="32" customWidth="1"/>
    <col min="15" max="16" width="9" style="32"/>
    <col min="17" max="17" width="4.88333333333333" style="51" customWidth="1"/>
    <col min="18" max="18" width="10.6333333333333" style="51" customWidth="1"/>
    <col min="19" max="21" width="9" style="51"/>
    <col min="22" max="24" width="9" style="32"/>
    <col min="25" max="26" width="9" style="32" hidden="1" customWidth="1"/>
    <col min="27" max="16384" width="9" style="32"/>
  </cols>
  <sheetData>
    <row r="1" ht="28.5" customHeight="1" spans="1:21">
      <c r="A1" s="52" t="s">
        <v>0</v>
      </c>
      <c r="B1" s="51" t="s">
        <v>1</v>
      </c>
      <c r="F1" s="51"/>
      <c r="G1" s="51"/>
      <c r="H1" s="51"/>
      <c r="I1" s="51"/>
      <c r="J1" s="51"/>
      <c r="K1" s="51"/>
      <c r="L1" s="51"/>
      <c r="M1" s="51"/>
      <c r="N1" s="51"/>
      <c r="O1" s="51"/>
      <c r="Q1" s="95" t="s">
        <v>2</v>
      </c>
      <c r="R1" s="95"/>
      <c r="S1" s="95"/>
      <c r="T1" s="95"/>
      <c r="U1" s="96"/>
    </row>
    <row r="2" ht="30.75" customHeight="1" spans="2:25">
      <c r="B2" s="53" t="s">
        <v>3</v>
      </c>
      <c r="C2" s="53"/>
      <c r="D2" s="53"/>
      <c r="E2" s="53"/>
      <c r="G2" s="54" t="s">
        <v>4</v>
      </c>
      <c r="H2" s="53"/>
      <c r="I2" s="53"/>
      <c r="J2" s="53"/>
      <c r="L2" s="54" t="s">
        <v>5</v>
      </c>
      <c r="M2" s="53"/>
      <c r="N2" s="53"/>
      <c r="O2" s="53"/>
      <c r="Q2" s="97" t="s">
        <v>6</v>
      </c>
      <c r="R2" s="97" t="s">
        <v>7</v>
      </c>
      <c r="S2" s="97" t="s">
        <v>8</v>
      </c>
      <c r="T2" s="97" t="s">
        <v>9</v>
      </c>
      <c r="Y2" s="33" t="s">
        <v>10</v>
      </c>
    </row>
    <row r="3" ht="15.75" spans="2:25">
      <c r="B3" s="55" t="s">
        <v>11</v>
      </c>
      <c r="C3" s="56"/>
      <c r="D3" s="56"/>
      <c r="E3" s="56"/>
      <c r="G3" s="55" t="s">
        <v>11</v>
      </c>
      <c r="H3" s="56"/>
      <c r="I3" s="56"/>
      <c r="J3" s="56"/>
      <c r="L3" s="55" t="s">
        <v>11</v>
      </c>
      <c r="M3" s="56"/>
      <c r="N3" s="56"/>
      <c r="O3" s="56"/>
      <c r="Q3" s="98">
        <v>1</v>
      </c>
      <c r="R3" s="97" t="s">
        <v>12</v>
      </c>
      <c r="S3" s="98" t="s">
        <v>13</v>
      </c>
      <c r="T3" s="99">
        <v>0</v>
      </c>
      <c r="Y3" s="32">
        <v>1</v>
      </c>
    </row>
    <row r="4" spans="2:25">
      <c r="B4" s="57" t="s">
        <v>6</v>
      </c>
      <c r="C4" s="58" t="s">
        <v>7</v>
      </c>
      <c r="D4" s="58" t="s">
        <v>8</v>
      </c>
      <c r="E4" s="59" t="s">
        <v>9</v>
      </c>
      <c r="G4" s="60" t="s">
        <v>6</v>
      </c>
      <c r="H4" s="61" t="s">
        <v>7</v>
      </c>
      <c r="I4" s="61" t="s">
        <v>8</v>
      </c>
      <c r="J4" s="86" t="s">
        <v>9</v>
      </c>
      <c r="L4" s="57" t="s">
        <v>6</v>
      </c>
      <c r="M4" s="58" t="s">
        <v>7</v>
      </c>
      <c r="N4" s="58" t="s">
        <v>8</v>
      </c>
      <c r="O4" s="59" t="s">
        <v>9</v>
      </c>
      <c r="Q4" s="98">
        <v>2</v>
      </c>
      <c r="R4" s="97" t="s">
        <v>14</v>
      </c>
      <c r="S4" s="98" t="s">
        <v>13</v>
      </c>
      <c r="T4" s="99"/>
      <c r="Y4" s="32">
        <v>2</v>
      </c>
    </row>
    <row r="5" spans="2:20">
      <c r="B5" s="62">
        <v>1</v>
      </c>
      <c r="C5" s="63" t="s">
        <v>15</v>
      </c>
      <c r="D5" s="64" t="s">
        <v>16</v>
      </c>
      <c r="E5" s="65">
        <v>0</v>
      </c>
      <c r="G5" s="66">
        <v>1</v>
      </c>
      <c r="H5" s="67" t="s">
        <v>17</v>
      </c>
      <c r="I5" s="77" t="s">
        <v>18</v>
      </c>
      <c r="J5" s="65">
        <v>4000</v>
      </c>
      <c r="L5" s="62">
        <v>1</v>
      </c>
      <c r="M5" s="63" t="s">
        <v>19</v>
      </c>
      <c r="N5" s="64" t="s">
        <v>16</v>
      </c>
      <c r="O5" s="65">
        <v>0</v>
      </c>
      <c r="Q5" s="98">
        <v>3</v>
      </c>
      <c r="R5" s="97" t="s">
        <v>20</v>
      </c>
      <c r="S5" s="98" t="s">
        <v>21</v>
      </c>
      <c r="T5" s="99"/>
    </row>
    <row r="6" spans="2:20">
      <c r="B6" s="62">
        <v>2</v>
      </c>
      <c r="C6" s="63" t="s">
        <v>22</v>
      </c>
      <c r="D6" s="64" t="s">
        <v>23</v>
      </c>
      <c r="E6" s="65">
        <v>0</v>
      </c>
      <c r="G6" s="66">
        <v>2</v>
      </c>
      <c r="H6" s="67" t="s">
        <v>24</v>
      </c>
      <c r="I6" s="77" t="s">
        <v>25</v>
      </c>
      <c r="J6" s="73">
        <v>0.9</v>
      </c>
      <c r="L6" s="62">
        <v>2</v>
      </c>
      <c r="M6" s="63" t="s">
        <v>26</v>
      </c>
      <c r="N6" s="64" t="s">
        <v>27</v>
      </c>
      <c r="O6" s="87">
        <v>0</v>
      </c>
      <c r="Q6" s="98">
        <v>4</v>
      </c>
      <c r="R6" s="98"/>
      <c r="S6" s="98"/>
      <c r="T6" s="98"/>
    </row>
    <row r="7" spans="2:20">
      <c r="B7" s="62">
        <v>3</v>
      </c>
      <c r="C7" s="63" t="s">
        <v>28</v>
      </c>
      <c r="D7" s="64" t="s">
        <v>21</v>
      </c>
      <c r="E7" s="65">
        <v>0</v>
      </c>
      <c r="G7" s="66">
        <v>3</v>
      </c>
      <c r="H7" s="67" t="s">
        <v>29</v>
      </c>
      <c r="I7" s="77" t="s">
        <v>25</v>
      </c>
      <c r="J7" s="73">
        <v>0.9</v>
      </c>
      <c r="L7" s="62">
        <v>3</v>
      </c>
      <c r="M7" s="63" t="s">
        <v>30</v>
      </c>
      <c r="N7" s="64" t="s">
        <v>21</v>
      </c>
      <c r="O7" s="87">
        <v>0</v>
      </c>
      <c r="Q7" s="98">
        <v>5</v>
      </c>
      <c r="R7" s="98"/>
      <c r="S7" s="98"/>
      <c r="T7" s="98"/>
    </row>
    <row r="8" spans="2:15">
      <c r="B8" s="62">
        <v>4</v>
      </c>
      <c r="C8" s="63" t="s">
        <v>31</v>
      </c>
      <c r="D8" s="64" t="s">
        <v>21</v>
      </c>
      <c r="E8" s="65">
        <v>0</v>
      </c>
      <c r="G8" s="66">
        <v>4</v>
      </c>
      <c r="H8" s="67" t="s">
        <v>32</v>
      </c>
      <c r="I8" s="77" t="s">
        <v>33</v>
      </c>
      <c r="J8" s="65">
        <v>0</v>
      </c>
      <c r="L8" s="68" t="s">
        <v>34</v>
      </c>
      <c r="M8" s="69"/>
      <c r="N8" s="69"/>
      <c r="O8" s="70"/>
    </row>
    <row r="9" spans="2:15">
      <c r="B9" s="68" t="s">
        <v>34</v>
      </c>
      <c r="C9" s="69"/>
      <c r="D9" s="69"/>
      <c r="E9" s="70"/>
      <c r="G9" s="66">
        <v>5</v>
      </c>
      <c r="H9" s="67" t="s">
        <v>35</v>
      </c>
      <c r="I9" s="77" t="s">
        <v>33</v>
      </c>
      <c r="J9" s="65"/>
      <c r="L9" s="64">
        <v>4</v>
      </c>
      <c r="M9" s="63" t="s">
        <v>36</v>
      </c>
      <c r="N9" s="63" t="s">
        <v>37</v>
      </c>
      <c r="O9" s="65">
        <v>0</v>
      </c>
    </row>
    <row r="10" spans="2:15">
      <c r="B10" s="62">
        <v>5</v>
      </c>
      <c r="C10" s="63" t="s">
        <v>38</v>
      </c>
      <c r="D10" s="71" t="s">
        <v>39</v>
      </c>
      <c r="E10" s="65">
        <v>0</v>
      </c>
      <c r="G10" s="68" t="s">
        <v>40</v>
      </c>
      <c r="H10" s="69"/>
      <c r="I10" s="69"/>
      <c r="J10" s="70"/>
      <c r="L10" s="68" t="s">
        <v>41</v>
      </c>
      <c r="M10" s="69"/>
      <c r="N10" s="69"/>
      <c r="O10" s="70"/>
    </row>
    <row r="11" spans="2:15">
      <c r="B11" s="62"/>
      <c r="C11" s="63"/>
      <c r="D11" s="72"/>
      <c r="E11" s="73"/>
      <c r="G11" s="66">
        <v>6</v>
      </c>
      <c r="H11" s="67" t="s">
        <v>42</v>
      </c>
      <c r="I11" s="77" t="s">
        <v>21</v>
      </c>
      <c r="J11" s="87">
        <v>0.6098</v>
      </c>
      <c r="L11" s="64">
        <v>5</v>
      </c>
      <c r="M11" s="63" t="s">
        <v>43</v>
      </c>
      <c r="N11" s="64" t="s">
        <v>37</v>
      </c>
      <c r="O11" s="65"/>
    </row>
    <row r="12" spans="2:15">
      <c r="B12" s="62"/>
      <c r="C12" s="63"/>
      <c r="D12" s="72"/>
      <c r="E12" s="74"/>
      <c r="G12" s="66">
        <v>7</v>
      </c>
      <c r="H12" s="67" t="s">
        <v>44</v>
      </c>
      <c r="I12" s="77" t="s">
        <v>21</v>
      </c>
      <c r="J12" s="87">
        <v>0.3194</v>
      </c>
      <c r="L12" s="64">
        <v>6</v>
      </c>
      <c r="M12" s="63" t="s">
        <v>45</v>
      </c>
      <c r="N12" s="64" t="s">
        <v>46</v>
      </c>
      <c r="O12" s="88">
        <v>10</v>
      </c>
    </row>
    <row r="13" spans="2:15">
      <c r="B13" s="62"/>
      <c r="C13" s="63"/>
      <c r="D13" s="72"/>
      <c r="E13" s="65"/>
      <c r="G13" s="66">
        <v>8</v>
      </c>
      <c r="H13" s="67" t="s">
        <v>47</v>
      </c>
      <c r="I13" s="77" t="s">
        <v>21</v>
      </c>
      <c r="J13" s="87">
        <v>0.6098</v>
      </c>
      <c r="L13" s="64">
        <v>7</v>
      </c>
      <c r="M13" s="63" t="s">
        <v>48</v>
      </c>
      <c r="N13" s="64" t="s">
        <v>25</v>
      </c>
      <c r="O13" s="79">
        <v>0</v>
      </c>
    </row>
    <row r="14" spans="2:10">
      <c r="B14" s="68" t="s">
        <v>49</v>
      </c>
      <c r="C14" s="69"/>
      <c r="D14" s="69"/>
      <c r="E14" s="70"/>
      <c r="G14" s="66">
        <v>9</v>
      </c>
      <c r="H14" s="67" t="s">
        <v>50</v>
      </c>
      <c r="I14" s="77" t="s">
        <v>21</v>
      </c>
      <c r="J14" s="87">
        <v>0.3094</v>
      </c>
    </row>
    <row r="15" spans="2:10">
      <c r="B15" s="64">
        <v>6</v>
      </c>
      <c r="C15" s="64" t="s">
        <v>51</v>
      </c>
      <c r="D15" s="64" t="s">
        <v>21</v>
      </c>
      <c r="E15" s="65">
        <v>0</v>
      </c>
      <c r="G15" s="75">
        <v>0</v>
      </c>
      <c r="H15" s="76"/>
      <c r="I15" s="76"/>
      <c r="J15" s="89"/>
    </row>
    <row r="16" spans="2:10">
      <c r="B16" s="68" t="s">
        <v>41</v>
      </c>
      <c r="C16" s="69"/>
      <c r="D16" s="69"/>
      <c r="E16" s="70"/>
      <c r="G16" s="77">
        <v>10</v>
      </c>
      <c r="H16" s="67" t="s">
        <v>52</v>
      </c>
      <c r="I16" s="67" t="s">
        <v>53</v>
      </c>
      <c r="J16" s="65">
        <v>1.8625</v>
      </c>
    </row>
    <row r="17" spans="2:10">
      <c r="B17" s="64">
        <v>7</v>
      </c>
      <c r="C17" s="63" t="s">
        <v>43</v>
      </c>
      <c r="D17" s="63" t="s">
        <v>54</v>
      </c>
      <c r="E17" s="78">
        <v>0</v>
      </c>
      <c r="G17" s="68" t="s">
        <v>41</v>
      </c>
      <c r="H17" s="69"/>
      <c r="I17" s="69"/>
      <c r="J17" s="70"/>
    </row>
    <row r="18" spans="2:10">
      <c r="B18" s="64">
        <v>8</v>
      </c>
      <c r="C18" s="63" t="s">
        <v>45</v>
      </c>
      <c r="D18" s="63" t="s">
        <v>46</v>
      </c>
      <c r="E18" s="78">
        <v>0</v>
      </c>
      <c r="G18" s="77">
        <v>11</v>
      </c>
      <c r="H18" s="67" t="s">
        <v>43</v>
      </c>
      <c r="I18" s="77" t="s">
        <v>37</v>
      </c>
      <c r="J18" s="65"/>
    </row>
    <row r="19" spans="2:10">
      <c r="B19" s="64">
        <v>9</v>
      </c>
      <c r="C19" s="63" t="s">
        <v>48</v>
      </c>
      <c r="D19" s="64" t="s">
        <v>25</v>
      </c>
      <c r="E19" s="79">
        <v>0</v>
      </c>
      <c r="G19" s="77">
        <v>12</v>
      </c>
      <c r="H19" s="67" t="s">
        <v>45</v>
      </c>
      <c r="I19" s="77" t="s">
        <v>46</v>
      </c>
      <c r="J19" s="90">
        <f>J21/365/J22</f>
        <v>8.21917808219178</v>
      </c>
    </row>
    <row r="20" spans="2:10">
      <c r="B20" s="68" t="s">
        <v>55</v>
      </c>
      <c r="C20" s="69"/>
      <c r="D20" s="69"/>
      <c r="E20" s="70"/>
      <c r="G20" s="77">
        <v>13</v>
      </c>
      <c r="H20" s="67" t="s">
        <v>48</v>
      </c>
      <c r="I20" s="77" t="s">
        <v>25</v>
      </c>
      <c r="J20" s="73">
        <v>0.3</v>
      </c>
    </row>
    <row r="21" spans="2:10">
      <c r="B21" s="64">
        <v>10</v>
      </c>
      <c r="C21" s="63" t="s">
        <v>56</v>
      </c>
      <c r="D21" s="64" t="s">
        <v>25</v>
      </c>
      <c r="E21" s="79">
        <v>1</v>
      </c>
      <c r="G21" s="77">
        <v>14</v>
      </c>
      <c r="H21" s="67" t="s">
        <v>57</v>
      </c>
      <c r="I21" s="77" t="s">
        <v>58</v>
      </c>
      <c r="J21" s="87">
        <v>6000</v>
      </c>
    </row>
    <row r="22" spans="2:10">
      <c r="B22" s="64">
        <v>11</v>
      </c>
      <c r="C22" s="63" t="s">
        <v>59</v>
      </c>
      <c r="D22" s="64" t="s">
        <v>25</v>
      </c>
      <c r="E22" s="79">
        <v>1</v>
      </c>
      <c r="G22" s="77">
        <v>15</v>
      </c>
      <c r="H22" s="67" t="s">
        <v>10</v>
      </c>
      <c r="I22" s="77" t="s">
        <v>58</v>
      </c>
      <c r="J22" s="87">
        <v>2</v>
      </c>
    </row>
    <row r="23" spans="2:10">
      <c r="B23" s="64"/>
      <c r="C23" s="64"/>
      <c r="D23" s="64"/>
      <c r="E23" s="65"/>
      <c r="G23" s="77">
        <v>16</v>
      </c>
      <c r="H23" s="67" t="s">
        <v>60</v>
      </c>
      <c r="I23" s="77" t="s">
        <v>25</v>
      </c>
      <c r="J23" s="91">
        <v>0.015</v>
      </c>
    </row>
    <row r="24" ht="15.75" spans="2:10">
      <c r="B24" s="64"/>
      <c r="C24" s="64"/>
      <c r="D24" s="64"/>
      <c r="E24" s="80"/>
      <c r="G24" s="77">
        <v>17</v>
      </c>
      <c r="H24" s="67" t="s">
        <v>61</v>
      </c>
      <c r="I24" s="67" t="s">
        <v>62</v>
      </c>
      <c r="J24" s="80"/>
    </row>
    <row r="27" spans="2:10">
      <c r="B27" s="81" t="s">
        <v>63</v>
      </c>
      <c r="G27" s="81" t="s">
        <v>64</v>
      </c>
      <c r="H27" s="51"/>
      <c r="I27" s="51"/>
      <c r="J27" s="51"/>
    </row>
    <row r="28" spans="2:10">
      <c r="B28" s="77" t="s">
        <v>6</v>
      </c>
      <c r="C28" s="77" t="s">
        <v>7</v>
      </c>
      <c r="D28" s="77" t="s">
        <v>8</v>
      </c>
      <c r="E28" s="77" t="s">
        <v>9</v>
      </c>
      <c r="G28" s="82" t="s">
        <v>6</v>
      </c>
      <c r="H28" s="82" t="s">
        <v>7</v>
      </c>
      <c r="I28" s="82" t="s">
        <v>8</v>
      </c>
      <c r="J28" s="82" t="s">
        <v>9</v>
      </c>
    </row>
    <row r="29" spans="2:10">
      <c r="B29" s="77">
        <v>1</v>
      </c>
      <c r="C29" s="77" t="s">
        <v>65</v>
      </c>
      <c r="D29" s="77" t="s">
        <v>37</v>
      </c>
      <c r="E29" s="77">
        <f>J5*J16*1000</f>
        <v>7450000</v>
      </c>
      <c r="G29" s="77">
        <v>1</v>
      </c>
      <c r="H29" s="77" t="s">
        <v>66</v>
      </c>
      <c r="I29" s="67" t="s">
        <v>46</v>
      </c>
      <c r="J29" s="92">
        <f>IRR模型!C58</f>
        <v>4.93711175037063</v>
      </c>
    </row>
    <row r="30" spans="2:10">
      <c r="B30" s="77"/>
      <c r="C30" s="67" t="s">
        <v>49</v>
      </c>
      <c r="D30" s="67" t="s">
        <v>37</v>
      </c>
      <c r="E30" s="77">
        <f>E29*0.3</f>
        <v>2235000</v>
      </c>
      <c r="G30" s="77">
        <v>2</v>
      </c>
      <c r="H30" s="77" t="s">
        <v>67</v>
      </c>
      <c r="I30" s="67" t="s">
        <v>46</v>
      </c>
      <c r="J30" s="92">
        <f>IRR模型!C59</f>
        <v>5.1396433280351</v>
      </c>
    </row>
    <row r="31" spans="2:10">
      <c r="B31" s="77">
        <v>2</v>
      </c>
      <c r="C31" s="67" t="s">
        <v>68</v>
      </c>
      <c r="D31" s="77" t="s">
        <v>37</v>
      </c>
      <c r="E31" s="77">
        <f>E29-E30</f>
        <v>5215000</v>
      </c>
      <c r="G31" s="77">
        <v>3</v>
      </c>
      <c r="H31" s="77" t="s">
        <v>69</v>
      </c>
      <c r="I31" s="67" t="s">
        <v>37</v>
      </c>
      <c r="J31" s="93">
        <f>IRR模型!C60</f>
        <v>1986381.90199144</v>
      </c>
    </row>
    <row r="32" spans="2:10">
      <c r="B32" s="77">
        <v>3</v>
      </c>
      <c r="C32" s="77" t="s">
        <v>70</v>
      </c>
      <c r="D32" s="77" t="s">
        <v>25</v>
      </c>
      <c r="E32" s="83">
        <v>0.01</v>
      </c>
      <c r="G32" s="77">
        <v>4</v>
      </c>
      <c r="H32" s="77" t="s">
        <v>71</v>
      </c>
      <c r="I32" s="67" t="s">
        <v>37</v>
      </c>
      <c r="J32" s="93">
        <f>IRR模型!C61</f>
        <v>1583595.12813456</v>
      </c>
    </row>
    <row r="33" spans="2:10">
      <c r="B33" s="77">
        <v>4</v>
      </c>
      <c r="C33" s="67" t="s">
        <v>72</v>
      </c>
      <c r="D33" s="84" t="s">
        <v>25</v>
      </c>
      <c r="E33" s="73">
        <v>1</v>
      </c>
      <c r="G33" s="77">
        <v>5</v>
      </c>
      <c r="H33" s="77" t="s">
        <v>73</v>
      </c>
      <c r="I33" s="77" t="s">
        <v>25</v>
      </c>
      <c r="J33" s="94">
        <f>IRR模型!C62</f>
        <v>0.134922455473254</v>
      </c>
    </row>
    <row r="34" spans="2:10">
      <c r="B34" s="77">
        <v>5</v>
      </c>
      <c r="C34" s="67" t="s">
        <v>74</v>
      </c>
      <c r="D34" s="84" t="s">
        <v>25</v>
      </c>
      <c r="E34" s="74"/>
      <c r="G34" s="85">
        <v>6</v>
      </c>
      <c r="H34" s="77" t="s">
        <v>75</v>
      </c>
      <c r="I34" s="77" t="s">
        <v>25</v>
      </c>
      <c r="J34" s="94">
        <f>IRR模型!C63</f>
        <v>0.120065198523694</v>
      </c>
    </row>
    <row r="35" spans="2:5">
      <c r="B35" s="77">
        <v>6</v>
      </c>
      <c r="C35" s="67" t="s">
        <v>76</v>
      </c>
      <c r="D35" s="84" t="s">
        <v>46</v>
      </c>
      <c r="E35" s="65"/>
    </row>
  </sheetData>
  <mergeCells count="19">
    <mergeCell ref="B1:O1"/>
    <mergeCell ref="Q1:T1"/>
    <mergeCell ref="B2:E2"/>
    <mergeCell ref="G2:J2"/>
    <mergeCell ref="L2:O2"/>
    <mergeCell ref="B3:E3"/>
    <mergeCell ref="G3:J3"/>
    <mergeCell ref="L3:O3"/>
    <mergeCell ref="L8:O8"/>
    <mergeCell ref="B9:E9"/>
    <mergeCell ref="G10:J10"/>
    <mergeCell ref="L10:O10"/>
    <mergeCell ref="B14:E14"/>
    <mergeCell ref="G15:J15"/>
    <mergeCell ref="B16:E16"/>
    <mergeCell ref="G17:J17"/>
    <mergeCell ref="B20:E20"/>
    <mergeCell ref="B27:E27"/>
    <mergeCell ref="G27:J27"/>
  </mergeCells>
  <dataValidations count="1">
    <dataValidation type="list" allowBlank="1" showInputMessage="1" showErrorMessage="1" sqref="J22">
      <formula1>$Y$3:$Y$5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AC63"/>
  <sheetViews>
    <sheetView workbookViewId="0">
      <pane xSplit="2" ySplit="1" topLeftCell="C47" activePane="bottomRight" state="frozen"/>
      <selection/>
      <selection pane="topRight"/>
      <selection pane="bottomLeft"/>
      <selection pane="bottomRight" activeCell="C22" sqref="C22"/>
    </sheetView>
  </sheetViews>
  <sheetFormatPr defaultColWidth="9" defaultRowHeight="15"/>
  <cols>
    <col min="1" max="1" width="3.75" style="25" customWidth="1"/>
    <col min="2" max="2" width="22.3833333333333" style="25" customWidth="1"/>
    <col min="3" max="8" width="15.8833333333333" style="25" customWidth="1"/>
    <col min="9" max="9" width="18.75" style="25" customWidth="1"/>
    <col min="10" max="12" width="15.8833333333333" style="25" customWidth="1"/>
    <col min="13" max="13" width="18" style="25" customWidth="1"/>
    <col min="14" max="14" width="15.8833333333333" style="25" customWidth="1"/>
    <col min="15" max="28" width="18" style="25" customWidth="1"/>
    <col min="29" max="29" width="12.1333333333333" style="25" customWidth="1"/>
    <col min="30" max="16384" width="9" style="25"/>
  </cols>
  <sheetData>
    <row r="1" spans="2:29">
      <c r="B1" s="26" t="s">
        <v>77</v>
      </c>
      <c r="C1" s="26">
        <v>0</v>
      </c>
      <c r="D1" s="26">
        <v>1</v>
      </c>
      <c r="E1" s="26">
        <v>2</v>
      </c>
      <c r="F1" s="26">
        <v>3</v>
      </c>
      <c r="G1" s="26">
        <v>4</v>
      </c>
      <c r="H1" s="26">
        <v>5</v>
      </c>
      <c r="I1" s="26">
        <v>6</v>
      </c>
      <c r="J1" s="26">
        <v>7</v>
      </c>
      <c r="K1" s="26">
        <v>8</v>
      </c>
      <c r="L1" s="26">
        <v>9</v>
      </c>
      <c r="M1" s="26">
        <v>10</v>
      </c>
      <c r="N1" s="26">
        <v>11</v>
      </c>
      <c r="O1" s="26">
        <v>12</v>
      </c>
      <c r="P1" s="26">
        <v>13</v>
      </c>
      <c r="Q1" s="26">
        <v>14</v>
      </c>
      <c r="R1" s="26">
        <v>15</v>
      </c>
      <c r="S1" s="26">
        <v>16</v>
      </c>
      <c r="T1" s="26">
        <v>17</v>
      </c>
      <c r="U1" s="26">
        <v>18</v>
      </c>
      <c r="V1" s="26">
        <v>19</v>
      </c>
      <c r="W1" s="26">
        <v>20</v>
      </c>
      <c r="X1" s="26">
        <v>21</v>
      </c>
      <c r="Y1" s="26">
        <v>22</v>
      </c>
      <c r="Z1" s="26">
        <v>23</v>
      </c>
      <c r="AA1" s="26">
        <v>24</v>
      </c>
      <c r="AB1" s="26">
        <v>25</v>
      </c>
      <c r="AC1" s="50" t="s">
        <v>78</v>
      </c>
    </row>
    <row r="2" spans="2:2">
      <c r="B2" s="27" t="s">
        <v>79</v>
      </c>
    </row>
    <row r="3" spans="2:28">
      <c r="B3" s="25" t="s">
        <v>80</v>
      </c>
      <c r="E3" s="28">
        <v>0.02</v>
      </c>
      <c r="F3" s="29">
        <v>0.007</v>
      </c>
      <c r="G3" s="29">
        <v>0.007</v>
      </c>
      <c r="H3" s="29">
        <v>0.007</v>
      </c>
      <c r="I3" s="29">
        <v>0.007</v>
      </c>
      <c r="J3" s="29">
        <v>0.007</v>
      </c>
      <c r="K3" s="29">
        <v>0.007</v>
      </c>
      <c r="L3" s="29">
        <v>0.007</v>
      </c>
      <c r="M3" s="29">
        <v>0.007</v>
      </c>
      <c r="N3" s="29">
        <v>0.007</v>
      </c>
      <c r="O3" s="29">
        <v>0.007</v>
      </c>
      <c r="P3" s="29">
        <v>0.007</v>
      </c>
      <c r="Q3" s="29">
        <v>0.007</v>
      </c>
      <c r="R3" s="29">
        <v>0.007</v>
      </c>
      <c r="S3" s="29">
        <v>0.007</v>
      </c>
      <c r="T3" s="29">
        <v>0.007</v>
      </c>
      <c r="U3" s="29">
        <v>0.007</v>
      </c>
      <c r="V3" s="29">
        <v>0.007</v>
      </c>
      <c r="W3" s="29">
        <v>0.007</v>
      </c>
      <c r="X3" s="29">
        <v>0.007</v>
      </c>
      <c r="Y3" s="29">
        <v>0.007</v>
      </c>
      <c r="Z3" s="29">
        <v>0.007</v>
      </c>
      <c r="AA3" s="29">
        <v>0.007</v>
      </c>
      <c r="AB3" s="28">
        <v>0.0067</v>
      </c>
    </row>
    <row r="4" spans="2:28">
      <c r="B4" s="25" t="s">
        <v>81</v>
      </c>
      <c r="D4" s="30">
        <f>基本数据!E5*基本数据!E6</f>
        <v>0</v>
      </c>
      <c r="E4" s="30">
        <f>D4*(1-E3)</f>
        <v>0</v>
      </c>
      <c r="F4" s="30">
        <f>E4*(1-F3)</f>
        <v>0</v>
      </c>
      <c r="G4" s="30">
        <f t="shared" ref="G4:AB4" si="0">F4*(1-G3)</f>
        <v>0</v>
      </c>
      <c r="H4" s="30">
        <f t="shared" si="0"/>
        <v>0</v>
      </c>
      <c r="I4" s="30">
        <f t="shared" si="0"/>
        <v>0</v>
      </c>
      <c r="J4" s="30">
        <f t="shared" si="0"/>
        <v>0</v>
      </c>
      <c r="K4" s="30">
        <f t="shared" si="0"/>
        <v>0</v>
      </c>
      <c r="L4" s="30">
        <f t="shared" si="0"/>
        <v>0</v>
      </c>
      <c r="M4" s="30">
        <f t="shared" si="0"/>
        <v>0</v>
      </c>
      <c r="N4" s="30">
        <f t="shared" si="0"/>
        <v>0</v>
      </c>
      <c r="O4" s="30">
        <f t="shared" si="0"/>
        <v>0</v>
      </c>
      <c r="P4" s="30">
        <f t="shared" si="0"/>
        <v>0</v>
      </c>
      <c r="Q4" s="30">
        <f t="shared" si="0"/>
        <v>0</v>
      </c>
      <c r="R4" s="30">
        <f t="shared" si="0"/>
        <v>0</v>
      </c>
      <c r="S4" s="30">
        <f t="shared" si="0"/>
        <v>0</v>
      </c>
      <c r="T4" s="30">
        <f t="shared" si="0"/>
        <v>0</v>
      </c>
      <c r="U4" s="30">
        <f t="shared" si="0"/>
        <v>0</v>
      </c>
      <c r="V4" s="30">
        <f t="shared" si="0"/>
        <v>0</v>
      </c>
      <c r="W4" s="30">
        <f t="shared" si="0"/>
        <v>0</v>
      </c>
      <c r="X4" s="30">
        <f t="shared" si="0"/>
        <v>0</v>
      </c>
      <c r="Y4" s="30">
        <f t="shared" si="0"/>
        <v>0</v>
      </c>
      <c r="Z4" s="30">
        <f t="shared" si="0"/>
        <v>0</v>
      </c>
      <c r="AA4" s="30">
        <f t="shared" si="0"/>
        <v>0</v>
      </c>
      <c r="AB4" s="30">
        <f t="shared" si="0"/>
        <v>0</v>
      </c>
    </row>
    <row r="6" spans="2:2">
      <c r="B6" s="31" t="s">
        <v>82</v>
      </c>
    </row>
    <row r="7" spans="2:28">
      <c r="B7" s="32" t="s">
        <v>83</v>
      </c>
      <c r="D7" s="30">
        <f>D4*(1-基本数据!$E$21)*基本数据!$E$8</f>
        <v>0</v>
      </c>
      <c r="E7" s="30">
        <f>E4*(1-基本数据!$E$21)*基本数据!$E$8</f>
        <v>0</v>
      </c>
      <c r="F7" s="30">
        <f>F4*(1-基本数据!$E$21)*基本数据!$E$8</f>
        <v>0</v>
      </c>
      <c r="G7" s="30">
        <f>G4*(1-基本数据!$E$21)*基本数据!$E$8</f>
        <v>0</v>
      </c>
      <c r="H7" s="30">
        <f>H4*(1-基本数据!$E$21)*基本数据!$E$8</f>
        <v>0</v>
      </c>
      <c r="I7" s="30">
        <f>I4*(1-基本数据!$E$21)*基本数据!$E$8</f>
        <v>0</v>
      </c>
      <c r="J7" s="30">
        <f>J4*(1-基本数据!$E$21)*基本数据!$E$8</f>
        <v>0</v>
      </c>
      <c r="K7" s="30">
        <f>K4*(1-基本数据!$E$21)*基本数据!$E$8</f>
        <v>0</v>
      </c>
      <c r="L7" s="30">
        <f>L4*(1-基本数据!$E$21)*基本数据!$E$8</f>
        <v>0</v>
      </c>
      <c r="M7" s="30">
        <f>M4*(1-基本数据!$E$21)*基本数据!$E$8</f>
        <v>0</v>
      </c>
      <c r="N7" s="30">
        <f>N4*(1-基本数据!$E$21)*基本数据!$E$8</f>
        <v>0</v>
      </c>
      <c r="O7" s="30">
        <f>O4*(1-基本数据!$E$21)*基本数据!$E$8</f>
        <v>0</v>
      </c>
      <c r="P7" s="30">
        <f>P4*(1-基本数据!$E$21)*基本数据!$E$8</f>
        <v>0</v>
      </c>
      <c r="Q7" s="30">
        <f>Q4*(1-基本数据!$E$21)*基本数据!$E$8</f>
        <v>0</v>
      </c>
      <c r="R7" s="30">
        <f>R4*(1-基本数据!$E$21)*基本数据!$E$8</f>
        <v>0</v>
      </c>
      <c r="S7" s="30">
        <f>S4*(1-基本数据!$E$21)*基本数据!$E$8</f>
        <v>0</v>
      </c>
      <c r="T7" s="30">
        <f>T4*(1-基本数据!$E$21)*基本数据!$E$8</f>
        <v>0</v>
      </c>
      <c r="U7" s="30">
        <f>U4*(1-基本数据!$E$21)*基本数据!$E$8</f>
        <v>0</v>
      </c>
      <c r="V7" s="30">
        <f>V4*(1-基本数据!$E$21)*基本数据!$E$8</f>
        <v>0</v>
      </c>
      <c r="W7" s="30">
        <f>W4*(1-基本数据!$E$21)*基本数据!$E$8</f>
        <v>0</v>
      </c>
      <c r="X7" s="30">
        <f>X4*(1-基本数据!$E$21)*基本数据!$E$8</f>
        <v>0</v>
      </c>
      <c r="Y7" s="30">
        <f>Y4*(1-基本数据!$E$21)*基本数据!$E$8</f>
        <v>0</v>
      </c>
      <c r="Z7" s="30">
        <f>Z4*(1-基本数据!$E$21)*基本数据!$E$8</f>
        <v>0</v>
      </c>
      <c r="AA7" s="30">
        <f>AA4*(1-基本数据!$E$21)*基本数据!$E$8</f>
        <v>0</v>
      </c>
      <c r="AB7" s="30">
        <f>AB4*(1-基本数据!$E$21)*基本数据!$E$8</f>
        <v>0</v>
      </c>
    </row>
    <row r="8" spans="2:28">
      <c r="B8" s="32" t="s">
        <v>84</v>
      </c>
      <c r="D8" s="30">
        <f>D4*基本数据!$E$21*基本数据!$E$7*基本数据!$E$22</f>
        <v>0</v>
      </c>
      <c r="E8" s="30">
        <f>E4*基本数据!$E$21*基本数据!$E$7*基本数据!$E$22</f>
        <v>0</v>
      </c>
      <c r="F8" s="30">
        <f>F4*基本数据!$E$21*基本数据!$E$7*基本数据!$E$22</f>
        <v>0</v>
      </c>
      <c r="G8" s="30">
        <f>G4*基本数据!$E$21*基本数据!$E$7*基本数据!$E$22</f>
        <v>0</v>
      </c>
      <c r="H8" s="30">
        <f>H4*基本数据!$E$21*基本数据!$E$7*基本数据!$E$22</f>
        <v>0</v>
      </c>
      <c r="I8" s="30">
        <f>I4*基本数据!$E$21*基本数据!$E$7*基本数据!$E$22</f>
        <v>0</v>
      </c>
      <c r="J8" s="30">
        <f>J4*基本数据!$E$21*基本数据!$E$7*基本数据!$E$22</f>
        <v>0</v>
      </c>
      <c r="K8" s="30">
        <f>K4*基本数据!$E$21*基本数据!$E$7*基本数据!$E$22</f>
        <v>0</v>
      </c>
      <c r="L8" s="30">
        <f>L4*基本数据!$E$21*基本数据!$E$7*基本数据!$E$22</f>
        <v>0</v>
      </c>
      <c r="M8" s="30">
        <f>M4*基本数据!$E$21*基本数据!$E$7*基本数据!$E$22</f>
        <v>0</v>
      </c>
      <c r="N8" s="30">
        <f>N4*基本数据!$E$21*基本数据!$E$7*基本数据!$E$22</f>
        <v>0</v>
      </c>
      <c r="O8" s="30">
        <f>O4*基本数据!$E$21*基本数据!$E$7*基本数据!$E$22</f>
        <v>0</v>
      </c>
      <c r="P8" s="30">
        <f>P4*基本数据!$E$21*基本数据!$E$7*基本数据!$E$22</f>
        <v>0</v>
      </c>
      <c r="Q8" s="30">
        <f>Q4*基本数据!$E$21*基本数据!$E$7*基本数据!$E$22</f>
        <v>0</v>
      </c>
      <c r="R8" s="30">
        <f>R4*基本数据!$E$21*基本数据!$E$7*基本数据!$E$22</f>
        <v>0</v>
      </c>
      <c r="S8" s="30">
        <f>S4*基本数据!$E$21*基本数据!$E$7*基本数据!$E$22</f>
        <v>0</v>
      </c>
      <c r="T8" s="30">
        <f>T4*基本数据!$E$21*基本数据!$E$7*基本数据!$E$22</f>
        <v>0</v>
      </c>
      <c r="U8" s="30">
        <f>U4*基本数据!$E$21*基本数据!$E$7*基本数据!$E$22</f>
        <v>0</v>
      </c>
      <c r="V8" s="30">
        <f>V4*基本数据!$E$21*基本数据!$E$7*基本数据!$E$22</f>
        <v>0</v>
      </c>
      <c r="W8" s="30">
        <f>W4*基本数据!$E$21*基本数据!$E$7*基本数据!$E$22</f>
        <v>0</v>
      </c>
      <c r="X8" s="30">
        <f>X4*基本数据!$E$21*基本数据!$E$7*基本数据!$E$22</f>
        <v>0</v>
      </c>
      <c r="Y8" s="30">
        <f>Y4*基本数据!$E$21*基本数据!$E$7*基本数据!$E$22</f>
        <v>0</v>
      </c>
      <c r="Z8" s="30">
        <f>Z4*基本数据!$E$21*基本数据!$E$7*基本数据!$E$22</f>
        <v>0</v>
      </c>
      <c r="AA8" s="30">
        <f>AA4*基本数据!$E$21*基本数据!$E$7*基本数据!$E$22</f>
        <v>0</v>
      </c>
      <c r="AB8" s="30">
        <f>AB4*基本数据!$E$21*基本数据!$E$7*基本数据!$E$22</f>
        <v>0</v>
      </c>
    </row>
    <row r="9" spans="2:28">
      <c r="B9" s="32" t="s">
        <v>85</v>
      </c>
      <c r="D9" s="30">
        <f>D4*基本数据!$E$15</f>
        <v>0</v>
      </c>
      <c r="E9" s="30">
        <f>E4*基本数据!$E$15</f>
        <v>0</v>
      </c>
      <c r="F9" s="30">
        <f>F4*基本数据!$E$15</f>
        <v>0</v>
      </c>
      <c r="G9" s="30">
        <f>G4*基本数据!$E$15</f>
        <v>0</v>
      </c>
      <c r="H9" s="30">
        <f>H4*基本数据!$E$15</f>
        <v>0</v>
      </c>
      <c r="I9" s="30">
        <f>I4*基本数据!$E$15</f>
        <v>0</v>
      </c>
      <c r="J9" s="30">
        <f>J4*基本数据!$E$15</f>
        <v>0</v>
      </c>
      <c r="K9" s="30">
        <f>K4*基本数据!$E$15</f>
        <v>0</v>
      </c>
      <c r="L9" s="30">
        <f>L4*基本数据!$E$15</f>
        <v>0</v>
      </c>
      <c r="M9" s="30">
        <f>M4*基本数据!$E$15</f>
        <v>0</v>
      </c>
      <c r="N9" s="30">
        <f>N4*基本数据!$E$15</f>
        <v>0</v>
      </c>
      <c r="O9" s="30">
        <f>O4*基本数据!$E$15</f>
        <v>0</v>
      </c>
      <c r="P9" s="30">
        <f>P4*基本数据!$E$15</f>
        <v>0</v>
      </c>
      <c r="Q9" s="30">
        <f>Q4*基本数据!$E$15</f>
        <v>0</v>
      </c>
      <c r="R9" s="30">
        <f>R4*基本数据!$E$15</f>
        <v>0</v>
      </c>
      <c r="S9" s="30">
        <f>S4*基本数据!$E$15</f>
        <v>0</v>
      </c>
      <c r="T9" s="30">
        <f>T4*基本数据!$E$15</f>
        <v>0</v>
      </c>
      <c r="U9" s="30">
        <f>U4*基本数据!$E$15</f>
        <v>0</v>
      </c>
      <c r="V9" s="30">
        <f>V4*基本数据!$E$15</f>
        <v>0</v>
      </c>
      <c r="W9" s="30">
        <f>W4*基本数据!$E$15</f>
        <v>0</v>
      </c>
      <c r="X9" s="30">
        <f>X4*基本数据!$E$15</f>
        <v>0</v>
      </c>
      <c r="Y9" s="30">
        <f>Y4*基本数据!$E$15</f>
        <v>0</v>
      </c>
      <c r="Z9" s="30">
        <f>Z4*基本数据!$E$15</f>
        <v>0</v>
      </c>
      <c r="AA9" s="30">
        <f>AA4*基本数据!$E$15</f>
        <v>0</v>
      </c>
      <c r="AB9" s="30">
        <f>AB4*基本数据!$E$15</f>
        <v>0</v>
      </c>
    </row>
    <row r="10" spans="2:28">
      <c r="B10" s="33" t="s">
        <v>86</v>
      </c>
      <c r="D10" s="30">
        <f>IF(D1&lt;基本数据!$J$19,IF(基本数据!$J$22=1,(基本数据!$J$5*基本数据!$J$6*基本数据!$J$7*基本数据!$J$11*275+基本数据!$J$5*基本数据!$J$6*基本数据!$J$7*基本数据!$J$13*90),((基本数据!$J$5*基本数据!$J$6*基本数据!$J$7*基本数据!$J$11*275+基本数据!$J$5*基本数据!$J$6*基本数据!$J$7*基本数据!$J$12*275)+(基本数据!$J$5*基本数据!$J$6*基本数据!$J$7*基本数据!$J$13*90+基本数据!$J$5*基本数据!$J$6*基本数据!$J$7*基本数据!$J$14*90))),0)</f>
        <v>1095955.92</v>
      </c>
      <c r="E10" s="30">
        <f>IF(D1&lt;基本数据!$J$19,D10-D10*基本数据!$J$23,0)</f>
        <v>1079516.5812</v>
      </c>
      <c r="F10" s="30">
        <f>IF(E1&lt;基本数据!$J$19,E10-E10*基本数据!$J$23,0)</f>
        <v>1063323.832482</v>
      </c>
      <c r="G10" s="30">
        <f>IF(F1&lt;基本数据!$J$19,F10-F10*基本数据!$J$23,0)</f>
        <v>1047373.97499477</v>
      </c>
      <c r="H10" s="30">
        <f>IF(G1&lt;基本数据!$J$19,G10-G10*基本数据!$J$23,0)</f>
        <v>1031663.36536985</v>
      </c>
      <c r="I10" s="30">
        <f>IF(H1&lt;基本数据!$J$19,H10-H10*基本数据!$J$23,0)</f>
        <v>1016188.4148893</v>
      </c>
      <c r="J10" s="30">
        <f>IF(I1&lt;基本数据!$J$19,I10-I10*基本数据!$J$23,0)</f>
        <v>1000945.58866596</v>
      </c>
      <c r="K10" s="30">
        <f>IF(J1&lt;基本数据!$J$19,J10-J10*基本数据!$J$23,0)</f>
        <v>985931.404835972</v>
      </c>
      <c r="L10" s="30">
        <f>IF(K1&lt;基本数据!$J$19,K10-K10*基本数据!$J$23,0)</f>
        <v>971142.433763432</v>
      </c>
      <c r="M10" s="30">
        <f>IF(L1&lt;基本数据!$J$19,L10-L10*基本数据!$J$23,0)</f>
        <v>0</v>
      </c>
      <c r="N10" s="30">
        <f>IF(M1&lt;基本数据!$J$19,M10-M10*基本数据!$J$23,0)</f>
        <v>0</v>
      </c>
      <c r="O10" s="30">
        <f>IF(N1&lt;基本数据!$J$19,N10-N10*基本数据!$J$23,0)</f>
        <v>0</v>
      </c>
      <c r="P10" s="30">
        <f>IF(O1&lt;基本数据!$J$19,O10-O10*基本数据!$J$23,0)</f>
        <v>0</v>
      </c>
      <c r="Q10" s="30">
        <f>IF(P1&lt;基本数据!$J$19,P10-P10*基本数据!$J$23,0)</f>
        <v>0</v>
      </c>
      <c r="R10" s="30">
        <f>IF(Q1&lt;基本数据!$J$19,Q10-Q10*基本数据!$J$23,0)</f>
        <v>0</v>
      </c>
      <c r="S10" s="30">
        <f>IF(R1&lt;基本数据!$J$19,R10-R10*基本数据!$J$23,0)</f>
        <v>0</v>
      </c>
      <c r="T10" s="30">
        <f>IF(S1&lt;基本数据!$J$19,S10-S10*基本数据!$J$23,0)</f>
        <v>0</v>
      </c>
      <c r="U10" s="30">
        <f>IF(T1&lt;基本数据!$J$19,T10-T10*基本数据!$J$23,0)</f>
        <v>0</v>
      </c>
      <c r="V10" s="30">
        <f>IF(U1&lt;基本数据!$J$19,U10-U10*基本数据!$J$23,0)</f>
        <v>0</v>
      </c>
      <c r="W10" s="30">
        <f>IF(V1&lt;基本数据!$J$19,V10-V10*基本数据!$J$23,0)</f>
        <v>0</v>
      </c>
      <c r="X10" s="30">
        <f>IF(W1&lt;基本数据!$J$19,W10-W10*基本数据!$J$23,0)</f>
        <v>0</v>
      </c>
      <c r="Y10" s="30">
        <f>IF(X1&lt;基本数据!$J$19,X10-X10*基本数据!$J$23,0)</f>
        <v>0</v>
      </c>
      <c r="Z10" s="30">
        <f>IF(Y1&lt;基本数据!$J$19,Y10-Y10*基本数据!$J$23,0)</f>
        <v>0</v>
      </c>
      <c r="AA10" s="30">
        <f>IF(Z1&lt;基本数据!$J$19,Z10-Z10*基本数据!$J$23,0)</f>
        <v>0</v>
      </c>
      <c r="AB10" s="30">
        <f>IF(AA1&lt;基本数据!$J$19,AA10-AA10*基本数据!$J$23,0)</f>
        <v>0</v>
      </c>
    </row>
    <row r="11" spans="2:28">
      <c r="B11" s="33" t="s">
        <v>87</v>
      </c>
      <c r="D11" s="30">
        <f>IF((D1)&lt;基本数据!$J$19,基本数据!$J$8*基本数据!$T$3*12,0)</f>
        <v>0</v>
      </c>
      <c r="E11" s="30">
        <f>IF((E1)&lt;基本数据!$J$19,基本数据!$J$8*基本数据!$T$3*12,0)</f>
        <v>0</v>
      </c>
      <c r="F11" s="30">
        <f>IF((F1)&lt;基本数据!$J$19,基本数据!$J$8*基本数据!$T$3*12,0)</f>
        <v>0</v>
      </c>
      <c r="G11" s="30">
        <f>IF((G1)&lt;基本数据!$J$19,基本数据!$J$8*基本数据!$T$3*12,0)</f>
        <v>0</v>
      </c>
      <c r="H11" s="30">
        <f>IF((H1)&lt;基本数据!$J$19,基本数据!$J$8*基本数据!$T$3*12,0)</f>
        <v>0</v>
      </c>
      <c r="I11" s="30">
        <f>IF((I1)&lt;基本数据!$J$19,基本数据!$J$8*基本数据!$T$3*12,0)</f>
        <v>0</v>
      </c>
      <c r="J11" s="30">
        <f>IF((J1)&lt;基本数据!$J$19,基本数据!$J$8*基本数据!$T$3*12,0)</f>
        <v>0</v>
      </c>
      <c r="K11" s="30">
        <f>IF((K1)&lt;基本数据!$J$19,基本数据!$J$8*基本数据!$T$3*12,0)</f>
        <v>0</v>
      </c>
      <c r="L11" s="30">
        <f>IF((L1)&lt;基本数据!$J$19,基本数据!$J$8*基本数据!$T$3*12,0)</f>
        <v>0</v>
      </c>
      <c r="M11" s="30">
        <f>IF((M1)&lt;基本数据!$J$19,基本数据!$J$8*基本数据!$T$3*12,0)</f>
        <v>0</v>
      </c>
      <c r="N11" s="30">
        <f>IF((N1)&lt;基本数据!$J$19,基本数据!$J$8*基本数据!$T$3*12,0)</f>
        <v>0</v>
      </c>
      <c r="O11" s="30">
        <f>IF((O1)&lt;基本数据!$J$19,基本数据!$J$8*基本数据!$T$3*12,0)</f>
        <v>0</v>
      </c>
      <c r="P11" s="30">
        <f>IF((P1)&lt;基本数据!$J$19,基本数据!$J$8*基本数据!$T$3*12,0)</f>
        <v>0</v>
      </c>
      <c r="Q11" s="30">
        <f>IF((Q1)&lt;基本数据!$J$19,基本数据!$J$8*基本数据!$T$3*12,0)</f>
        <v>0</v>
      </c>
      <c r="R11" s="30">
        <f>IF((R1)&lt;基本数据!$J$19,基本数据!$J$8*基本数据!$T$3*12,0)</f>
        <v>0</v>
      </c>
      <c r="S11" s="30">
        <f>IF((S1)&lt;基本数据!$J$19,基本数据!$J$8*基本数据!$T$3*12,0)</f>
        <v>0</v>
      </c>
      <c r="T11" s="30">
        <f>IF((T1)&lt;基本数据!$J$19,基本数据!$J$8*基本数据!$T$3*12,0)</f>
        <v>0</v>
      </c>
      <c r="U11" s="30">
        <f>IF((U1)&lt;基本数据!$J$19,基本数据!$J$8*基本数据!$T$3*12,0)</f>
        <v>0</v>
      </c>
      <c r="V11" s="30">
        <f>IF((V1)&lt;基本数据!$J$19,基本数据!$J$8*基本数据!$T$3*12,0)</f>
        <v>0</v>
      </c>
      <c r="W11" s="30">
        <f>IF((W1)&lt;基本数据!$J$19,基本数据!$J$8*基本数据!$T$3*12,0)</f>
        <v>0</v>
      </c>
      <c r="X11" s="30">
        <f>IF((X1)&lt;基本数据!$J$19,基本数据!$J$8*基本数据!$T$3*12,0)</f>
        <v>0</v>
      </c>
      <c r="Y11" s="30">
        <f>IF((Y1)&lt;基本数据!$J$19,基本数据!$J$8*基本数据!$T$3*12,0)</f>
        <v>0</v>
      </c>
      <c r="Z11" s="30">
        <f>IF((Z1)&lt;基本数据!$J$19,基本数据!$J$8*基本数据!$T$3*12,0)</f>
        <v>0</v>
      </c>
      <c r="AA11" s="30">
        <f>IF((AA1)&lt;基本数据!$J$19,基本数据!$J$8*基本数据!$T$3*12,0)</f>
        <v>0</v>
      </c>
      <c r="AB11" s="30">
        <f>IF((AB1)&lt;基本数据!$J$19,基本数据!$J$8*基本数据!$T$3*12,0)</f>
        <v>0</v>
      </c>
    </row>
    <row r="12" spans="2:28">
      <c r="B12" s="34" t="s">
        <v>30</v>
      </c>
      <c r="D12" s="30">
        <f>IF((D1-1)&lt;基本数据!$O$12,基本数据!$O$6*基本数据!$O$7*365,0)</f>
        <v>0</v>
      </c>
      <c r="E12" s="30">
        <f>IF((E1-1)&lt;基本数据!$O$12,基本数据!$O$6*基本数据!$O$7*365,0)</f>
        <v>0</v>
      </c>
      <c r="F12" s="30">
        <f>IF((F1-1)&lt;基本数据!$O$12,基本数据!$O$6*基本数据!$O$7*365,0)</f>
        <v>0</v>
      </c>
      <c r="G12" s="30">
        <f>IF((G1-1)&lt;基本数据!$O$12,基本数据!$O$6*基本数据!$O$7*365,0)</f>
        <v>0</v>
      </c>
      <c r="H12" s="30">
        <f>IF((H1-1)&lt;基本数据!$O$12,基本数据!$O$6*基本数据!$O$7*365,0)</f>
        <v>0</v>
      </c>
      <c r="I12" s="30">
        <f>IF((I1-1)&lt;基本数据!$O$12,基本数据!$O$6*基本数据!$O$7*365,0)</f>
        <v>0</v>
      </c>
      <c r="J12" s="30">
        <f>IF((J1-1)&lt;基本数据!$O$12,基本数据!$O$6*基本数据!$O$7*365,0)</f>
        <v>0</v>
      </c>
      <c r="K12" s="30">
        <f>IF((K1-1)&lt;基本数据!$O$12,基本数据!$O$6*基本数据!$O$7*365,0)</f>
        <v>0</v>
      </c>
      <c r="L12" s="30">
        <f>IF((L1-1)&lt;基本数据!$O$12,基本数据!$O$6*基本数据!$O$7*365,0)</f>
        <v>0</v>
      </c>
      <c r="M12" s="30">
        <f>IF((M1-1)&lt;基本数据!$O$12,基本数据!$O$6*基本数据!$O$7*365,0)</f>
        <v>0</v>
      </c>
      <c r="N12" s="30">
        <f>IF((N1-1)&lt;基本数据!$O$12,基本数据!$O$6*基本数据!$O$7*365,0)</f>
        <v>0</v>
      </c>
      <c r="O12" s="30">
        <f>IF((O1-1)&lt;基本数据!$O$12,基本数据!$O$6*基本数据!$O$7*365,0)</f>
        <v>0</v>
      </c>
      <c r="P12" s="30">
        <f>IF((P1-1)&lt;基本数据!$O$12,基本数据!$O$6*基本数据!$O$7*365,0)</f>
        <v>0</v>
      </c>
      <c r="Q12" s="30">
        <f>IF((Q1-1)&lt;基本数据!$O$12,基本数据!$O$6*基本数据!$O$7*365,0)</f>
        <v>0</v>
      </c>
      <c r="R12" s="30">
        <f>IF((R1-1)&lt;基本数据!$O$12,基本数据!$O$6*基本数据!$O$7*365,0)</f>
        <v>0</v>
      </c>
      <c r="S12" s="30">
        <f>IF((S1-1)&lt;基本数据!$O$12,基本数据!$O$6*基本数据!$O$7*365,0)</f>
        <v>0</v>
      </c>
      <c r="T12" s="30">
        <f>IF((T1-1)&lt;基本数据!$O$12,基本数据!$O$6*基本数据!$O$7*365,0)</f>
        <v>0</v>
      </c>
      <c r="U12" s="30">
        <f>IF((U1-1)&lt;基本数据!$O$12,基本数据!$O$6*基本数据!$O$7*365,0)</f>
        <v>0</v>
      </c>
      <c r="V12" s="30">
        <f>IF((V1-1)&lt;基本数据!$O$12,基本数据!$O$6*基本数据!$O$7*365,0)</f>
        <v>0</v>
      </c>
      <c r="W12" s="30">
        <f>IF((W1-1)&lt;基本数据!$O$12,基本数据!$O$6*基本数据!$O$7*365,0)</f>
        <v>0</v>
      </c>
      <c r="X12" s="30">
        <f>IF((X1-1)&lt;基本数据!$O$12,基本数据!$O$6*基本数据!$O$7*365,0)</f>
        <v>0</v>
      </c>
      <c r="Y12" s="30">
        <f>IF((Y1-1)&lt;基本数据!$O$12,基本数据!$O$6*基本数据!$O$7*365,0)</f>
        <v>0</v>
      </c>
      <c r="Z12" s="30">
        <f>IF((Z1-1)&lt;基本数据!$O$12,基本数据!$O$6*基本数据!$O$7*365,0)</f>
        <v>0</v>
      </c>
      <c r="AA12" s="30">
        <f>IF((AA1-1)&lt;基本数据!$O$12,基本数据!$O$6*基本数据!$O$7*365,0)</f>
        <v>0</v>
      </c>
      <c r="AB12" s="30">
        <f>IF((AB1-1)&lt;基本数据!$O$12,基本数据!$O$6*基本数据!$O$7*365,0)</f>
        <v>0</v>
      </c>
    </row>
    <row r="13" spans="2:28">
      <c r="B13" s="34" t="s">
        <v>88</v>
      </c>
      <c r="D13" s="30">
        <f>IF((D1-1)&lt;基本数据!$O$12,基本数据!$J$9*基本数据!$T$4*12,0)</f>
        <v>0</v>
      </c>
      <c r="E13" s="30">
        <f>IF((E1-1)&lt;基本数据!$O$12,基本数据!$J$9*基本数据!$T$4*12,0)</f>
        <v>0</v>
      </c>
      <c r="F13" s="30">
        <f>IF((F1-1)&lt;基本数据!$O$12,基本数据!$J$9*基本数据!$T$4*12,0)</f>
        <v>0</v>
      </c>
      <c r="G13" s="30">
        <f>IF((G1-1)&lt;基本数据!$O$12,基本数据!$J$9*基本数据!$T$4*12,0)</f>
        <v>0</v>
      </c>
      <c r="H13" s="30">
        <f>IF((H1-1)&lt;基本数据!$O$12,基本数据!$J$9*基本数据!$T$4*12,0)</f>
        <v>0</v>
      </c>
      <c r="I13" s="30">
        <f>IF((I1-1)&lt;基本数据!$O$12,基本数据!$J$9*基本数据!$T$4*12,0)</f>
        <v>0</v>
      </c>
      <c r="J13" s="30">
        <f>IF((J1-1)&lt;基本数据!$O$12,基本数据!$J$9*基本数据!$T$4*12,0)</f>
        <v>0</v>
      </c>
      <c r="K13" s="30">
        <f>IF((K1-1)&lt;基本数据!$O$12,基本数据!$J$9*基本数据!$T$4*12,0)</f>
        <v>0</v>
      </c>
      <c r="L13" s="30">
        <f>IF((L1-1)&lt;基本数据!$O$12,基本数据!$J$9*基本数据!$T$4*12,0)</f>
        <v>0</v>
      </c>
      <c r="M13" s="30">
        <f>IF((M1-1)&lt;基本数据!$O$12,基本数据!$J$9*基本数据!$T$4*12,0)</f>
        <v>0</v>
      </c>
      <c r="N13" s="30">
        <f>IF((N1-1)&lt;基本数据!$O$12,基本数据!$J$9*基本数据!$T$4*12,0)</f>
        <v>0</v>
      </c>
      <c r="O13" s="30">
        <f>IF((O1-1)&lt;基本数据!$O$12,基本数据!$J$9*基本数据!$T$4*12,0)</f>
        <v>0</v>
      </c>
      <c r="P13" s="30">
        <f>IF((P1-1)&lt;基本数据!$O$12,基本数据!$J$9*基本数据!$T$4*12,0)</f>
        <v>0</v>
      </c>
      <c r="Q13" s="30">
        <f>IF((Q1-1)&lt;基本数据!$O$12,基本数据!$J$9*基本数据!$T$4*12,0)</f>
        <v>0</v>
      </c>
      <c r="R13" s="30">
        <f>IF((R1-1)&lt;基本数据!$O$12,基本数据!$J$9*基本数据!$T$4*12,0)</f>
        <v>0</v>
      </c>
      <c r="S13" s="30">
        <f>IF((S1-1)&lt;基本数据!$O$12,基本数据!$J$9*基本数据!$T$4*12,0)</f>
        <v>0</v>
      </c>
      <c r="T13" s="30">
        <f>IF((T1-1)&lt;基本数据!$O$12,基本数据!$J$9*基本数据!$T$4*12,0)</f>
        <v>0</v>
      </c>
      <c r="U13" s="30">
        <f>IF((U1-1)&lt;基本数据!$O$12,基本数据!$J$9*基本数据!$T$4*12,0)</f>
        <v>0</v>
      </c>
      <c r="V13" s="30">
        <f>IF((V1-1)&lt;基本数据!$O$12,基本数据!$J$9*基本数据!$T$4*12,0)</f>
        <v>0</v>
      </c>
      <c r="W13" s="30">
        <f>IF((W1-1)&lt;基本数据!$O$12,基本数据!$J$9*基本数据!$T$4*12,0)</f>
        <v>0</v>
      </c>
      <c r="X13" s="30">
        <f>IF((X1-1)&lt;基本数据!$O$12,基本数据!$J$9*基本数据!$T$4*12,0)</f>
        <v>0</v>
      </c>
      <c r="Y13" s="30">
        <f>IF((Y1-1)&lt;基本数据!$O$12,基本数据!$J$9*基本数据!$T$4*12,0)</f>
        <v>0</v>
      </c>
      <c r="Z13" s="30">
        <f>IF((Z1-1)&lt;基本数据!$O$12,基本数据!$J$9*基本数据!$T$4*12,0)</f>
        <v>0</v>
      </c>
      <c r="AA13" s="30">
        <f>IF((AA1-1)&lt;基本数据!$O$12,基本数据!$J$9*基本数据!$T$4*12,0)</f>
        <v>0</v>
      </c>
      <c r="AB13" s="30">
        <f>IF((AB1-1)&lt;基本数据!$O$12,基本数据!$J$9*基本数据!$T$4*12,0)</f>
        <v>0</v>
      </c>
    </row>
    <row r="14" spans="2:28">
      <c r="B14" s="32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2:28">
      <c r="B15" s="32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7" spans="2:28">
      <c r="B17" s="35" t="s">
        <v>89</v>
      </c>
      <c r="D17" s="36">
        <f t="shared" ref="D17:AB17" si="1">D7+D8+D9+D10+D11+D12+D13+D14+D15+D16</f>
        <v>1095955.92</v>
      </c>
      <c r="E17" s="36">
        <f t="shared" si="1"/>
        <v>1079516.5812</v>
      </c>
      <c r="F17" s="36">
        <f t="shared" si="1"/>
        <v>1063323.832482</v>
      </c>
      <c r="G17" s="36">
        <f t="shared" si="1"/>
        <v>1047373.97499477</v>
      </c>
      <c r="H17" s="36">
        <f t="shared" si="1"/>
        <v>1031663.36536985</v>
      </c>
      <c r="I17" s="36">
        <f t="shared" si="1"/>
        <v>1016188.4148893</v>
      </c>
      <c r="J17" s="36">
        <f t="shared" si="1"/>
        <v>1000945.58866596</v>
      </c>
      <c r="K17" s="36">
        <f t="shared" si="1"/>
        <v>985931.404835972</v>
      </c>
      <c r="L17" s="36">
        <f t="shared" si="1"/>
        <v>971142.433763432</v>
      </c>
      <c r="M17" s="36">
        <f t="shared" si="1"/>
        <v>0</v>
      </c>
      <c r="N17" s="36">
        <f t="shared" si="1"/>
        <v>0</v>
      </c>
      <c r="O17" s="36">
        <f t="shared" si="1"/>
        <v>0</v>
      </c>
      <c r="P17" s="36">
        <f t="shared" si="1"/>
        <v>0</v>
      </c>
      <c r="Q17" s="36">
        <f t="shared" si="1"/>
        <v>0</v>
      </c>
      <c r="R17" s="36">
        <f t="shared" si="1"/>
        <v>0</v>
      </c>
      <c r="S17" s="36">
        <f t="shared" si="1"/>
        <v>0</v>
      </c>
      <c r="T17" s="36">
        <f t="shared" si="1"/>
        <v>0</v>
      </c>
      <c r="U17" s="36">
        <f t="shared" si="1"/>
        <v>0</v>
      </c>
      <c r="V17" s="36">
        <f t="shared" si="1"/>
        <v>0</v>
      </c>
      <c r="W17" s="36">
        <f t="shared" si="1"/>
        <v>0</v>
      </c>
      <c r="X17" s="36">
        <f t="shared" si="1"/>
        <v>0</v>
      </c>
      <c r="Y17" s="36">
        <f t="shared" si="1"/>
        <v>0</v>
      </c>
      <c r="Z17" s="36">
        <f t="shared" si="1"/>
        <v>0</v>
      </c>
      <c r="AA17" s="36">
        <f t="shared" si="1"/>
        <v>0</v>
      </c>
      <c r="AB17" s="36">
        <f t="shared" si="1"/>
        <v>0</v>
      </c>
    </row>
    <row r="18" spans="2:29">
      <c r="B18" s="35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2:2">
      <c r="B19" s="38" t="s">
        <v>90</v>
      </c>
    </row>
    <row r="20" spans="4:28"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 spans="2:28">
      <c r="B21" s="25" t="s">
        <v>91</v>
      </c>
      <c r="D21" s="40">
        <f>D17*基本数据!$E$32</f>
        <v>10959.5592</v>
      </c>
      <c r="E21" s="40">
        <f>E17*基本数据!$E$32</f>
        <v>10795.165812</v>
      </c>
      <c r="F21" s="40">
        <f>F17*基本数据!$E$32</f>
        <v>10633.23832482</v>
      </c>
      <c r="G21" s="40">
        <f>G17*基本数据!$E$32</f>
        <v>10473.7397499477</v>
      </c>
      <c r="H21" s="40">
        <f>H17*基本数据!$E$32</f>
        <v>10316.6336536985</v>
      </c>
      <c r="I21" s="40">
        <f>I17*基本数据!$E$32</f>
        <v>10161.884148893</v>
      </c>
      <c r="J21" s="40">
        <f>J17*基本数据!$E$32</f>
        <v>10009.4558866596</v>
      </c>
      <c r="K21" s="40">
        <f>K17*基本数据!$E$32</f>
        <v>9859.31404835972</v>
      </c>
      <c r="L21" s="40">
        <f>L17*基本数据!$E$32</f>
        <v>9711.42433763432</v>
      </c>
      <c r="M21" s="40">
        <f>M17*基本数据!$E$32</f>
        <v>0</v>
      </c>
      <c r="N21" s="40">
        <f>N17*基本数据!$E$32</f>
        <v>0</v>
      </c>
      <c r="O21" s="40">
        <f>O17*基本数据!$E$32</f>
        <v>0</v>
      </c>
      <c r="P21" s="40">
        <f>P17*基本数据!$E$32</f>
        <v>0</v>
      </c>
      <c r="Q21" s="40">
        <f>Q17*基本数据!$E$32</f>
        <v>0</v>
      </c>
      <c r="R21" s="40">
        <f>R17*基本数据!$E$32</f>
        <v>0</v>
      </c>
      <c r="S21" s="40">
        <f>S17*基本数据!$E$32</f>
        <v>0</v>
      </c>
      <c r="T21" s="40">
        <f>T17*基本数据!$E$32</f>
        <v>0</v>
      </c>
      <c r="U21" s="40">
        <f>U17*基本数据!$E$32</f>
        <v>0</v>
      </c>
      <c r="V21" s="40">
        <f>V17*基本数据!$E$32</f>
        <v>0</v>
      </c>
      <c r="W21" s="40">
        <f>W17*基本数据!$E$32</f>
        <v>0</v>
      </c>
      <c r="X21" s="40">
        <f>X17*基本数据!$E$32</f>
        <v>0</v>
      </c>
      <c r="Y21" s="40">
        <f>Y17*基本数据!$E$32</f>
        <v>0</v>
      </c>
      <c r="Z21" s="40">
        <f>Z17*基本数据!$E$32</f>
        <v>0</v>
      </c>
      <c r="AA21" s="40">
        <f>AA17*基本数据!$E$32</f>
        <v>0</v>
      </c>
      <c r="AB21" s="40">
        <f>AB17*基本数据!$E$32</f>
        <v>0</v>
      </c>
    </row>
    <row r="22" spans="4:28"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spans="2:25">
      <c r="B23" s="34" t="s">
        <v>92</v>
      </c>
      <c r="N23" s="40">
        <f>基本数据!$E$5*基本数据!$E$10*1000*10%</f>
        <v>0</v>
      </c>
      <c r="Y23" s="40">
        <f>基本数据!$E$5*基本数据!$E$10*1000*10%</f>
        <v>0</v>
      </c>
    </row>
    <row r="25" spans="2:28">
      <c r="B25" s="41" t="s">
        <v>93</v>
      </c>
      <c r="D25" s="37">
        <f t="shared" ref="D25:AB25" si="2">SUM(D20:D24)</f>
        <v>10959.5592</v>
      </c>
      <c r="E25" s="37">
        <f t="shared" si="2"/>
        <v>10795.165812</v>
      </c>
      <c r="F25" s="37">
        <f t="shared" si="2"/>
        <v>10633.23832482</v>
      </c>
      <c r="G25" s="37">
        <f t="shared" si="2"/>
        <v>10473.7397499477</v>
      </c>
      <c r="H25" s="37">
        <f t="shared" si="2"/>
        <v>10316.6336536985</v>
      </c>
      <c r="I25" s="37">
        <f t="shared" si="2"/>
        <v>10161.884148893</v>
      </c>
      <c r="J25" s="37">
        <f t="shared" si="2"/>
        <v>10009.4558866596</v>
      </c>
      <c r="K25" s="37">
        <f t="shared" si="2"/>
        <v>9859.31404835972</v>
      </c>
      <c r="L25" s="37">
        <f t="shared" si="2"/>
        <v>9711.42433763432</v>
      </c>
      <c r="M25" s="37">
        <f t="shared" si="2"/>
        <v>0</v>
      </c>
      <c r="N25" s="37">
        <f t="shared" si="2"/>
        <v>0</v>
      </c>
      <c r="O25" s="37">
        <f t="shared" si="2"/>
        <v>0</v>
      </c>
      <c r="P25" s="37">
        <f t="shared" si="2"/>
        <v>0</v>
      </c>
      <c r="Q25" s="37">
        <f t="shared" si="2"/>
        <v>0</v>
      </c>
      <c r="R25" s="37">
        <f t="shared" si="2"/>
        <v>0</v>
      </c>
      <c r="S25" s="37">
        <f t="shared" si="2"/>
        <v>0</v>
      </c>
      <c r="T25" s="37">
        <f t="shared" si="2"/>
        <v>0</v>
      </c>
      <c r="U25" s="37">
        <f t="shared" si="2"/>
        <v>0</v>
      </c>
      <c r="V25" s="37">
        <f t="shared" si="2"/>
        <v>0</v>
      </c>
      <c r="W25" s="37">
        <f t="shared" si="2"/>
        <v>0</v>
      </c>
      <c r="X25" s="37">
        <f t="shared" si="2"/>
        <v>0</v>
      </c>
      <c r="Y25" s="37">
        <f t="shared" si="2"/>
        <v>0</v>
      </c>
      <c r="Z25" s="37">
        <f t="shared" si="2"/>
        <v>0</v>
      </c>
      <c r="AA25" s="37">
        <f t="shared" si="2"/>
        <v>0</v>
      </c>
      <c r="AB25" s="37">
        <f t="shared" si="2"/>
        <v>0</v>
      </c>
    </row>
    <row r="27" spans="2:3">
      <c r="B27" s="42" t="s">
        <v>94</v>
      </c>
      <c r="C27" s="25">
        <f>基本数据!$E$31*(1-基本数据!$E$33)</f>
        <v>0</v>
      </c>
    </row>
    <row r="28" spans="2:28">
      <c r="B28" s="34" t="s">
        <v>95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</row>
    <row r="29" spans="2:28">
      <c r="B29" s="100" t="s">
        <v>96</v>
      </c>
      <c r="D29" s="40">
        <f>IF(D1&gt;基本数据!$E$35,0,$C$27/基本数据!$E$35)</f>
        <v>0</v>
      </c>
      <c r="E29" s="40">
        <f>IF(E1&gt;基本数据!$E$35,0,$C$27/基本数据!$E$35)</f>
        <v>0</v>
      </c>
      <c r="F29" s="40">
        <f>IF(F1&gt;基本数据!$E$35,0,$C$27/基本数据!$E$35)</f>
        <v>0</v>
      </c>
      <c r="G29" s="40">
        <f>IF(G1&gt;基本数据!$E$35,0,$C$27/基本数据!$E$35)</f>
        <v>0</v>
      </c>
      <c r="H29" s="40">
        <f>IF(H1&gt;基本数据!$E$35,0,$C$27/基本数据!$E$35)</f>
        <v>0</v>
      </c>
      <c r="I29" s="40">
        <f>IF(I1&gt;基本数据!$E$35,0,$C$27/基本数据!$E$35)</f>
        <v>0</v>
      </c>
      <c r="J29" s="40">
        <f>IF(J1&gt;基本数据!$E$35,0,$C$27/基本数据!$E$35)</f>
        <v>0</v>
      </c>
      <c r="K29" s="40">
        <f>IF(K1&gt;基本数据!$E$35,0,$C$27/基本数据!$E$35)</f>
        <v>0</v>
      </c>
      <c r="L29" s="40">
        <f>IF(L1&gt;基本数据!$E$35,0,$C$27/基本数据!$E$35)</f>
        <v>0</v>
      </c>
      <c r="M29" s="40">
        <f>IF(M1&gt;基本数据!$E$35,0,$C$27/基本数据!$E$35)</f>
        <v>0</v>
      </c>
      <c r="N29" s="40">
        <f>IF(N1&gt;基本数据!$E$35,0,$C$27/基本数据!$E$35)</f>
        <v>0</v>
      </c>
      <c r="O29" s="40">
        <f>IF(O1&gt;基本数据!$E$35,0,$C$27/基本数据!$E$35)</f>
        <v>0</v>
      </c>
      <c r="P29" s="40">
        <f>IF(P1&gt;基本数据!$E$35,0,$C$27/基本数据!$E$35)</f>
        <v>0</v>
      </c>
      <c r="Q29" s="40">
        <f>IF(Q1&gt;基本数据!$E$35,0,$C$27/基本数据!$E$35)</f>
        <v>0</v>
      </c>
      <c r="R29" s="40">
        <f>IF(R1&gt;基本数据!$E$35,0,$C$27/基本数据!$E$35)</f>
        <v>0</v>
      </c>
      <c r="S29" s="40">
        <f>IF(S1&gt;基本数据!$E$35,0,$C$27/基本数据!$E$35)</f>
        <v>0</v>
      </c>
      <c r="T29" s="40">
        <f>IF(T1&gt;基本数据!$E$35,0,$C$27/基本数据!$E$35)</f>
        <v>0</v>
      </c>
      <c r="U29" s="40">
        <f>IF(U1&gt;基本数据!$E$35,0,$C$27/基本数据!$E$35)</f>
        <v>0</v>
      </c>
      <c r="V29" s="40">
        <f>IF(V1&gt;基本数据!$E$35,0,$C$27/基本数据!$E$35)</f>
        <v>0</v>
      </c>
      <c r="W29" s="40">
        <f>IF(W1&gt;基本数据!$E$35,0,$C$27/基本数据!$E$35)</f>
        <v>0</v>
      </c>
      <c r="X29" s="40">
        <f>IF(X1&gt;基本数据!$E$35,0,$C$27/基本数据!$E$35)</f>
        <v>0</v>
      </c>
      <c r="Y29" s="40">
        <f>IF(Y1&gt;基本数据!$E$35,0,$C$27/基本数据!$E$35)</f>
        <v>0</v>
      </c>
      <c r="Z29" s="40">
        <f>IF(Z1&gt;基本数据!$E$35,0,$C$27/基本数据!$E$35)</f>
        <v>0</v>
      </c>
      <c r="AA29" s="40">
        <f>IF(AA1&gt;基本数据!$E$35,0,$C$27/基本数据!$E$35)</f>
        <v>0</v>
      </c>
      <c r="AB29" s="40">
        <f>IF(AB1&gt;基本数据!$E$35,0,$C$27/基本数据!$E$35)</f>
        <v>0</v>
      </c>
    </row>
    <row r="30" spans="2:28">
      <c r="B30" s="100" t="s">
        <v>97</v>
      </c>
      <c r="D30" s="40">
        <f>C27*基本数据!$E$34</f>
        <v>0</v>
      </c>
      <c r="E30" s="40">
        <f>(C27-D29)*基本数据!$E$34</f>
        <v>0</v>
      </c>
      <c r="F30" s="40">
        <f>(C27-D29-E29)*基本数据!$E$34</f>
        <v>0</v>
      </c>
      <c r="G30" s="40">
        <f>(C27-D29-E29-F29)*基本数据!$E$34</f>
        <v>0</v>
      </c>
      <c r="H30" s="40">
        <f>(C27-D29-E29-F29-G29)*基本数据!$E$34</f>
        <v>0</v>
      </c>
      <c r="I30" s="43"/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</row>
    <row r="31" spans="4:28"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</row>
    <row r="32" spans="2:28">
      <c r="B32" s="25" t="s">
        <v>98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</row>
    <row r="33" spans="2:28">
      <c r="B33" s="100" t="s">
        <v>96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</row>
    <row r="34" spans="2:28">
      <c r="B34" s="100" t="s">
        <v>97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</row>
    <row r="35" spans="4:28"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</row>
    <row r="36" spans="2:28">
      <c r="B36" s="41" t="s">
        <v>99</v>
      </c>
      <c r="D36" s="40">
        <f>SUM(D28:D35)</f>
        <v>0</v>
      </c>
      <c r="E36" s="40">
        <f t="shared" ref="E36:AB36" si="3">SUM(E28:E35)</f>
        <v>0</v>
      </c>
      <c r="F36" s="40">
        <f t="shared" si="3"/>
        <v>0</v>
      </c>
      <c r="G36" s="40">
        <f t="shared" si="3"/>
        <v>0</v>
      </c>
      <c r="H36" s="40">
        <f t="shared" si="3"/>
        <v>0</v>
      </c>
      <c r="I36" s="40">
        <f t="shared" si="3"/>
        <v>0</v>
      </c>
      <c r="J36" s="40">
        <f t="shared" si="3"/>
        <v>0</v>
      </c>
      <c r="K36" s="40">
        <f t="shared" si="3"/>
        <v>0</v>
      </c>
      <c r="L36" s="40">
        <f t="shared" si="3"/>
        <v>0</v>
      </c>
      <c r="M36" s="40">
        <f t="shared" si="3"/>
        <v>0</v>
      </c>
      <c r="N36" s="40">
        <f t="shared" si="3"/>
        <v>0</v>
      </c>
      <c r="O36" s="40">
        <f t="shared" si="3"/>
        <v>0</v>
      </c>
      <c r="P36" s="40">
        <f t="shared" si="3"/>
        <v>0</v>
      </c>
      <c r="Q36" s="40">
        <f t="shared" si="3"/>
        <v>0</v>
      </c>
      <c r="R36" s="40">
        <f t="shared" si="3"/>
        <v>0</v>
      </c>
      <c r="S36" s="40">
        <f t="shared" si="3"/>
        <v>0</v>
      </c>
      <c r="T36" s="40">
        <f t="shared" si="3"/>
        <v>0</v>
      </c>
      <c r="U36" s="40">
        <f t="shared" si="3"/>
        <v>0</v>
      </c>
      <c r="V36" s="40">
        <f t="shared" si="3"/>
        <v>0</v>
      </c>
      <c r="W36" s="40">
        <f t="shared" si="3"/>
        <v>0</v>
      </c>
      <c r="X36" s="40">
        <f t="shared" si="3"/>
        <v>0</v>
      </c>
      <c r="Y36" s="40">
        <f t="shared" si="3"/>
        <v>0</v>
      </c>
      <c r="Z36" s="40">
        <f t="shared" si="3"/>
        <v>0</v>
      </c>
      <c r="AA36" s="40">
        <f t="shared" si="3"/>
        <v>0</v>
      </c>
      <c r="AB36" s="40">
        <f t="shared" si="3"/>
        <v>0</v>
      </c>
    </row>
    <row r="38" spans="2:2">
      <c r="B38" s="42" t="s">
        <v>100</v>
      </c>
    </row>
    <row r="39" spans="2:28">
      <c r="B39" s="25" t="s">
        <v>101</v>
      </c>
      <c r="D39" s="40">
        <f>SUM(D17)</f>
        <v>1095955.92</v>
      </c>
      <c r="E39" s="40">
        <f>SUM(D17:E17)</f>
        <v>2175472.5012</v>
      </c>
      <c r="F39" s="40">
        <f>SUM(D17:F17)</f>
        <v>3238796.333682</v>
      </c>
      <c r="G39" s="40">
        <f t="shared" ref="G39:AB39" si="4">F39+G17</f>
        <v>4286170.30867677</v>
      </c>
      <c r="H39" s="40">
        <f t="shared" si="4"/>
        <v>5317833.67404662</v>
      </c>
      <c r="I39" s="40">
        <f t="shared" si="4"/>
        <v>6334022.08893592</v>
      </c>
      <c r="J39" s="40">
        <f t="shared" si="4"/>
        <v>7334967.67760188</v>
      </c>
      <c r="K39" s="40">
        <f t="shared" si="4"/>
        <v>8320899.08243785</v>
      </c>
      <c r="L39" s="40">
        <f t="shared" si="4"/>
        <v>9292041.51620128</v>
      </c>
      <c r="M39" s="40">
        <f t="shared" si="4"/>
        <v>9292041.51620128</v>
      </c>
      <c r="N39" s="40">
        <f t="shared" si="4"/>
        <v>9292041.51620128</v>
      </c>
      <c r="O39" s="40">
        <f t="shared" si="4"/>
        <v>9292041.51620128</v>
      </c>
      <c r="P39" s="40">
        <f t="shared" si="4"/>
        <v>9292041.51620128</v>
      </c>
      <c r="Q39" s="40">
        <f t="shared" si="4"/>
        <v>9292041.51620128</v>
      </c>
      <c r="R39" s="40">
        <f t="shared" si="4"/>
        <v>9292041.51620128</v>
      </c>
      <c r="S39" s="40">
        <f t="shared" si="4"/>
        <v>9292041.51620128</v>
      </c>
      <c r="T39" s="40">
        <f t="shared" si="4"/>
        <v>9292041.51620128</v>
      </c>
      <c r="U39" s="40">
        <f t="shared" si="4"/>
        <v>9292041.51620128</v>
      </c>
      <c r="V39" s="40">
        <f t="shared" si="4"/>
        <v>9292041.51620128</v>
      </c>
      <c r="W39" s="40">
        <f t="shared" si="4"/>
        <v>9292041.51620128</v>
      </c>
      <c r="X39" s="40">
        <f t="shared" si="4"/>
        <v>9292041.51620128</v>
      </c>
      <c r="Y39" s="40">
        <f t="shared" si="4"/>
        <v>9292041.51620128</v>
      </c>
      <c r="Z39" s="40">
        <f t="shared" si="4"/>
        <v>9292041.51620128</v>
      </c>
      <c r="AA39" s="40">
        <f t="shared" si="4"/>
        <v>9292041.51620128</v>
      </c>
      <c r="AB39" s="40">
        <f t="shared" si="4"/>
        <v>9292041.51620128</v>
      </c>
    </row>
    <row r="40" spans="2:28">
      <c r="B40" s="25" t="s">
        <v>102</v>
      </c>
      <c r="D40" s="39">
        <f>IF(D39&lt;(基本数据!$E$5*1000*基本数据!$E$10+基本数据!$J$5*1000*基本数据!$J$16+基本数据!$O$9),0,(D17-D12)/1.16*16%+D12/1.06*6%)</f>
        <v>0</v>
      </c>
      <c r="E40" s="39">
        <f>IF(E39&lt;(基本数据!$E$5*1000*基本数据!$E$10+基本数据!$J$5*1000*基本数据!$J$16+基本数据!$O$9),0,(E17-E12)/1.16*16%+E12/1.06*6%)</f>
        <v>0</v>
      </c>
      <c r="F40" s="39">
        <f>IF(F39&lt;(基本数据!$E$5*1000*基本数据!$E$10+基本数据!$J$5*1000*基本数据!$J$16+基本数据!$O$9),0,(F17-F12)/1.16*16%+F12/1.06*6%)</f>
        <v>0</v>
      </c>
      <c r="G40" s="39">
        <f>IF(G39&lt;(基本数据!$E$5*1000*基本数据!$E$10+基本数据!$J$5*1000*基本数据!$J$16+基本数据!$O$9),0,(G17-G12)/1.16*16%+G12/1.06*6%)</f>
        <v>0</v>
      </c>
      <c r="H40" s="39">
        <f>IF(H39&lt;(基本数据!$E$5*1000*基本数据!$E$10+基本数据!$J$5*1000*基本数据!$J$16+基本数据!$O$9),0,(H17-H12)/1.16*16%+H12/1.06*6%)</f>
        <v>0</v>
      </c>
      <c r="I40" s="39">
        <f>IF(I39&lt;(基本数据!$E$5*1000*基本数据!$E$10+基本数据!$J$5*1000*基本数据!$J$16+基本数据!$O$9),0,(I17-I12)/1.16*16%+I12/1.06*6%)</f>
        <v>0</v>
      </c>
      <c r="J40" s="39">
        <f>IF(J39&lt;(基本数据!$E$5*1000*基本数据!$E$10+基本数据!$J$5*1000*基本数据!$J$16+基本数据!$O$9),0,(J17-J12)/1.16*16%+J12/1.06*6%)</f>
        <v>0</v>
      </c>
      <c r="K40" s="39">
        <f>IF(K39&lt;(基本数据!$E$5*1000*基本数据!$E$10+基本数据!$J$5*1000*基本数据!$J$16+基本数据!$O$9),0,(K17-K12)/1.16*16%+K12/1.06*6%)</f>
        <v>135990.538598065</v>
      </c>
      <c r="L40" s="39">
        <f>IF(L39&lt;(基本数据!$E$5*1000*基本数据!$E$10+基本数据!$J$5*1000*基本数据!$J$16+基本数据!$O$9),0,(L17-L12)/1.16*16%+L12/1.06*6%)</f>
        <v>133950.680519094</v>
      </c>
      <c r="M40" s="39">
        <f>IF(M39&lt;(基本数据!$E$5*1000*基本数据!$E$10+基本数据!$J$5*1000*基本数据!$J$16+基本数据!$O$9),0,(M17-M12)/1.16*16%+M12/1.06*6%)</f>
        <v>0</v>
      </c>
      <c r="N40" s="39">
        <f>IF(N39&lt;(基本数据!$E$5*1000*基本数据!$E$10+基本数据!$J$5*1000*基本数据!$J$16+基本数据!$O$9),0,(N17-N12)/1.16*16%+N12/1.06*6%)</f>
        <v>0</v>
      </c>
      <c r="O40" s="39">
        <f>IF(O39&lt;(基本数据!$E$5*1000*基本数据!$E$10+基本数据!$J$5*1000*基本数据!$J$16+基本数据!$O$9),0,(O17-O12)/1.16*16%+O12/1.06*6%)</f>
        <v>0</v>
      </c>
      <c r="P40" s="39">
        <f>IF(P39&lt;(基本数据!$E$5*1000*基本数据!$E$10+基本数据!$J$5*1000*基本数据!$J$16+基本数据!$O$9),0,(P17-P12)/1.16*16%+P12/1.06*6%)</f>
        <v>0</v>
      </c>
      <c r="Q40" s="39">
        <f>IF(Q39&lt;(基本数据!$E$5*1000*基本数据!$E$10+基本数据!$J$5*1000*基本数据!$J$16+基本数据!$O$9),0,(Q17-Q12)/1.16*16%+Q12/1.06*6%)</f>
        <v>0</v>
      </c>
      <c r="R40" s="39">
        <f>IF(R39&lt;(基本数据!$E$5*1000*基本数据!$E$10+基本数据!$J$5*1000*基本数据!$J$16+基本数据!$O$9),0,(R17-R12)/1.16*16%+R12/1.06*6%)</f>
        <v>0</v>
      </c>
      <c r="S40" s="39">
        <f>IF(S39&lt;(基本数据!$E$5*1000*基本数据!$E$10+基本数据!$J$5*1000*基本数据!$J$16+基本数据!$O$9),0,(S17-S12)/1.16*16%+S12/1.06*6%)</f>
        <v>0</v>
      </c>
      <c r="T40" s="39">
        <f>IF(T39&lt;(基本数据!$E$5*1000*基本数据!$E$10+基本数据!$J$5*1000*基本数据!$J$16+基本数据!$O$9),0,(T17-T12)/1.16*16%+T12/1.06*6%)</f>
        <v>0</v>
      </c>
      <c r="U40" s="39">
        <f>IF(U39&lt;(基本数据!$E$5*1000*基本数据!$E$10+基本数据!$J$5*1000*基本数据!$J$16+基本数据!$O$9),0,(U17-U12)/1.16*16%+U12/1.06*6%)</f>
        <v>0</v>
      </c>
      <c r="V40" s="39">
        <f>IF(V39&lt;(基本数据!$E$5*1000*基本数据!$E$10+基本数据!$J$5*1000*基本数据!$J$16+基本数据!$O$9),0,(V17-V12)/1.16*16%+V12/1.06*6%)</f>
        <v>0</v>
      </c>
      <c r="W40" s="39">
        <f>IF(W39&lt;(基本数据!$E$5*1000*基本数据!$E$10+基本数据!$J$5*1000*基本数据!$J$16+基本数据!$O$9),0,(W17-W12)/1.16*16%+W12/1.06*6%)</f>
        <v>0</v>
      </c>
      <c r="X40" s="39">
        <f>IF(X39&lt;(基本数据!$E$5*1000*基本数据!$E$10+基本数据!$J$5*1000*基本数据!$J$16+基本数据!$O$9),0,(X17-X12)/1.16*16%+X12/1.06*6%)</f>
        <v>0</v>
      </c>
      <c r="Y40" s="39">
        <f>IF(Y39&lt;(基本数据!$E$5*1000*基本数据!$E$10+基本数据!$J$5*1000*基本数据!$J$16+基本数据!$O$9),0,(Y17-Y12)/1.16*16%+Y12/1.06*6%)</f>
        <v>0</v>
      </c>
      <c r="Z40" s="39">
        <f>IF(Z39&lt;(基本数据!$E$5*1000*基本数据!$E$10+基本数据!$J$5*1000*基本数据!$J$16+基本数据!$O$9),0,(Z17-Z12)/1.16*16%+Z12/1.06*6%)</f>
        <v>0</v>
      </c>
      <c r="AA40" s="39">
        <f>IF(AA39&lt;(基本数据!$E$5*1000*基本数据!$E$10+基本数据!$J$5*1000*基本数据!$J$16+基本数据!$O$9),0,(AA17-AA12)/1.16*16%+AA12/1.06*6%)</f>
        <v>0</v>
      </c>
      <c r="AB40" s="39">
        <f>IF(AB39&lt;(基本数据!$E$5*1000*基本数据!$E$10+基本数据!$J$5*1000*基本数据!$J$16+基本数据!$O$9),0,(AB17-AB12)/1.16*16%+AB12/1.06*6%)</f>
        <v>0</v>
      </c>
    </row>
    <row r="41" spans="2:28">
      <c r="B41" s="25" t="s">
        <v>103</v>
      </c>
      <c r="D41" s="43">
        <f>D40*10%</f>
        <v>0</v>
      </c>
      <c r="E41" s="43">
        <f t="shared" ref="E41:AB41" si="5">E40*10%</f>
        <v>0</v>
      </c>
      <c r="F41" s="43">
        <f t="shared" si="5"/>
        <v>0</v>
      </c>
      <c r="G41" s="43">
        <f t="shared" si="5"/>
        <v>0</v>
      </c>
      <c r="H41" s="43">
        <f t="shared" si="5"/>
        <v>0</v>
      </c>
      <c r="I41" s="43">
        <f t="shared" si="5"/>
        <v>0</v>
      </c>
      <c r="J41" s="43">
        <f t="shared" si="5"/>
        <v>0</v>
      </c>
      <c r="K41" s="43">
        <f t="shared" si="5"/>
        <v>13599.0538598065</v>
      </c>
      <c r="L41" s="43">
        <f t="shared" si="5"/>
        <v>13395.0680519094</v>
      </c>
      <c r="M41" s="43">
        <f t="shared" si="5"/>
        <v>0</v>
      </c>
      <c r="N41" s="43">
        <f t="shared" si="5"/>
        <v>0</v>
      </c>
      <c r="O41" s="43">
        <f t="shared" si="5"/>
        <v>0</v>
      </c>
      <c r="P41" s="43">
        <f t="shared" si="5"/>
        <v>0</v>
      </c>
      <c r="Q41" s="43">
        <f t="shared" si="5"/>
        <v>0</v>
      </c>
      <c r="R41" s="43">
        <f t="shared" si="5"/>
        <v>0</v>
      </c>
      <c r="S41" s="43">
        <f t="shared" si="5"/>
        <v>0</v>
      </c>
      <c r="T41" s="43">
        <f t="shared" si="5"/>
        <v>0</v>
      </c>
      <c r="U41" s="43">
        <f t="shared" si="5"/>
        <v>0</v>
      </c>
      <c r="V41" s="43">
        <f t="shared" si="5"/>
        <v>0</v>
      </c>
      <c r="W41" s="43">
        <f t="shared" si="5"/>
        <v>0</v>
      </c>
      <c r="X41" s="43">
        <f t="shared" si="5"/>
        <v>0</v>
      </c>
      <c r="Y41" s="43">
        <f t="shared" si="5"/>
        <v>0</v>
      </c>
      <c r="Z41" s="43">
        <f t="shared" si="5"/>
        <v>0</v>
      </c>
      <c r="AA41" s="43">
        <f t="shared" si="5"/>
        <v>0</v>
      </c>
      <c r="AB41" s="43">
        <f t="shared" si="5"/>
        <v>0</v>
      </c>
    </row>
    <row r="43" spans="2:28">
      <c r="B43" s="25" t="s">
        <v>104</v>
      </c>
      <c r="D43" s="43">
        <f>IF(D8&gt;0,基本数据!$E$5*1000*基本数据!$E$10/25/1.16,0)+IF(D10&gt;0,基本数据!$J$5*1000*基本数据!$J$16/基本数据!$J$19/1.16,0)+IF(D12&gt;0,基本数据!$O$9/基本数据!$O$12/1.16,0)</f>
        <v>781393.67816092</v>
      </c>
      <c r="E43" s="43">
        <f>IF(E8&gt;0,基本数据!$E$5*1000*基本数据!$E$10/25/1.16,0)+IF(E10&gt;0,基本数据!$J$5*1000*基本数据!$J$16/基本数据!$J$19/1.16,0)+IF(E12&gt;0,基本数据!$O$9/基本数据!$O$12/1.16,0)</f>
        <v>781393.67816092</v>
      </c>
      <c r="F43" s="43">
        <f>IF(F8&gt;0,基本数据!$E$5*1000*基本数据!$E$10/25/1.16,0)+IF(F10&gt;0,基本数据!$J$5*1000*基本数据!$J$16/基本数据!$J$19/1.16,0)+IF(F12&gt;0,基本数据!$O$9/基本数据!$O$12/1.16,0)</f>
        <v>781393.67816092</v>
      </c>
      <c r="G43" s="43">
        <f>IF(G8&gt;0,基本数据!$E$5*1000*基本数据!$E$10/25/1.16,0)+IF(G10&gt;0,基本数据!$J$5*1000*基本数据!$J$16/基本数据!$J$19/1.16,0)+IF(G12&gt;0,基本数据!$O$9/基本数据!$O$12/1.16,0)</f>
        <v>781393.67816092</v>
      </c>
      <c r="H43" s="43">
        <f>IF(H8&gt;0,基本数据!$E$5*1000*基本数据!$E$10/25/1.16,0)+IF(H10&gt;0,基本数据!$J$5*1000*基本数据!$J$16/基本数据!$J$19/1.16,0)+IF(H12&gt;0,基本数据!$O$9/基本数据!$O$12/1.16,0)</f>
        <v>781393.67816092</v>
      </c>
      <c r="I43" s="43">
        <f>IF(I8&gt;0,基本数据!$E$5*1000*基本数据!$E$10/25/1.16,0)+IF(I10&gt;0,基本数据!$J$5*1000*基本数据!$J$16/基本数据!$J$19/1.16,0)+IF(I12&gt;0,基本数据!$O$9/基本数据!$O$12/1.16,0)</f>
        <v>781393.67816092</v>
      </c>
      <c r="J43" s="43">
        <f>IF(J8&gt;0,基本数据!$E$5*1000*基本数据!$E$10/25/1.16,0)+IF(J10&gt;0,基本数据!$J$5*1000*基本数据!$J$16/基本数据!$J$19/1.16,0)+IF(J12&gt;0,基本数据!$O$9/基本数据!$O$12/1.16,0)</f>
        <v>781393.67816092</v>
      </c>
      <c r="K43" s="43">
        <f>IF(K8&gt;0,基本数据!$E$5*1000*基本数据!$E$10/25/1.16,0)+IF(K10&gt;0,基本数据!$J$5*1000*基本数据!$J$16/基本数据!$J$19/1.16,0)+IF(K12&gt;0,基本数据!$O$9/基本数据!$O$12/1.16,0)</f>
        <v>781393.67816092</v>
      </c>
      <c r="L43" s="43">
        <f>IF(L8&gt;0,基本数据!$E$5*1000*基本数据!$E$10/25/1.16,0)+IF(L10&gt;0,基本数据!$J$5*1000*基本数据!$J$16/基本数据!$J$19/1.16,0)+IF(L12&gt;0,基本数据!$O$9/基本数据!$O$12/1.16,0)</f>
        <v>781393.67816092</v>
      </c>
      <c r="M43" s="43">
        <f>IF(M8&gt;0,基本数据!$E$5*1000*基本数据!$E$10/25/1.16,0)+IF(M10&gt;0,基本数据!$J$5*1000*基本数据!$J$16/基本数据!$J$19/1.16,0)+IF(M12&gt;0,基本数据!$O$9/基本数据!$O$12/1.16,0)</f>
        <v>0</v>
      </c>
      <c r="N43" s="43">
        <f>IF(N8&gt;0,基本数据!$E$5*1000*基本数据!$E$10/25/1.16,0)+IF(N10&gt;0,基本数据!$J$5*1000*基本数据!$J$16/基本数据!$J$19/1.16,0)+IF(N12&gt;0,基本数据!$O$9/基本数据!$O$12/1.16,0)</f>
        <v>0</v>
      </c>
      <c r="O43" s="43">
        <f>IF(O8&gt;0,基本数据!$E$5*1000*基本数据!$E$10/25/1.16,0)+IF(O10&gt;0,基本数据!$J$5*1000*基本数据!$J$16/基本数据!$J$19/1.16,0)+IF(O12&gt;0,基本数据!$O$9/基本数据!$O$12/1.16,0)</f>
        <v>0</v>
      </c>
      <c r="P43" s="43">
        <f>IF(P8&gt;0,基本数据!$E$5*1000*基本数据!$E$10/25/1.16,0)+IF(P10&gt;0,基本数据!$J$5*1000*基本数据!$J$16/基本数据!$J$19/1.16,0)+IF(P12&gt;0,基本数据!$O$9/基本数据!$O$12/1.16,0)</f>
        <v>0</v>
      </c>
      <c r="Q43" s="43">
        <f>IF(Q8&gt;0,基本数据!$E$5*1000*基本数据!$E$10/25/1.16,0)+IF(Q10&gt;0,基本数据!$J$5*1000*基本数据!$J$16/基本数据!$J$19/1.16,0)+IF(Q12&gt;0,基本数据!$O$9/基本数据!$O$12/1.16,0)</f>
        <v>0</v>
      </c>
      <c r="R43" s="43">
        <f>IF(R8&gt;0,基本数据!$E$5*1000*基本数据!$E$10/25/1.16,0)+IF(R10&gt;0,基本数据!$J$5*1000*基本数据!$J$16/基本数据!$J$19/1.16,0)+IF(R12&gt;0,基本数据!$O$9/基本数据!$O$12/1.16,0)</f>
        <v>0</v>
      </c>
      <c r="S43" s="43">
        <f>IF(S8&gt;0,基本数据!$E$5*1000*基本数据!$E$10/25/1.16,0)+IF(S10&gt;0,基本数据!$J$5*1000*基本数据!$J$16/基本数据!$J$19/1.16,0)+IF(S12&gt;0,基本数据!$O$9/基本数据!$O$12/1.16,0)</f>
        <v>0</v>
      </c>
      <c r="T43" s="43">
        <f>IF(T8&gt;0,基本数据!$E$5*1000*基本数据!$E$10/25/1.16,0)+IF(T10&gt;0,基本数据!$J$5*1000*基本数据!$J$16/基本数据!$J$19/1.16,0)+IF(T12&gt;0,基本数据!$O$9/基本数据!$O$12/1.16,0)</f>
        <v>0</v>
      </c>
      <c r="U43" s="43">
        <f>IF(U8&gt;0,基本数据!$E$5*1000*基本数据!$E$10/25/1.16,0)+IF(U10&gt;0,基本数据!$J$5*1000*基本数据!$J$16/基本数据!$J$19/1.16,0)+IF(U12&gt;0,基本数据!$O$9/基本数据!$O$12/1.16,0)</f>
        <v>0</v>
      </c>
      <c r="V43" s="43">
        <f>IF(V8&gt;0,基本数据!$E$5*1000*基本数据!$E$10/25/1.16,0)+IF(V10&gt;0,基本数据!$J$5*1000*基本数据!$J$16/基本数据!$J$19/1.16,0)+IF(V12&gt;0,基本数据!$O$9/基本数据!$O$12/1.16,0)</f>
        <v>0</v>
      </c>
      <c r="W43" s="43">
        <f>IF(W8&gt;0,基本数据!$E$5*1000*基本数据!$E$10/25/1.16,0)+IF(W10&gt;0,基本数据!$J$5*1000*基本数据!$J$16/基本数据!$J$19/1.16,0)+IF(W12&gt;0,基本数据!$O$9/基本数据!$O$12/1.16,0)</f>
        <v>0</v>
      </c>
      <c r="X43" s="43">
        <f>IF(X8&gt;0,基本数据!$E$5*1000*基本数据!$E$10/25/1.16,0)+IF(X10&gt;0,基本数据!$J$5*1000*基本数据!$J$16/基本数据!$J$19/1.16,0)+IF(X12&gt;0,基本数据!$O$9/基本数据!$O$12/1.16,0)</f>
        <v>0</v>
      </c>
      <c r="Y43" s="43">
        <f>IF(Y8&gt;0,基本数据!$E$5*1000*基本数据!$E$10/25/1.16,0)+IF(Y10&gt;0,基本数据!$J$5*1000*基本数据!$J$16/基本数据!$J$19/1.16,0)+IF(Y12&gt;0,基本数据!$O$9/基本数据!$O$12/1.16,0)</f>
        <v>0</v>
      </c>
      <c r="Z43" s="43">
        <f>IF(Z8&gt;0,基本数据!$E$5*1000*基本数据!$E$10/25/1.16,0)+IF(Z10&gt;0,基本数据!$J$5*1000*基本数据!$J$16/基本数据!$J$19/1.16,0)+IF(Z12&gt;0,基本数据!$O$9/基本数据!$O$12/1.16,0)</f>
        <v>0</v>
      </c>
      <c r="AA43" s="43">
        <f>IF(AA8&gt;0,基本数据!$E$5*1000*基本数据!$E$10/25/1.16,0)+IF(AA10&gt;0,基本数据!$J$5*1000*基本数据!$J$16/基本数据!$J$19/1.16,0)+IF(AA12&gt;0,基本数据!$O$9/基本数据!$O$12/1.16,0)</f>
        <v>0</v>
      </c>
      <c r="AB43" s="43">
        <f>IF(AB8&gt;0,基本数据!$E$5*1000*基本数据!$E$10/25/1.16,0)+IF(AB10&gt;0,基本数据!$J$5*1000*基本数据!$J$16/基本数据!$J$19/1.16,0)+IF(AB12&gt;0,基本数据!$O$9/基本数据!$O$12/1.16,0)</f>
        <v>0</v>
      </c>
    </row>
    <row r="44" spans="2:28">
      <c r="B44" s="25" t="s">
        <v>105</v>
      </c>
      <c r="D44" s="43">
        <f>IF(((D17-D12)/1.13+D12/1.06-D25/1.13-D30-D34-D43)*0.25&gt;0,((D17-D12)/1.13+D12/1.06-D25/1.13-D30-D34-D43)*0.25,0)</f>
        <v>44695.0231146374</v>
      </c>
      <c r="E44" s="43">
        <f t="shared" ref="E44:AB44" si="6">IF(((E17-E12)/1.13+E12/1.06-E25/1.13-E30-E34-E43)*0.25&gt;0,((E17-E12)/1.13+E12/1.06-E25/1.13-E30-E34-E43)*0.25,0)</f>
        <v>41094.3714748143</v>
      </c>
      <c r="F44" s="43">
        <f t="shared" si="6"/>
        <v>37547.7296095887</v>
      </c>
      <c r="G44" s="43">
        <f t="shared" si="6"/>
        <v>34054.2873723414</v>
      </c>
      <c r="H44" s="43">
        <f t="shared" si="6"/>
        <v>30613.2467686528</v>
      </c>
      <c r="I44" s="43">
        <f t="shared" si="6"/>
        <v>27223.8217740196</v>
      </c>
      <c r="J44" s="43">
        <f t="shared" si="6"/>
        <v>23885.2381543058</v>
      </c>
      <c r="K44" s="43">
        <f t="shared" si="6"/>
        <v>20596.7332888878</v>
      </c>
      <c r="L44" s="43">
        <f t="shared" si="6"/>
        <v>17357.555996451</v>
      </c>
      <c r="M44" s="43">
        <f t="shared" si="6"/>
        <v>0</v>
      </c>
      <c r="N44" s="43">
        <f t="shared" si="6"/>
        <v>0</v>
      </c>
      <c r="O44" s="43">
        <f t="shared" si="6"/>
        <v>0</v>
      </c>
      <c r="P44" s="43">
        <f t="shared" si="6"/>
        <v>0</v>
      </c>
      <c r="Q44" s="43">
        <f t="shared" si="6"/>
        <v>0</v>
      </c>
      <c r="R44" s="43">
        <f t="shared" si="6"/>
        <v>0</v>
      </c>
      <c r="S44" s="43">
        <f t="shared" si="6"/>
        <v>0</v>
      </c>
      <c r="T44" s="43">
        <f t="shared" si="6"/>
        <v>0</v>
      </c>
      <c r="U44" s="43">
        <f t="shared" si="6"/>
        <v>0</v>
      </c>
      <c r="V44" s="43">
        <f t="shared" si="6"/>
        <v>0</v>
      </c>
      <c r="W44" s="43">
        <f t="shared" si="6"/>
        <v>0</v>
      </c>
      <c r="X44" s="43">
        <f t="shared" si="6"/>
        <v>0</v>
      </c>
      <c r="Y44" s="43">
        <f t="shared" si="6"/>
        <v>0</v>
      </c>
      <c r="Z44" s="43">
        <f t="shared" si="6"/>
        <v>0</v>
      </c>
      <c r="AA44" s="43">
        <f t="shared" si="6"/>
        <v>0</v>
      </c>
      <c r="AB44" s="43">
        <f t="shared" si="6"/>
        <v>0</v>
      </c>
    </row>
    <row r="46" spans="2:28">
      <c r="B46" s="41" t="s">
        <v>106</v>
      </c>
      <c r="D46" s="37">
        <f>SUM(D40:D41,D44)</f>
        <v>44695.0231146374</v>
      </c>
      <c r="E46" s="37">
        <f t="shared" ref="E46:AB46" si="7">SUM(E40:E41,E44)</f>
        <v>41094.3714748143</v>
      </c>
      <c r="F46" s="37">
        <f t="shared" si="7"/>
        <v>37547.7296095887</v>
      </c>
      <c r="G46" s="37">
        <f t="shared" si="7"/>
        <v>34054.2873723414</v>
      </c>
      <c r="H46" s="37">
        <f t="shared" si="7"/>
        <v>30613.2467686528</v>
      </c>
      <c r="I46" s="37">
        <f t="shared" si="7"/>
        <v>27223.8217740196</v>
      </c>
      <c r="J46" s="37">
        <f t="shared" si="7"/>
        <v>23885.2381543058</v>
      </c>
      <c r="K46" s="37">
        <f t="shared" si="7"/>
        <v>170186.325746759</v>
      </c>
      <c r="L46" s="37">
        <f t="shared" si="7"/>
        <v>164703.304567455</v>
      </c>
      <c r="M46" s="37">
        <f t="shared" si="7"/>
        <v>0</v>
      </c>
      <c r="N46" s="37">
        <f t="shared" si="7"/>
        <v>0</v>
      </c>
      <c r="O46" s="37">
        <f t="shared" si="7"/>
        <v>0</v>
      </c>
      <c r="P46" s="37">
        <f t="shared" si="7"/>
        <v>0</v>
      </c>
      <c r="Q46" s="37">
        <f t="shared" si="7"/>
        <v>0</v>
      </c>
      <c r="R46" s="37">
        <f t="shared" si="7"/>
        <v>0</v>
      </c>
      <c r="S46" s="37">
        <f t="shared" si="7"/>
        <v>0</v>
      </c>
      <c r="T46" s="37">
        <f t="shared" si="7"/>
        <v>0</v>
      </c>
      <c r="U46" s="37">
        <f t="shared" si="7"/>
        <v>0</v>
      </c>
      <c r="V46" s="37">
        <f t="shared" si="7"/>
        <v>0</v>
      </c>
      <c r="W46" s="37">
        <f t="shared" si="7"/>
        <v>0</v>
      </c>
      <c r="X46" s="37">
        <f t="shared" si="7"/>
        <v>0</v>
      </c>
      <c r="Y46" s="37">
        <f t="shared" si="7"/>
        <v>0</v>
      </c>
      <c r="Z46" s="37">
        <f t="shared" si="7"/>
        <v>0</v>
      </c>
      <c r="AA46" s="37">
        <f t="shared" si="7"/>
        <v>0</v>
      </c>
      <c r="AB46" s="37">
        <f t="shared" si="7"/>
        <v>0</v>
      </c>
    </row>
    <row r="47" spans="2:28">
      <c r="B47" s="41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</row>
    <row r="48" spans="2:28">
      <c r="B48" s="44" t="s">
        <v>107</v>
      </c>
      <c r="C48" s="45">
        <f>-基本数据!$E$31*基本数据!E33</f>
        <v>-5215000</v>
      </c>
      <c r="D48" s="37">
        <f t="shared" ref="D48:AB48" si="8">D17-D25-D36-D46</f>
        <v>1040301.33768536</v>
      </c>
      <c r="E48" s="37">
        <f t="shared" si="8"/>
        <v>1027627.04391319</v>
      </c>
      <c r="F48" s="37">
        <f t="shared" si="8"/>
        <v>1015142.86454759</v>
      </c>
      <c r="G48" s="37">
        <f t="shared" si="8"/>
        <v>1002845.94787248</v>
      </c>
      <c r="H48" s="37">
        <f t="shared" si="8"/>
        <v>990733.484947497</v>
      </c>
      <c r="I48" s="37">
        <f t="shared" si="8"/>
        <v>978802.708966388</v>
      </c>
      <c r="J48" s="37">
        <f t="shared" si="8"/>
        <v>967050.894624996</v>
      </c>
      <c r="K48" s="37">
        <f t="shared" si="8"/>
        <v>805885.765040852</v>
      </c>
      <c r="L48" s="37">
        <f t="shared" si="8"/>
        <v>796727.704858343</v>
      </c>
      <c r="M48" s="37">
        <f t="shared" si="8"/>
        <v>0</v>
      </c>
      <c r="N48" s="37">
        <f t="shared" si="8"/>
        <v>0</v>
      </c>
      <c r="O48" s="37">
        <f t="shared" si="8"/>
        <v>0</v>
      </c>
      <c r="P48" s="37">
        <f t="shared" si="8"/>
        <v>0</v>
      </c>
      <c r="Q48" s="37">
        <f t="shared" si="8"/>
        <v>0</v>
      </c>
      <c r="R48" s="37">
        <f t="shared" si="8"/>
        <v>0</v>
      </c>
      <c r="S48" s="37">
        <f t="shared" si="8"/>
        <v>0</v>
      </c>
      <c r="T48" s="37">
        <f t="shared" si="8"/>
        <v>0</v>
      </c>
      <c r="U48" s="37">
        <f t="shared" si="8"/>
        <v>0</v>
      </c>
      <c r="V48" s="37">
        <f t="shared" si="8"/>
        <v>0</v>
      </c>
      <c r="W48" s="37">
        <f t="shared" si="8"/>
        <v>0</v>
      </c>
      <c r="X48" s="37">
        <f t="shared" si="8"/>
        <v>0</v>
      </c>
      <c r="Y48" s="37">
        <f t="shared" si="8"/>
        <v>0</v>
      </c>
      <c r="Z48" s="37">
        <f t="shared" si="8"/>
        <v>0</v>
      </c>
      <c r="AA48" s="37">
        <f t="shared" si="8"/>
        <v>0</v>
      </c>
      <c r="AB48" s="37">
        <f t="shared" si="8"/>
        <v>0</v>
      </c>
    </row>
    <row r="49" spans="2:28">
      <c r="B49" s="34" t="s">
        <v>108</v>
      </c>
      <c r="C49" s="43">
        <f>C48</f>
        <v>-5215000</v>
      </c>
      <c r="D49" s="43">
        <f t="shared" ref="D49:AB49" si="9">C49+D48</f>
        <v>-4174698.66231464</v>
      </c>
      <c r="E49" s="43">
        <f t="shared" si="9"/>
        <v>-3147071.61840145</v>
      </c>
      <c r="F49" s="43">
        <f t="shared" si="9"/>
        <v>-2131928.75385386</v>
      </c>
      <c r="G49" s="43">
        <f t="shared" si="9"/>
        <v>-1129082.80598138</v>
      </c>
      <c r="H49" s="43">
        <f t="shared" si="9"/>
        <v>-138349.321033883</v>
      </c>
      <c r="I49" s="43">
        <f t="shared" si="9"/>
        <v>840453.387932505</v>
      </c>
      <c r="J49" s="43">
        <f t="shared" si="9"/>
        <v>1807504.2825575</v>
      </c>
      <c r="K49" s="43">
        <f t="shared" si="9"/>
        <v>2613390.04759835</v>
      </c>
      <c r="L49" s="43">
        <f t="shared" si="9"/>
        <v>3410117.7524567</v>
      </c>
      <c r="M49" s="43">
        <f t="shared" si="9"/>
        <v>3410117.7524567</v>
      </c>
      <c r="N49" s="43">
        <f t="shared" si="9"/>
        <v>3410117.7524567</v>
      </c>
      <c r="O49" s="43">
        <f t="shared" si="9"/>
        <v>3410117.7524567</v>
      </c>
      <c r="P49" s="43">
        <f t="shared" si="9"/>
        <v>3410117.7524567</v>
      </c>
      <c r="Q49" s="43">
        <f t="shared" si="9"/>
        <v>3410117.7524567</v>
      </c>
      <c r="R49" s="43">
        <f t="shared" si="9"/>
        <v>3410117.7524567</v>
      </c>
      <c r="S49" s="43">
        <f t="shared" si="9"/>
        <v>3410117.7524567</v>
      </c>
      <c r="T49" s="43">
        <f t="shared" si="9"/>
        <v>3410117.7524567</v>
      </c>
      <c r="U49" s="43">
        <f t="shared" si="9"/>
        <v>3410117.7524567</v>
      </c>
      <c r="V49" s="43">
        <f t="shared" si="9"/>
        <v>3410117.7524567</v>
      </c>
      <c r="W49" s="43">
        <f t="shared" si="9"/>
        <v>3410117.7524567</v>
      </c>
      <c r="X49" s="43">
        <f t="shared" si="9"/>
        <v>3410117.7524567</v>
      </c>
      <c r="Y49" s="43">
        <f t="shared" si="9"/>
        <v>3410117.7524567</v>
      </c>
      <c r="Z49" s="43">
        <f t="shared" si="9"/>
        <v>3410117.7524567</v>
      </c>
      <c r="AA49" s="43">
        <f t="shared" si="9"/>
        <v>3410117.7524567</v>
      </c>
      <c r="AB49" s="43">
        <f t="shared" si="9"/>
        <v>3410117.7524567</v>
      </c>
    </row>
    <row r="50" spans="4:28">
      <c r="D50" s="43">
        <f>IF(D56=1,D49,0)</f>
        <v>-4174698.66231464</v>
      </c>
      <c r="E50" s="43">
        <f t="shared" ref="E50:AB50" si="10">IF(E56=1,E49,0)</f>
        <v>-3147071.61840145</v>
      </c>
      <c r="F50" s="43">
        <f t="shared" si="10"/>
        <v>-2131928.75385386</v>
      </c>
      <c r="G50" s="43">
        <f t="shared" si="10"/>
        <v>-1129082.80598138</v>
      </c>
      <c r="H50" s="43">
        <f t="shared" si="10"/>
        <v>-138349.321033883</v>
      </c>
      <c r="I50" s="43">
        <f t="shared" si="10"/>
        <v>0</v>
      </c>
      <c r="J50" s="43">
        <f t="shared" si="10"/>
        <v>0</v>
      </c>
      <c r="K50" s="43">
        <f t="shared" si="10"/>
        <v>0</v>
      </c>
      <c r="L50" s="43">
        <f t="shared" si="10"/>
        <v>0</v>
      </c>
      <c r="M50" s="43">
        <f t="shared" si="10"/>
        <v>0</v>
      </c>
      <c r="N50" s="43">
        <f t="shared" si="10"/>
        <v>0</v>
      </c>
      <c r="O50" s="43">
        <f t="shared" si="10"/>
        <v>0</v>
      </c>
      <c r="P50" s="43">
        <f t="shared" si="10"/>
        <v>0</v>
      </c>
      <c r="Q50" s="43">
        <f t="shared" si="10"/>
        <v>0</v>
      </c>
      <c r="R50" s="43">
        <f t="shared" si="10"/>
        <v>0</v>
      </c>
      <c r="S50" s="43">
        <f t="shared" si="10"/>
        <v>0</v>
      </c>
      <c r="T50" s="43">
        <f t="shared" si="10"/>
        <v>0</v>
      </c>
      <c r="U50" s="43">
        <f t="shared" si="10"/>
        <v>0</v>
      </c>
      <c r="V50" s="43">
        <f t="shared" si="10"/>
        <v>0</v>
      </c>
      <c r="W50" s="43">
        <f t="shared" si="10"/>
        <v>0</v>
      </c>
      <c r="X50" s="43">
        <f t="shared" si="10"/>
        <v>0</v>
      </c>
      <c r="Y50" s="43">
        <f t="shared" si="10"/>
        <v>0</v>
      </c>
      <c r="Z50" s="43">
        <f t="shared" si="10"/>
        <v>0</v>
      </c>
      <c r="AA50" s="43">
        <f t="shared" si="10"/>
        <v>0</v>
      </c>
      <c r="AB50" s="43">
        <f t="shared" si="10"/>
        <v>0</v>
      </c>
    </row>
    <row r="51" spans="2:28">
      <c r="B51" s="34" t="s">
        <v>109</v>
      </c>
      <c r="C51" s="43">
        <f>C48</f>
        <v>-5215000</v>
      </c>
      <c r="D51" s="43">
        <f>D48+D46</f>
        <v>1084996.3608</v>
      </c>
      <c r="E51" s="43">
        <f t="shared" ref="E51:AB51" si="11">E48+E46</f>
        <v>1068721.415388</v>
      </c>
      <c r="F51" s="43">
        <f t="shared" si="11"/>
        <v>1052690.59415718</v>
      </c>
      <c r="G51" s="43">
        <f t="shared" si="11"/>
        <v>1036900.23524482</v>
      </c>
      <c r="H51" s="43">
        <f t="shared" si="11"/>
        <v>1021346.73171615</v>
      </c>
      <c r="I51" s="43">
        <f t="shared" si="11"/>
        <v>1006026.53074041</v>
      </c>
      <c r="J51" s="43">
        <f t="shared" si="11"/>
        <v>990936.132779301</v>
      </c>
      <c r="K51" s="43">
        <f t="shared" si="11"/>
        <v>976072.090787612</v>
      </c>
      <c r="L51" s="43">
        <f t="shared" si="11"/>
        <v>961431.009425798</v>
      </c>
      <c r="M51" s="43">
        <f t="shared" si="11"/>
        <v>0</v>
      </c>
      <c r="N51" s="43">
        <f t="shared" si="11"/>
        <v>0</v>
      </c>
      <c r="O51" s="43">
        <f t="shared" si="11"/>
        <v>0</v>
      </c>
      <c r="P51" s="43">
        <f t="shared" si="11"/>
        <v>0</v>
      </c>
      <c r="Q51" s="43">
        <f t="shared" si="11"/>
        <v>0</v>
      </c>
      <c r="R51" s="43">
        <f t="shared" si="11"/>
        <v>0</v>
      </c>
      <c r="S51" s="43">
        <f t="shared" si="11"/>
        <v>0</v>
      </c>
      <c r="T51" s="43">
        <f t="shared" si="11"/>
        <v>0</v>
      </c>
      <c r="U51" s="43">
        <f t="shared" si="11"/>
        <v>0</v>
      </c>
      <c r="V51" s="43">
        <f t="shared" si="11"/>
        <v>0</v>
      </c>
      <c r="W51" s="43">
        <f t="shared" si="11"/>
        <v>0</v>
      </c>
      <c r="X51" s="43">
        <f t="shared" si="11"/>
        <v>0</v>
      </c>
      <c r="Y51" s="43">
        <f t="shared" si="11"/>
        <v>0</v>
      </c>
      <c r="Z51" s="43">
        <f t="shared" si="11"/>
        <v>0</v>
      </c>
      <c r="AA51" s="43">
        <f t="shared" si="11"/>
        <v>0</v>
      </c>
      <c r="AB51" s="43">
        <f t="shared" si="11"/>
        <v>0</v>
      </c>
    </row>
    <row r="52" spans="3:28">
      <c r="C52" s="43">
        <f>C49</f>
        <v>-5215000</v>
      </c>
      <c r="D52" s="43">
        <f>C52+D51</f>
        <v>-4130003.6392</v>
      </c>
      <c r="E52" s="43">
        <f t="shared" ref="E52:AB52" si="12">D52+E51</f>
        <v>-3061282.223812</v>
      </c>
      <c r="F52" s="43">
        <f t="shared" si="12"/>
        <v>-2008591.62965482</v>
      </c>
      <c r="G52" s="43">
        <f t="shared" si="12"/>
        <v>-971691.394409998</v>
      </c>
      <c r="H52" s="43">
        <f t="shared" si="12"/>
        <v>49655.337306152</v>
      </c>
      <c r="I52" s="43">
        <f t="shared" si="12"/>
        <v>1055681.86804656</v>
      </c>
      <c r="J52" s="43">
        <f t="shared" si="12"/>
        <v>2046618.00082586</v>
      </c>
      <c r="K52" s="43">
        <f t="shared" si="12"/>
        <v>3022690.09161347</v>
      </c>
      <c r="L52" s="43">
        <f t="shared" si="12"/>
        <v>3984121.10103927</v>
      </c>
      <c r="M52" s="43">
        <f t="shared" si="12"/>
        <v>3984121.10103927</v>
      </c>
      <c r="N52" s="43">
        <f t="shared" si="12"/>
        <v>3984121.10103927</v>
      </c>
      <c r="O52" s="43">
        <f t="shared" si="12"/>
        <v>3984121.10103927</v>
      </c>
      <c r="P52" s="43">
        <f t="shared" si="12"/>
        <v>3984121.10103927</v>
      </c>
      <c r="Q52" s="43">
        <f t="shared" si="12"/>
        <v>3984121.10103927</v>
      </c>
      <c r="R52" s="43">
        <f t="shared" si="12"/>
        <v>3984121.10103927</v>
      </c>
      <c r="S52" s="43">
        <f t="shared" si="12"/>
        <v>3984121.10103927</v>
      </c>
      <c r="T52" s="43">
        <f t="shared" si="12"/>
        <v>3984121.10103927</v>
      </c>
      <c r="U52" s="43">
        <f t="shared" si="12"/>
        <v>3984121.10103927</v>
      </c>
      <c r="V52" s="43">
        <f t="shared" si="12"/>
        <v>3984121.10103927</v>
      </c>
      <c r="W52" s="43">
        <f t="shared" si="12"/>
        <v>3984121.10103927</v>
      </c>
      <c r="X52" s="43">
        <f t="shared" si="12"/>
        <v>3984121.10103927</v>
      </c>
      <c r="Y52" s="43">
        <f t="shared" si="12"/>
        <v>3984121.10103927</v>
      </c>
      <c r="Z52" s="43">
        <f t="shared" si="12"/>
        <v>3984121.10103927</v>
      </c>
      <c r="AA52" s="43">
        <f t="shared" si="12"/>
        <v>3984121.10103927</v>
      </c>
      <c r="AB52" s="43">
        <f t="shared" si="12"/>
        <v>3984121.10103927</v>
      </c>
    </row>
    <row r="53" spans="3:28">
      <c r="C53" s="43"/>
      <c r="D53" s="43">
        <f>IF(D54=1,D52,0)</f>
        <v>-4130003.6392</v>
      </c>
      <c r="E53" s="43">
        <f t="shared" ref="E53:AB53" si="13">IF(E54=1,E52,0)</f>
        <v>-3061282.223812</v>
      </c>
      <c r="F53" s="43">
        <f t="shared" si="13"/>
        <v>-2008591.62965482</v>
      </c>
      <c r="G53" s="43">
        <f t="shared" si="13"/>
        <v>-971691.394409998</v>
      </c>
      <c r="H53" s="43">
        <f t="shared" si="13"/>
        <v>0</v>
      </c>
      <c r="I53" s="43">
        <f t="shared" si="13"/>
        <v>0</v>
      </c>
      <c r="J53" s="43">
        <f t="shared" si="13"/>
        <v>0</v>
      </c>
      <c r="K53" s="43">
        <f t="shared" si="13"/>
        <v>0</v>
      </c>
      <c r="L53" s="43">
        <f t="shared" si="13"/>
        <v>0</v>
      </c>
      <c r="M53" s="43">
        <f t="shared" si="13"/>
        <v>0</v>
      </c>
      <c r="N53" s="43">
        <f t="shared" si="13"/>
        <v>0</v>
      </c>
      <c r="O53" s="43">
        <f t="shared" si="13"/>
        <v>0</v>
      </c>
      <c r="P53" s="43">
        <f t="shared" si="13"/>
        <v>0</v>
      </c>
      <c r="Q53" s="43">
        <f t="shared" si="13"/>
        <v>0</v>
      </c>
      <c r="R53" s="43">
        <f t="shared" si="13"/>
        <v>0</v>
      </c>
      <c r="S53" s="43">
        <f t="shared" si="13"/>
        <v>0</v>
      </c>
      <c r="T53" s="43">
        <f t="shared" si="13"/>
        <v>0</v>
      </c>
      <c r="U53" s="43">
        <f t="shared" si="13"/>
        <v>0</v>
      </c>
      <c r="V53" s="43">
        <f t="shared" si="13"/>
        <v>0</v>
      </c>
      <c r="W53" s="43">
        <f t="shared" si="13"/>
        <v>0</v>
      </c>
      <c r="X53" s="43">
        <f t="shared" si="13"/>
        <v>0</v>
      </c>
      <c r="Y53" s="43">
        <f t="shared" si="13"/>
        <v>0</v>
      </c>
      <c r="Z53" s="43">
        <f t="shared" si="13"/>
        <v>0</v>
      </c>
      <c r="AA53" s="43">
        <f t="shared" si="13"/>
        <v>0</v>
      </c>
      <c r="AB53" s="43">
        <f t="shared" si="13"/>
        <v>0</v>
      </c>
    </row>
    <row r="54" spans="2:28">
      <c r="B54" s="46" t="s">
        <v>110</v>
      </c>
      <c r="C54" s="25">
        <f>SUM(D54:AB54)</f>
        <v>4</v>
      </c>
      <c r="D54" s="25">
        <f>IF(D52&gt;0,0,1)</f>
        <v>1</v>
      </c>
      <c r="E54" s="25">
        <f t="shared" ref="E54:AB54" si="14">IF(E52&gt;0,0,1)</f>
        <v>1</v>
      </c>
      <c r="F54" s="25">
        <f t="shared" si="14"/>
        <v>1</v>
      </c>
      <c r="G54" s="25">
        <f t="shared" si="14"/>
        <v>1</v>
      </c>
      <c r="H54" s="25">
        <f t="shared" si="14"/>
        <v>0</v>
      </c>
      <c r="I54" s="25">
        <f t="shared" si="14"/>
        <v>0</v>
      </c>
      <c r="J54" s="25">
        <f t="shared" si="14"/>
        <v>0</v>
      </c>
      <c r="K54" s="25">
        <f t="shared" si="14"/>
        <v>0</v>
      </c>
      <c r="L54" s="25">
        <f t="shared" si="14"/>
        <v>0</v>
      </c>
      <c r="M54" s="25">
        <f t="shared" si="14"/>
        <v>0</v>
      </c>
      <c r="N54" s="25">
        <f t="shared" si="14"/>
        <v>0</v>
      </c>
      <c r="O54" s="25">
        <f t="shared" si="14"/>
        <v>0</v>
      </c>
      <c r="P54" s="25">
        <f t="shared" si="14"/>
        <v>0</v>
      </c>
      <c r="Q54" s="25">
        <f t="shared" si="14"/>
        <v>0</v>
      </c>
      <c r="R54" s="25">
        <f t="shared" si="14"/>
        <v>0</v>
      </c>
      <c r="S54" s="25">
        <f t="shared" si="14"/>
        <v>0</v>
      </c>
      <c r="T54" s="25">
        <f t="shared" si="14"/>
        <v>0</v>
      </c>
      <c r="U54" s="25">
        <f t="shared" si="14"/>
        <v>0</v>
      </c>
      <c r="V54" s="25">
        <f t="shared" si="14"/>
        <v>0</v>
      </c>
      <c r="W54" s="25">
        <f t="shared" si="14"/>
        <v>0</v>
      </c>
      <c r="X54" s="25">
        <f t="shared" si="14"/>
        <v>0</v>
      </c>
      <c r="Y54" s="25">
        <f t="shared" si="14"/>
        <v>0</v>
      </c>
      <c r="Z54" s="25">
        <f t="shared" si="14"/>
        <v>0</v>
      </c>
      <c r="AA54" s="25">
        <f t="shared" si="14"/>
        <v>0</v>
      </c>
      <c r="AB54" s="25">
        <f t="shared" si="14"/>
        <v>0</v>
      </c>
    </row>
    <row r="55" spans="2:11">
      <c r="B55" s="47"/>
      <c r="C55" s="25">
        <f>SUM(D55:AB55)</f>
        <v>0.937111750370634</v>
      </c>
      <c r="D55" s="25">
        <f>0-IF(SUM($D$54:D54)=$C$54,D53/D51,0)</f>
        <v>0</v>
      </c>
      <c r="E55" s="25">
        <f>0-IF(SUM($D$54:E54)=$C$54,E53/E51,0)</f>
        <v>0</v>
      </c>
      <c r="F55" s="25">
        <f>0-IF(SUM($D$54:F54)=$C$54,F53/F51,0)</f>
        <v>0</v>
      </c>
      <c r="G55" s="25">
        <f>0-IF(SUM($D$54:G54)=$C$54,G53/G51,0)</f>
        <v>0.937111750370634</v>
      </c>
      <c r="H55" s="25">
        <f>0-IF(SUM($D$54:H54)=$C$54,H53/H51,0)</f>
        <v>0</v>
      </c>
      <c r="I55" s="25">
        <f>0-IF(SUM($D$54:I54)=$C$54,I53/I51,0)</f>
        <v>0</v>
      </c>
      <c r="J55" s="25">
        <f>0-IF(SUM($D$54:J54)=$C$54,J53/J51,0)</f>
        <v>0</v>
      </c>
      <c r="K55" s="25">
        <f>0-IF(SUM($D$54:K54)=$C$54,K53/K51,0)</f>
        <v>0</v>
      </c>
    </row>
    <row r="56" spans="2:28">
      <c r="B56" s="46" t="s">
        <v>111</v>
      </c>
      <c r="C56" s="25">
        <f>SUM(D56:AB56)</f>
        <v>5</v>
      </c>
      <c r="D56" s="25">
        <f>IF(D49&gt;0,0,1)</f>
        <v>1</v>
      </c>
      <c r="E56" s="25">
        <f t="shared" ref="E56:AB56" si="15">IF(E49&gt;0,0,1)</f>
        <v>1</v>
      </c>
      <c r="F56" s="25">
        <f t="shared" si="15"/>
        <v>1</v>
      </c>
      <c r="G56" s="25">
        <f t="shared" si="15"/>
        <v>1</v>
      </c>
      <c r="H56" s="25">
        <f t="shared" si="15"/>
        <v>1</v>
      </c>
      <c r="I56" s="25">
        <f t="shared" si="15"/>
        <v>0</v>
      </c>
      <c r="J56" s="25">
        <f t="shared" si="15"/>
        <v>0</v>
      </c>
      <c r="K56" s="25">
        <f t="shared" si="15"/>
        <v>0</v>
      </c>
      <c r="O56" s="25">
        <f t="shared" si="15"/>
        <v>0</v>
      </c>
      <c r="P56" s="25">
        <f t="shared" si="15"/>
        <v>0</v>
      </c>
      <c r="Q56" s="25">
        <f t="shared" si="15"/>
        <v>0</v>
      </c>
      <c r="R56" s="25">
        <f t="shared" si="15"/>
        <v>0</v>
      </c>
      <c r="S56" s="25">
        <f t="shared" si="15"/>
        <v>0</v>
      </c>
      <c r="T56" s="25">
        <f t="shared" si="15"/>
        <v>0</v>
      </c>
      <c r="U56" s="25">
        <f t="shared" si="15"/>
        <v>0</v>
      </c>
      <c r="V56" s="25">
        <f t="shared" si="15"/>
        <v>0</v>
      </c>
      <c r="W56" s="25">
        <f t="shared" si="15"/>
        <v>0</v>
      </c>
      <c r="X56" s="25">
        <f t="shared" si="15"/>
        <v>0</v>
      </c>
      <c r="Y56" s="25">
        <f t="shared" si="15"/>
        <v>0</v>
      </c>
      <c r="Z56" s="25">
        <f t="shared" si="15"/>
        <v>0</v>
      </c>
      <c r="AA56" s="25">
        <f t="shared" si="15"/>
        <v>0</v>
      </c>
      <c r="AB56" s="25">
        <f t="shared" si="15"/>
        <v>0</v>
      </c>
    </row>
    <row r="57" spans="2:11">
      <c r="B57" s="47"/>
      <c r="C57" s="25">
        <f>SUM(D57:AB57)</f>
        <v>0.139643328035102</v>
      </c>
      <c r="D57" s="25">
        <f>0-IF(SUM($D$56:D56)=$C$56,D50/D48,0)</f>
        <v>0</v>
      </c>
      <c r="E57" s="25">
        <f>0-IF(SUM($D$56:E56)=$C$56,E50/E48,0)</f>
        <v>0</v>
      </c>
      <c r="F57" s="25">
        <f>0-IF(SUM($D$56:F56)=$C$56,F50/F48,0)</f>
        <v>0</v>
      </c>
      <c r="G57" s="25">
        <f>0-IF(SUM($D$56:G56)=$C$56,G50/G48,0)</f>
        <v>0</v>
      </c>
      <c r="H57" s="25">
        <f>0-IF(SUM($D$56:H56)=$C$56,H50/H48,0)</f>
        <v>0.139643328035102</v>
      </c>
      <c r="I57" s="25">
        <f>0-IF(SUM($D$56:I56)=$C$56,I50/I48,0)</f>
        <v>0</v>
      </c>
      <c r="J57" s="25">
        <f>0-IF(SUM($D$56:J56)=$C$56,J50/J48,0)</f>
        <v>0</v>
      </c>
      <c r="K57" s="25">
        <f>0-IF(SUM($D$56:K56)=$C$56,K50/K48,0)</f>
        <v>0</v>
      </c>
    </row>
    <row r="58" spans="2:4">
      <c r="B58" s="34" t="s">
        <v>66</v>
      </c>
      <c r="C58" s="48">
        <f>SUM(C54:C55)</f>
        <v>4.93711175037063</v>
      </c>
      <c r="D58" s="34" t="s">
        <v>46</v>
      </c>
    </row>
    <row r="59" spans="2:4">
      <c r="B59" s="34" t="s">
        <v>67</v>
      </c>
      <c r="C59" s="48">
        <f>SUM(C56:C57)</f>
        <v>5.1396433280351</v>
      </c>
      <c r="D59" s="34"/>
    </row>
    <row r="60" spans="2:3">
      <c r="B60" s="34" t="s">
        <v>69</v>
      </c>
      <c r="C60" s="49">
        <f>NPV(0.05,C51:AB51)</f>
        <v>1986381.90199144</v>
      </c>
    </row>
    <row r="61" spans="2:3">
      <c r="B61" s="34" t="s">
        <v>71</v>
      </c>
      <c r="C61" s="49">
        <f>NPV(0.05,C48:AB48)</f>
        <v>1583595.12813456</v>
      </c>
    </row>
    <row r="62" spans="2:3">
      <c r="B62" s="25" t="s">
        <v>112</v>
      </c>
      <c r="C62" s="28">
        <f>IRR(C51:AB51)</f>
        <v>0.134922455473254</v>
      </c>
    </row>
    <row r="63" spans="2:3">
      <c r="B63" s="25" t="s">
        <v>113</v>
      </c>
      <c r="C63" s="28">
        <f>IRR(C48:AB48)</f>
        <v>0.120065198523694</v>
      </c>
    </row>
  </sheetData>
  <mergeCells count="2">
    <mergeCell ref="B54:B55"/>
    <mergeCell ref="B56:B57"/>
  </mergeCells>
  <pageMargins left="0.7" right="0.7" top="0.75" bottom="0.75" header="0.3" footer="0.3"/>
  <pageSetup paperSize="9" orientation="portrait"/>
  <headerFooter/>
  <ignoredErrors>
    <ignoredError sqref="D56 E56:K56 O56:AB5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52"/>
  <sheetViews>
    <sheetView workbookViewId="0">
      <selection activeCell="B55" sqref="B55"/>
    </sheetView>
  </sheetViews>
  <sheetFormatPr defaultColWidth="9" defaultRowHeight="13.5" outlineLevelCol="5"/>
  <cols>
    <col min="1" max="2" width="9" style="1"/>
    <col min="3" max="3" width="21.3833333333333" style="1" customWidth="1"/>
    <col min="4" max="4" width="22.25" style="1" customWidth="1"/>
    <col min="5" max="5" width="9" style="1"/>
    <col min="6" max="6" width="12.25" style="1" customWidth="1"/>
    <col min="7" max="16384" width="9" style="1"/>
  </cols>
  <sheetData>
    <row r="1" ht="31.5" customHeight="1" spans="1:4">
      <c r="A1" s="2" t="s">
        <v>114</v>
      </c>
      <c r="B1" s="2"/>
      <c r="C1" s="2"/>
      <c r="D1" s="2"/>
    </row>
    <row r="2" ht="15" spans="1:4">
      <c r="A2" s="3"/>
      <c r="B2" s="4"/>
      <c r="C2" s="4"/>
      <c r="D2" s="5"/>
    </row>
    <row r="3" ht="14.25" spans="1:4">
      <c r="A3" s="6" t="s">
        <v>115</v>
      </c>
      <c r="B3" s="7" t="s">
        <v>116</v>
      </c>
      <c r="C3" s="7" t="s">
        <v>117</v>
      </c>
      <c r="D3" s="8"/>
    </row>
    <row r="4" customHeight="1" spans="1:6">
      <c r="A4" s="6"/>
      <c r="B4" s="7"/>
      <c r="C4" s="9" t="s">
        <v>118</v>
      </c>
      <c r="D4" s="9" t="s">
        <v>119</v>
      </c>
      <c r="E4" s="1" t="s">
        <v>34</v>
      </c>
      <c r="F4" s="1" t="s">
        <v>120</v>
      </c>
    </row>
    <row r="5" ht="14.25" spans="1:6">
      <c r="A5" s="10">
        <v>1</v>
      </c>
      <c r="B5" s="11" t="s">
        <v>121</v>
      </c>
      <c r="C5" s="12">
        <v>0.0834</v>
      </c>
      <c r="D5" s="13">
        <v>0.056</v>
      </c>
      <c r="E5" s="14">
        <v>1.30375</v>
      </c>
      <c r="F5" s="14"/>
    </row>
    <row r="6" ht="14.25" spans="1:4">
      <c r="A6" s="7">
        <v>2</v>
      </c>
      <c r="B6" s="11" t="s">
        <v>122</v>
      </c>
      <c r="C6" s="12"/>
      <c r="D6" s="13"/>
    </row>
    <row r="7" ht="14.25" spans="1:6">
      <c r="A7" s="7"/>
      <c r="B7" s="15">
        <v>0.2</v>
      </c>
      <c r="C7" s="12">
        <v>0.0559</v>
      </c>
      <c r="D7" s="13">
        <v>0.0351</v>
      </c>
      <c r="E7" s="1">
        <f>$E$5+$E$5*B7</f>
        <v>1.5645</v>
      </c>
      <c r="F7" s="16">
        <f>E7-E7*0.3</f>
        <v>1.09515</v>
      </c>
    </row>
    <row r="8" ht="14.25" spans="1:6">
      <c r="A8" s="7"/>
      <c r="B8" s="15">
        <v>0.15</v>
      </c>
      <c r="C8" s="12">
        <v>0.0621</v>
      </c>
      <c r="D8" s="13">
        <v>0.0402</v>
      </c>
      <c r="E8" s="1">
        <f t="shared" ref="E8:E14" si="0">$E$5+$E$5*B8</f>
        <v>1.4993125</v>
      </c>
      <c r="F8" s="16">
        <f t="shared" ref="F8:F14" si="1">E8-E8*0.3</f>
        <v>1.04951875</v>
      </c>
    </row>
    <row r="9" ht="14.25" spans="1:6">
      <c r="A9" s="7"/>
      <c r="B9" s="15">
        <v>0.1</v>
      </c>
      <c r="C9" s="12">
        <v>0.0689</v>
      </c>
      <c r="D9" s="13">
        <v>0.0439</v>
      </c>
      <c r="E9" s="1">
        <f t="shared" si="0"/>
        <v>1.434125</v>
      </c>
      <c r="F9" s="16">
        <f t="shared" si="1"/>
        <v>1.0038875</v>
      </c>
    </row>
    <row r="10" ht="14.25" spans="1:6">
      <c r="A10" s="7"/>
      <c r="B10" s="15">
        <v>0.05</v>
      </c>
      <c r="C10" s="12">
        <v>0.0757</v>
      </c>
      <c r="D10" s="13">
        <v>0.0497</v>
      </c>
      <c r="E10" s="1">
        <f t="shared" si="0"/>
        <v>1.3689375</v>
      </c>
      <c r="F10" s="16">
        <f t="shared" si="1"/>
        <v>0.95825625</v>
      </c>
    </row>
    <row r="11" ht="14.25" spans="1:6">
      <c r="A11" s="7"/>
      <c r="B11" s="15">
        <v>-0.05</v>
      </c>
      <c r="C11" s="12">
        <v>0.0916</v>
      </c>
      <c r="D11" s="13">
        <v>0.0609</v>
      </c>
      <c r="E11" s="1">
        <f t="shared" si="0"/>
        <v>1.2385625</v>
      </c>
      <c r="F11" s="16">
        <f t="shared" si="1"/>
        <v>0.86699375</v>
      </c>
    </row>
    <row r="12" ht="14.25" spans="1:6">
      <c r="A12" s="7"/>
      <c r="B12" s="15">
        <v>-0.1</v>
      </c>
      <c r="C12" s="12">
        <v>0.1006</v>
      </c>
      <c r="D12" s="13">
        <v>0.0683</v>
      </c>
      <c r="E12" s="1">
        <f t="shared" si="0"/>
        <v>1.173375</v>
      </c>
      <c r="F12" s="16">
        <f t="shared" si="1"/>
        <v>0.8213625</v>
      </c>
    </row>
    <row r="13" ht="14.25" spans="1:6">
      <c r="A13" s="7"/>
      <c r="B13" s="15">
        <v>-0.15</v>
      </c>
      <c r="C13" s="12">
        <v>0.1103</v>
      </c>
      <c r="D13" s="13">
        <v>0.0742</v>
      </c>
      <c r="E13" s="1">
        <f t="shared" si="0"/>
        <v>1.1081875</v>
      </c>
      <c r="F13" s="16">
        <f t="shared" si="1"/>
        <v>0.77573125</v>
      </c>
    </row>
    <row r="14" ht="14.25" spans="1:6">
      <c r="A14" s="7"/>
      <c r="B14" s="15">
        <v>-0.2</v>
      </c>
      <c r="C14" s="12">
        <v>0.1211</v>
      </c>
      <c r="D14" s="13">
        <v>0.083</v>
      </c>
      <c r="E14" s="1">
        <f t="shared" si="0"/>
        <v>1.043</v>
      </c>
      <c r="F14" s="16">
        <f t="shared" si="1"/>
        <v>0.7301</v>
      </c>
    </row>
    <row r="15" ht="14.25" spans="1:6">
      <c r="A15" s="17">
        <v>3</v>
      </c>
      <c r="B15" s="15"/>
      <c r="C15" s="12"/>
      <c r="D15" s="13"/>
      <c r="E15" s="14">
        <v>0.6098</v>
      </c>
      <c r="F15" s="18"/>
    </row>
    <row r="16" ht="14.25" spans="1:5">
      <c r="A16" s="19"/>
      <c r="B16" s="20" t="s">
        <v>123</v>
      </c>
      <c r="C16" s="12"/>
      <c r="D16" s="13"/>
      <c r="E16" s="1" t="s">
        <v>124</v>
      </c>
    </row>
    <row r="17" ht="14.25" spans="1:6">
      <c r="A17" s="19"/>
      <c r="B17" s="15">
        <v>0.2</v>
      </c>
      <c r="C17" s="12">
        <v>0.124705241655396</v>
      </c>
      <c r="D17" s="13">
        <v>0.0859773201172558</v>
      </c>
      <c r="E17" s="21">
        <f>$E$15+$E$15*B17</f>
        <v>0.73176</v>
      </c>
      <c r="F17" s="16"/>
    </row>
    <row r="18" ht="14.25" spans="1:6">
      <c r="A18" s="19"/>
      <c r="B18" s="15">
        <v>0.15</v>
      </c>
      <c r="C18" s="12">
        <v>0.117468285534161</v>
      </c>
      <c r="D18" s="13">
        <v>0.0800378101868229</v>
      </c>
      <c r="E18" s="21">
        <f t="shared" ref="E18:E24" si="2">$E$15+$E$15*B18</f>
        <v>0.70127</v>
      </c>
      <c r="F18" s="16"/>
    </row>
    <row r="19" ht="14.25" spans="1:6">
      <c r="A19" s="19"/>
      <c r="B19" s="15">
        <v>0.1</v>
      </c>
      <c r="C19" s="12">
        <v>0.110120070164347</v>
      </c>
      <c r="D19" s="13">
        <v>0.0740164014464236</v>
      </c>
      <c r="E19" s="21">
        <f t="shared" si="2"/>
        <v>0.67078</v>
      </c>
      <c r="F19" s="16"/>
    </row>
    <row r="20" ht="14.25" spans="1:6">
      <c r="A20" s="19"/>
      <c r="B20" s="15">
        <v>0.05</v>
      </c>
      <c r="C20" s="12">
        <v>0.100761892377603</v>
      </c>
      <c r="D20" s="13">
        <v>0.0684615708382231</v>
      </c>
      <c r="E20" s="21">
        <f t="shared" si="2"/>
        <v>0.64029</v>
      </c>
      <c r="F20" s="16"/>
    </row>
    <row r="21" ht="14.25" spans="1:6">
      <c r="A21" s="19"/>
      <c r="B21" s="15">
        <v>-0.05</v>
      </c>
      <c r="C21" s="12">
        <v>0.0853304587458342</v>
      </c>
      <c r="D21" s="13">
        <v>0.0557739255115736</v>
      </c>
      <c r="E21" s="21">
        <f t="shared" si="2"/>
        <v>0.57931</v>
      </c>
      <c r="F21" s="16"/>
    </row>
    <row r="22" ht="14.25" spans="1:6">
      <c r="A22" s="19"/>
      <c r="B22" s="15">
        <v>-0.1</v>
      </c>
      <c r="C22" s="12">
        <v>0.0773709185417</v>
      </c>
      <c r="D22" s="13">
        <v>0.0510721507887177</v>
      </c>
      <c r="E22" s="21">
        <f t="shared" si="2"/>
        <v>0.54882</v>
      </c>
      <c r="F22" s="16"/>
    </row>
    <row r="23" ht="14.25" spans="1:6">
      <c r="A23" s="19"/>
      <c r="B23" s="15">
        <v>-0.15</v>
      </c>
      <c r="C23" s="12">
        <v>0.0671562146391841</v>
      </c>
      <c r="D23" s="13">
        <v>0.0426821513844326</v>
      </c>
      <c r="E23" s="21">
        <f t="shared" si="2"/>
        <v>0.51833</v>
      </c>
      <c r="F23" s="16"/>
    </row>
    <row r="24" ht="14.25" spans="1:6">
      <c r="A24" s="22"/>
      <c r="B24" s="15">
        <v>-0.2</v>
      </c>
      <c r="C24" s="12">
        <v>0.0587449565247671</v>
      </c>
      <c r="D24" s="13">
        <v>0.0374332153261845</v>
      </c>
      <c r="E24" s="21">
        <f t="shared" si="2"/>
        <v>0.48784</v>
      </c>
      <c r="F24" s="16"/>
    </row>
    <row r="25" spans="1:4">
      <c r="A25" s="23" t="s">
        <v>125</v>
      </c>
      <c r="B25" s="23"/>
      <c r="C25" s="23"/>
      <c r="D25" s="23"/>
    </row>
    <row r="28" ht="29.25" customHeight="1" spans="1:4">
      <c r="A28" s="2" t="s">
        <v>126</v>
      </c>
      <c r="B28" s="2"/>
      <c r="C28" s="2"/>
      <c r="D28" s="2"/>
    </row>
    <row r="29" ht="15" customHeight="1" spans="1:4">
      <c r="A29" s="3"/>
      <c r="B29" s="4"/>
      <c r="C29" s="4"/>
      <c r="D29" s="5"/>
    </row>
    <row r="30" ht="14.25" customHeight="1" spans="1:4">
      <c r="A30" s="6" t="s">
        <v>115</v>
      </c>
      <c r="B30" s="7" t="s">
        <v>116</v>
      </c>
      <c r="C30" s="7" t="s">
        <v>117</v>
      </c>
      <c r="D30" s="8"/>
    </row>
    <row r="31" customHeight="1" spans="1:6">
      <c r="A31" s="6"/>
      <c r="B31" s="7"/>
      <c r="C31" s="9" t="s">
        <v>118</v>
      </c>
      <c r="D31" s="9" t="s">
        <v>119</v>
      </c>
      <c r="E31" s="1" t="s">
        <v>34</v>
      </c>
      <c r="F31" s="1" t="s">
        <v>120</v>
      </c>
    </row>
    <row r="32" ht="14.25" customHeight="1" spans="1:6">
      <c r="A32" s="10">
        <v>1</v>
      </c>
      <c r="B32" s="11" t="s">
        <v>121</v>
      </c>
      <c r="C32" s="12">
        <v>0.106459482873947</v>
      </c>
      <c r="D32" s="13">
        <v>0.0630676323499807</v>
      </c>
      <c r="E32" s="14">
        <v>1.30375</v>
      </c>
      <c r="F32" s="14"/>
    </row>
    <row r="33" ht="14.25" customHeight="1" spans="1:4">
      <c r="A33" s="7">
        <v>2</v>
      </c>
      <c r="B33" s="11" t="s">
        <v>122</v>
      </c>
      <c r="C33" s="12"/>
      <c r="D33" s="13"/>
    </row>
    <row r="34" ht="14.25" customHeight="1" spans="1:6">
      <c r="A34" s="7"/>
      <c r="B34" s="15">
        <v>0.2</v>
      </c>
      <c r="C34" s="12">
        <v>0.0582070086106965</v>
      </c>
      <c r="D34" s="13">
        <v>0.0302293905581881</v>
      </c>
      <c r="E34" s="1">
        <f>$E$5+$E$5*B34</f>
        <v>1.5645</v>
      </c>
      <c r="F34" s="16">
        <f>E34-E34*0.3</f>
        <v>1.09515</v>
      </c>
    </row>
    <row r="35" ht="14.25" customHeight="1" spans="1:6">
      <c r="A35" s="7"/>
      <c r="B35" s="15">
        <v>0.15</v>
      </c>
      <c r="C35" s="12">
        <v>0.0690427545128455</v>
      </c>
      <c r="D35" s="13">
        <v>0.0389138693934107</v>
      </c>
      <c r="E35" s="1">
        <f t="shared" ref="E35:E41" si="3">$E$5+$E$5*B35</f>
        <v>1.4993125</v>
      </c>
      <c r="F35" s="16">
        <f t="shared" ref="F35:F41" si="4">E35-E35*0.3</f>
        <v>1.04951875</v>
      </c>
    </row>
    <row r="36" ht="14.25" customHeight="1" spans="1:6">
      <c r="A36" s="7"/>
      <c r="B36" s="15">
        <v>0.1</v>
      </c>
      <c r="C36" s="12">
        <v>0.0806299877636684</v>
      </c>
      <c r="D36" s="13">
        <v>0.0482378904698687</v>
      </c>
      <c r="E36" s="1">
        <f t="shared" si="3"/>
        <v>1.434125</v>
      </c>
      <c r="F36" s="16">
        <f t="shared" si="4"/>
        <v>1.0038875</v>
      </c>
    </row>
    <row r="37" ht="14.25" customHeight="1" spans="1:6">
      <c r="A37" s="7"/>
      <c r="B37" s="15">
        <v>0.05</v>
      </c>
      <c r="C37" s="12">
        <v>0.0930643326334599</v>
      </c>
      <c r="D37" s="13">
        <v>0.0582824105784935</v>
      </c>
      <c r="E37" s="1">
        <f t="shared" si="3"/>
        <v>1.3689375</v>
      </c>
      <c r="F37" s="16">
        <f t="shared" si="4"/>
        <v>0.95825625</v>
      </c>
    </row>
    <row r="38" ht="14.25" customHeight="1" spans="1:6">
      <c r="A38" s="7"/>
      <c r="B38" s="15">
        <v>-0.05</v>
      </c>
      <c r="C38" s="12">
        <v>0.120951827398614</v>
      </c>
      <c r="D38" s="13">
        <v>0.0747271090953103</v>
      </c>
      <c r="E38" s="1">
        <f t="shared" si="3"/>
        <v>1.2385625</v>
      </c>
      <c r="F38" s="16">
        <f t="shared" si="4"/>
        <v>0.86699375</v>
      </c>
    </row>
    <row r="39" ht="14.25" customHeight="1" spans="1:6">
      <c r="A39" s="7"/>
      <c r="B39" s="15">
        <v>-0.1</v>
      </c>
      <c r="C39" s="12">
        <v>0.136706600464161</v>
      </c>
      <c r="D39" s="13">
        <v>0.0874507509633498</v>
      </c>
      <c r="E39" s="1">
        <f t="shared" si="3"/>
        <v>1.173375</v>
      </c>
      <c r="F39" s="16">
        <f t="shared" si="4"/>
        <v>0.8213625</v>
      </c>
    </row>
    <row r="40" ht="14.25" customHeight="1" spans="1:6">
      <c r="A40" s="7"/>
      <c r="B40" s="15">
        <v>-0.15</v>
      </c>
      <c r="C40" s="12">
        <v>0.153926182966518</v>
      </c>
      <c r="D40" s="13">
        <v>0.101407883655719</v>
      </c>
      <c r="E40" s="1">
        <f t="shared" si="3"/>
        <v>1.1081875</v>
      </c>
      <c r="F40" s="16">
        <f t="shared" si="4"/>
        <v>0.77573125</v>
      </c>
    </row>
    <row r="41" ht="14.25" customHeight="1" spans="1:6">
      <c r="A41" s="7"/>
      <c r="B41" s="15">
        <v>-0.2</v>
      </c>
      <c r="C41" s="12">
        <v>0.172861495978516</v>
      </c>
      <c r="D41" s="13">
        <v>0.109247921148009</v>
      </c>
      <c r="E41" s="1">
        <f t="shared" si="3"/>
        <v>1.043</v>
      </c>
      <c r="F41" s="16">
        <f t="shared" si="4"/>
        <v>0.7301</v>
      </c>
    </row>
    <row r="42" ht="14.25" customHeight="1" spans="1:6">
      <c r="A42" s="17">
        <v>3</v>
      </c>
      <c r="B42" s="15"/>
      <c r="C42" s="12"/>
      <c r="D42" s="13"/>
      <c r="E42" s="14">
        <v>0.6098</v>
      </c>
      <c r="F42" s="24">
        <v>0.3094</v>
      </c>
    </row>
    <row r="43" ht="14.25" customHeight="1" spans="1:6">
      <c r="A43" s="19"/>
      <c r="B43" s="20" t="s">
        <v>123</v>
      </c>
      <c r="C43" s="12"/>
      <c r="D43" s="13"/>
      <c r="E43" s="1" t="s">
        <v>124</v>
      </c>
      <c r="F43" s="1" t="s">
        <v>127</v>
      </c>
    </row>
    <row r="44" ht="14.25" customHeight="1" spans="1:6">
      <c r="A44" s="19"/>
      <c r="B44" s="15">
        <v>0.2</v>
      </c>
      <c r="C44" s="12">
        <v>0.160810528472605</v>
      </c>
      <c r="D44" s="13">
        <v>0.107001024749369</v>
      </c>
      <c r="E44" s="21">
        <f>$E$15+$E$15*B44</f>
        <v>0.73176</v>
      </c>
      <c r="F44" s="21">
        <f>$F$42+$F$42*B44</f>
        <v>0.37128</v>
      </c>
    </row>
    <row r="45" ht="14.25" customHeight="1" spans="1:6">
      <c r="A45" s="19"/>
      <c r="B45" s="15">
        <v>0.15</v>
      </c>
      <c r="C45" s="12">
        <v>0.147097667842082</v>
      </c>
      <c r="D45" s="13">
        <v>0.0958672700878881</v>
      </c>
      <c r="E45" s="21">
        <f t="shared" ref="E45:E51" si="5">$E$15+$E$15*B45</f>
        <v>0.70127</v>
      </c>
      <c r="F45" s="21">
        <f t="shared" ref="F45:F51" si="6">$F$42+$F$42*B45</f>
        <v>0.35581</v>
      </c>
    </row>
    <row r="46" ht="14.25" customHeight="1" spans="1:6">
      <c r="A46" s="19"/>
      <c r="B46" s="15">
        <v>0.1</v>
      </c>
      <c r="C46" s="12">
        <v>0.135146541533441</v>
      </c>
      <c r="D46" s="13">
        <v>0.0861887615257892</v>
      </c>
      <c r="E46" s="21">
        <f t="shared" si="5"/>
        <v>0.67078</v>
      </c>
      <c r="F46" s="21">
        <f t="shared" si="6"/>
        <v>0.34034</v>
      </c>
    </row>
    <row r="47" ht="14.25" customHeight="1" spans="1:6">
      <c r="A47" s="19"/>
      <c r="B47" s="15">
        <v>0.05</v>
      </c>
      <c r="C47" s="12">
        <v>0.118900410582646</v>
      </c>
      <c r="D47" s="13">
        <v>0.0730739620240694</v>
      </c>
      <c r="E47" s="21">
        <f t="shared" si="5"/>
        <v>0.64029</v>
      </c>
      <c r="F47" s="21">
        <f t="shared" si="6"/>
        <v>0.32487</v>
      </c>
    </row>
    <row r="48" ht="14.25" customHeight="1" spans="1:6">
      <c r="A48" s="19"/>
      <c r="B48" s="15">
        <v>-0.05</v>
      </c>
      <c r="C48" s="12">
        <v>0.0937764902189208</v>
      </c>
      <c r="D48" s="13">
        <v>0.0588588284053937</v>
      </c>
      <c r="E48" s="21">
        <f t="shared" si="5"/>
        <v>0.57931</v>
      </c>
      <c r="F48" s="21">
        <f t="shared" si="6"/>
        <v>0.29393</v>
      </c>
    </row>
    <row r="49" ht="14.25" customHeight="1" spans="1:6">
      <c r="A49" s="19"/>
      <c r="B49" s="15">
        <v>-0.1</v>
      </c>
      <c r="C49" s="12">
        <v>0.0786427398281528</v>
      </c>
      <c r="D49" s="13">
        <v>0.0466362077656784</v>
      </c>
      <c r="E49" s="21">
        <f t="shared" si="5"/>
        <v>0.54882</v>
      </c>
      <c r="F49" s="21">
        <f t="shared" si="6"/>
        <v>0.27846</v>
      </c>
    </row>
    <row r="50" ht="14.25" customHeight="1" spans="1:6">
      <c r="A50" s="19"/>
      <c r="B50" s="15">
        <v>-0.15</v>
      </c>
      <c r="C50" s="12">
        <v>0.063105501603123</v>
      </c>
      <c r="D50" s="13">
        <v>0.0341509913380445</v>
      </c>
      <c r="E50" s="21">
        <f t="shared" si="5"/>
        <v>0.51833</v>
      </c>
      <c r="F50" s="21">
        <f t="shared" si="6"/>
        <v>0.26299</v>
      </c>
    </row>
    <row r="51" ht="14.25" customHeight="1" spans="1:6">
      <c r="A51" s="22"/>
      <c r="B51" s="15">
        <v>-0.2</v>
      </c>
      <c r="C51" s="12">
        <v>0.0471146993024547</v>
      </c>
      <c r="D51" s="13">
        <v>0.0266187907639499</v>
      </c>
      <c r="E51" s="21">
        <f t="shared" si="5"/>
        <v>0.48784</v>
      </c>
      <c r="F51" s="21">
        <f t="shared" si="6"/>
        <v>0.24752</v>
      </c>
    </row>
    <row r="52" spans="1:4">
      <c r="A52" s="23" t="s">
        <v>128</v>
      </c>
      <c r="B52" s="23"/>
      <c r="C52" s="23"/>
      <c r="D52" s="23"/>
    </row>
  </sheetData>
  <mergeCells count="16">
    <mergeCell ref="A1:D1"/>
    <mergeCell ref="A2:D2"/>
    <mergeCell ref="C3:D3"/>
    <mergeCell ref="A25:D25"/>
    <mergeCell ref="A28:D28"/>
    <mergeCell ref="A29:D29"/>
    <mergeCell ref="C30:D30"/>
    <mergeCell ref="A52:D52"/>
    <mergeCell ref="A3:A4"/>
    <mergeCell ref="A6:A14"/>
    <mergeCell ref="A15:A24"/>
    <mergeCell ref="A30:A31"/>
    <mergeCell ref="A33:A41"/>
    <mergeCell ref="A42:A51"/>
    <mergeCell ref="B3:B4"/>
    <mergeCell ref="B30:B3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基本数据</vt:lpstr>
      <vt:lpstr>IRR模型</vt:lpstr>
      <vt:lpstr>储能敏感性分析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Sunty</cp:lastModifiedBy>
  <dcterms:created xsi:type="dcterms:W3CDTF">2006-09-16T00:00:00Z</dcterms:created>
  <dcterms:modified xsi:type="dcterms:W3CDTF">2023-03-01T01:48:18Z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16EAAE6ACD9C49A1BE016B551C9CF040</vt:lpwstr>
  </property>
  <property fmtid="{D5CDD505-2E9C-101B-9397-08002B2CF9AE}" pid="3" name="KSOProductBuildVer">
    <vt:lpwstr>2052-11.8.2.10912</vt:lpwstr>
  </property>
</Properties>
</file>