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filterPrivacy="1" defaultThemeVersion="124226"/>
  <xr:revisionPtr revIDLastSave="0" documentId="13_ncr:1_{A1ACBB23-AB08-4701-ADD9-EB488B855D27}" xr6:coauthVersionLast="43" xr6:coauthVersionMax="43" xr10:uidLastSave="{00000000-0000-0000-0000-000000000000}"/>
  <bookViews>
    <workbookView xWindow="4200" yWindow="3495" windowWidth="17625" windowHeight="12060" xr2:uid="{00000000-000D-0000-FFFF-FFFF00000000}"/>
  </bookViews>
  <sheets>
    <sheet name="储能类型对比" sheetId="1" r:id="rId1"/>
    <sheet name="方案1" sheetId="2" r:id="rId2"/>
    <sheet name="项目1" sheetId="3" r:id="rId3"/>
  </sheets>
  <definedNames>
    <definedName name="比热_kJ__kg·℃">方案1!$B$14</definedName>
    <definedName name="采暖指标_w_m2">方案1!$B$2</definedName>
    <definedName name="储热时间_h">方案1!$B$7</definedName>
    <definedName name="低温密度_kg_m3">方案1!$B$22</definedName>
    <definedName name="电加热器效率">方案1!$B$24</definedName>
    <definedName name="高温密度_kg_m3">方案1!$B$19</definedName>
    <definedName name="供热功率_kw">方案1!$B$12</definedName>
    <definedName name="换热系统效率">方案1!$B$15</definedName>
    <definedName name="面积_m2">方案1!$B$11</definedName>
    <definedName name="熔盐富裕量">方案1!$B$17</definedName>
    <definedName name="熔盐温升_℃">方案1!$B$13</definedName>
    <definedName name="熔盐质量_t">方案1!$B$18</definedName>
    <definedName name="上班时间_h">方案1!$B$6</definedName>
    <definedName name="填装系数">方案1!$B$20</definedName>
    <definedName name="蓄热量_GJ">方案1!$B$16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2" i="2" l="1"/>
  <c r="B26" i="2" s="1"/>
  <c r="B27" i="2" l="1"/>
  <c r="B29" i="2"/>
  <c r="B16" i="2"/>
  <c r="B18" i="2" s="1"/>
  <c r="B23" i="2" s="1"/>
  <c r="B25" i="2"/>
  <c r="B21" i="2" l="1"/>
  <c r="B28" i="2"/>
  <c r="K15" i="3" l="1"/>
  <c r="B5" i="3"/>
  <c r="B6" i="3" s="1"/>
  <c r="B2" i="3"/>
  <c r="B9" i="3" s="1"/>
  <c r="K16" i="3" l="1"/>
  <c r="K19" i="3"/>
  <c r="K17" i="3"/>
  <c r="K21" i="3" s="1"/>
  <c r="K22" i="3" s="1"/>
  <c r="D56" i="1" l="1"/>
  <c r="D55" i="1"/>
  <c r="B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27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增加30%-50%</t>
        </r>
      </text>
    </comment>
    <comment ref="D27" authorId="0" shapeId="0" xr:uid="{00000000-0006-0000-01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增加30%-50%</t>
        </r>
      </text>
    </comment>
    <comment ref="B28" authorId="0" shapeId="0" xr:uid="{00000000-0006-0000-01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1-2h把所有熔盐从低温罐抽到高温罐中</t>
        </r>
      </text>
    </comment>
    <comment ref="D28" authorId="0" shapeId="0" xr:uid="{00000000-0006-0000-01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1-2h把所有熔盐从低温罐抽到高温罐中</t>
        </r>
      </text>
    </comment>
    <comment ref="B29" authorId="0" shapeId="0" xr:uid="{00000000-0006-0000-0100-000005000000}">
      <text>
        <r>
          <rPr>
            <b/>
            <sz val="9"/>
            <color indexed="81"/>
            <rFont val="宋体"/>
            <family val="3"/>
            <charset val="134"/>
          </rPr>
          <t xml:space="preserve">作者:水的比热4.2，温升85，kg/s转化为m3/h，乘以3.6
</t>
        </r>
      </text>
    </comment>
    <comment ref="D29" authorId="0" shapeId="0" xr:uid="{00000000-0006-0000-0100-000006000000}">
      <text>
        <r>
          <rPr>
            <b/>
            <sz val="9"/>
            <color indexed="81"/>
            <rFont val="宋体"/>
            <family val="3"/>
            <charset val="134"/>
          </rPr>
          <t xml:space="preserve">作者:水的比热4.2，温升85，kg/s转化为m3/h，乘以3.6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2" authorId="0" shapeId="0" xr:uid="{00000000-0006-0000-02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温差为10：供水温度为50℃，回水温度为40℃</t>
        </r>
      </text>
    </comment>
    <comment ref="B5" authorId="0" shapeId="0" xr:uid="{00000000-0006-0000-02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熔盐余量修正值：取1.1；熔盐比热容为1.56，温差260（450-190
）</t>
        </r>
      </text>
    </comment>
    <comment ref="B6" authorId="0" shapeId="0" xr:uid="{00000000-0006-0000-02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密度1465；罐体空间比0.68</t>
        </r>
      </text>
    </comment>
    <comment ref="B9" authorId="0" shapeId="0" xr:uid="{00000000-0006-0000-0200-00000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1.3为修正系数，实际运行为8℃温差，非10</t>
        </r>
      </text>
    </comment>
    <comment ref="J22" authorId="0" shapeId="0" xr:uid="{00000000-0006-0000-02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熔盐只供13600*60%=8160KW</t>
        </r>
      </text>
    </comment>
  </commentList>
</comments>
</file>

<file path=xl/sharedStrings.xml><?xml version="1.0" encoding="utf-8"?>
<sst xmlns="http://schemas.openxmlformats.org/spreadsheetml/2006/main" count="139" uniqueCount="129">
  <si>
    <t>抽水储能</t>
    <phoneticPr fontId="1" type="noConversion"/>
  </si>
  <si>
    <t>不间断电源</t>
    <phoneticPr fontId="1" type="noConversion"/>
  </si>
  <si>
    <t>其他</t>
    <phoneticPr fontId="1" type="noConversion"/>
  </si>
  <si>
    <t>压缩空气</t>
    <phoneticPr fontId="1" type="noConversion"/>
  </si>
  <si>
    <t>电池</t>
    <phoneticPr fontId="1" type="noConversion"/>
  </si>
  <si>
    <t>储热</t>
    <phoneticPr fontId="1" type="noConversion"/>
  </si>
  <si>
    <t>太阳能储热</t>
    <phoneticPr fontId="1" type="noConversion"/>
  </si>
  <si>
    <t>飞轮</t>
    <phoneticPr fontId="1" type="noConversion"/>
  </si>
  <si>
    <t>蓄热</t>
    <phoneticPr fontId="1" type="noConversion"/>
  </si>
  <si>
    <t>抽水储能</t>
    <phoneticPr fontId="1" type="noConversion"/>
  </si>
  <si>
    <t>压缩空气储能</t>
    <phoneticPr fontId="1" type="noConversion"/>
  </si>
  <si>
    <t>飞轮</t>
    <phoneticPr fontId="1" type="noConversion"/>
  </si>
  <si>
    <t>铅酸蓄电池</t>
    <phoneticPr fontId="1" type="noConversion"/>
  </si>
  <si>
    <t>镍镉蓄电池</t>
    <phoneticPr fontId="1" type="noConversion"/>
  </si>
  <si>
    <t>钠硫电池</t>
    <phoneticPr fontId="1" type="noConversion"/>
  </si>
  <si>
    <t>锂电池</t>
    <phoneticPr fontId="1" type="noConversion"/>
  </si>
  <si>
    <t>液流电池</t>
    <phoneticPr fontId="1" type="noConversion"/>
  </si>
  <si>
    <t>电容器</t>
    <phoneticPr fontId="1" type="noConversion"/>
  </si>
  <si>
    <t>超级电容器</t>
    <phoneticPr fontId="1" type="noConversion"/>
  </si>
  <si>
    <t>超导磁储能</t>
    <phoneticPr fontId="1" type="noConversion"/>
  </si>
  <si>
    <t>效率%</t>
    <phoneticPr fontId="1" type="noConversion"/>
  </si>
  <si>
    <t>成熟性</t>
    <phoneticPr fontId="1" type="noConversion"/>
  </si>
  <si>
    <t>环境影响</t>
    <phoneticPr fontId="1" type="noConversion"/>
  </si>
  <si>
    <t>基本成熟</t>
    <phoneticPr fontId="1" type="noConversion"/>
  </si>
  <si>
    <t>成熟</t>
    <phoneticPr fontId="1" type="noConversion"/>
  </si>
  <si>
    <t>示范</t>
    <phoneticPr fontId="1" type="noConversion"/>
  </si>
  <si>
    <t>成熟</t>
    <phoneticPr fontId="1" type="noConversion"/>
  </si>
  <si>
    <t>商业化</t>
    <phoneticPr fontId="1" type="noConversion"/>
  </si>
  <si>
    <t>研发中</t>
    <phoneticPr fontId="1" type="noConversion"/>
  </si>
  <si>
    <t>基本成熟</t>
    <phoneticPr fontId="1" type="noConversion"/>
  </si>
  <si>
    <t>基本成熟</t>
    <phoneticPr fontId="1" type="noConversion"/>
  </si>
  <si>
    <t>储能类型</t>
    <phoneticPr fontId="1" type="noConversion"/>
  </si>
  <si>
    <t>储能密度（Wh/kg）</t>
    <phoneticPr fontId="1" type="noConversion"/>
  </si>
  <si>
    <t>单机容量（MW）</t>
    <phoneticPr fontId="1" type="noConversion"/>
  </si>
  <si>
    <t>寿命（年）</t>
    <phoneticPr fontId="1" type="noConversion"/>
  </si>
  <si>
    <t>人均装机（kW/人）</t>
    <phoneticPr fontId="1" type="noConversion"/>
  </si>
  <si>
    <t>人均用电量（kWh）</t>
    <phoneticPr fontId="1" type="noConversion"/>
  </si>
  <si>
    <t>采暖指标（w/m2）</t>
    <phoneticPr fontId="1" type="noConversion"/>
  </si>
  <si>
    <t>谷电价格（元/度）</t>
    <phoneticPr fontId="1" type="noConversion"/>
  </si>
  <si>
    <t>供暖价格（元/m2）</t>
    <phoneticPr fontId="1" type="noConversion"/>
  </si>
  <si>
    <t>面积（m2）</t>
    <phoneticPr fontId="1" type="noConversion"/>
  </si>
  <si>
    <t>供热功率（kw）</t>
    <phoneticPr fontId="1" type="noConversion"/>
  </si>
  <si>
    <t>熔盐温升（℃）</t>
    <phoneticPr fontId="1" type="noConversion"/>
  </si>
  <si>
    <t>比热（kJ/（kg·℃））</t>
    <phoneticPr fontId="1" type="noConversion"/>
  </si>
  <si>
    <t>谷电时间（h）</t>
    <phoneticPr fontId="1" type="noConversion"/>
  </si>
  <si>
    <t>峰电时间（h）</t>
    <phoneticPr fontId="1" type="noConversion"/>
  </si>
  <si>
    <t>平电时间（h）</t>
    <phoneticPr fontId="1" type="noConversion"/>
  </si>
  <si>
    <t>熔盐质量（t）</t>
    <phoneticPr fontId="1" type="noConversion"/>
  </si>
  <si>
    <t>蓄热量（GJ）</t>
    <phoneticPr fontId="1" type="noConversion"/>
  </si>
  <si>
    <t>熔盐富裕量</t>
    <phoneticPr fontId="1" type="noConversion"/>
  </si>
  <si>
    <t>高温池容积（m3）</t>
    <phoneticPr fontId="1" type="noConversion"/>
  </si>
  <si>
    <t>低温池容积（m3）</t>
    <phoneticPr fontId="1" type="noConversion"/>
  </si>
  <si>
    <t>高温密度（kg/m3）</t>
    <phoneticPr fontId="1" type="noConversion"/>
  </si>
  <si>
    <t>低温密度（kg/m3）</t>
    <phoneticPr fontId="1" type="noConversion"/>
  </si>
  <si>
    <t>填装系数</t>
    <phoneticPr fontId="1" type="noConversion"/>
  </si>
  <si>
    <t>电加热器效率</t>
    <phoneticPr fontId="1" type="noConversion"/>
  </si>
  <si>
    <t>储热电功率</t>
    <phoneticPr fontId="1" type="noConversion"/>
  </si>
  <si>
    <t>谷电期直供电功率</t>
    <phoneticPr fontId="1" type="noConversion"/>
  </si>
  <si>
    <t>总价（万）</t>
    <phoneticPr fontId="1" type="noConversion"/>
  </si>
  <si>
    <t>单位造价（元/m2）</t>
    <phoneticPr fontId="1" type="noConversion"/>
  </si>
  <si>
    <t>案例</t>
    <phoneticPr fontId="1" type="noConversion"/>
  </si>
  <si>
    <t>供暖天数（天）</t>
    <phoneticPr fontId="1" type="noConversion"/>
  </si>
  <si>
    <t>负荷系数</t>
    <phoneticPr fontId="1" type="noConversion"/>
  </si>
  <si>
    <t>高温热池泵（m3/h）</t>
    <phoneticPr fontId="1" type="noConversion"/>
  </si>
  <si>
    <t>供热总负荷（KW）Qh=qA</t>
    <phoneticPr fontId="1" type="noConversion"/>
  </si>
  <si>
    <t>额定热水流量（t/h）</t>
    <phoneticPr fontId="1" type="noConversion"/>
  </si>
  <si>
    <t>熔盐用量（t）</t>
    <phoneticPr fontId="1" type="noConversion"/>
  </si>
  <si>
    <t>储热小时（h）</t>
    <phoneticPr fontId="1" type="noConversion"/>
  </si>
  <si>
    <t>储热负荷系数</t>
    <phoneticPr fontId="1" type="noConversion"/>
  </si>
  <si>
    <t>熔盐罐体积（m3）</t>
    <phoneticPr fontId="1" type="noConversion"/>
  </si>
  <si>
    <t>电加热功率（KW）</t>
    <phoneticPr fontId="1" type="noConversion"/>
  </si>
  <si>
    <t>谷电小时数（h）</t>
    <phoneticPr fontId="1" type="noConversion"/>
  </si>
  <si>
    <t>？</t>
    <phoneticPr fontId="1" type="noConversion"/>
  </si>
  <si>
    <t>循环泵总流量</t>
    <phoneticPr fontId="1" type="noConversion"/>
  </si>
  <si>
    <t>循环泵选型流量及扬程及电功率</t>
    <phoneticPr fontId="1" type="noConversion"/>
  </si>
  <si>
    <t>若为两用一备，总流量除2；扬程具体算；功率W=Q.G.H/(3600η)*1.25，η取0.83</t>
    <phoneticPr fontId="1" type="noConversion"/>
  </si>
  <si>
    <t>补水泵选型</t>
    <phoneticPr fontId="1" type="noConversion"/>
  </si>
  <si>
    <t>流量取循环水泵的3%，扬程看楼高等</t>
    <phoneticPr fontId="1" type="noConversion"/>
  </si>
  <si>
    <t>V=1.2GT=1.2*补水泵流量*40/60；40min的补水</t>
    <phoneticPr fontId="1" type="noConversion"/>
  </si>
  <si>
    <t>补水箱体积（m3）</t>
    <phoneticPr fontId="1" type="noConversion"/>
  </si>
  <si>
    <t>序号</t>
  </si>
  <si>
    <t>设备</t>
  </si>
  <si>
    <t>型号</t>
  </si>
  <si>
    <t>单位</t>
  </si>
  <si>
    <t>数量</t>
  </si>
  <si>
    <t>台</t>
  </si>
  <si>
    <t>供暖循环水泵</t>
  </si>
  <si>
    <t>补水泵</t>
  </si>
  <si>
    <t>流量34.72m³/h，扬程33.3；水泵的电功率为4.72KW;并频并联，一用一备</t>
  </si>
  <si>
    <t>熔盐罐</t>
  </si>
  <si>
    <t>材质304，直径16m，高度4m</t>
  </si>
  <si>
    <t>个</t>
  </si>
  <si>
    <t>补水箱</t>
  </si>
  <si>
    <t>玻璃钢，4*3*2.5（m）</t>
  </si>
  <si>
    <t>座</t>
  </si>
  <si>
    <t>分集液器</t>
  </si>
  <si>
    <t>厚度5mm</t>
  </si>
  <si>
    <t>项</t>
  </si>
  <si>
    <t>站内管道</t>
  </si>
  <si>
    <t>碳钢及镀锌钢管</t>
  </si>
  <si>
    <t>阀门及仪表</t>
  </si>
  <si>
    <t>硅酸铝纤维</t>
  </si>
  <si>
    <t>控制系统</t>
  </si>
  <si>
    <t>套</t>
  </si>
  <si>
    <t>电加热器</t>
  </si>
  <si>
    <t>1590KW</t>
  </si>
  <si>
    <t xml:space="preserve">台       </t>
  </si>
  <si>
    <t>除污器</t>
  </si>
  <si>
    <t>保温材料</t>
    <phoneticPr fontId="1" type="noConversion"/>
  </si>
  <si>
    <t>流量757 m³/h，扬程42m，功率为130KW;变频并联，两用一备</t>
    <phoneticPr fontId="1" type="noConversion"/>
  </si>
  <si>
    <t>单价（元）</t>
  </si>
  <si>
    <t>总价（元）</t>
  </si>
  <si>
    <t>吨</t>
    <phoneticPr fontId="1" type="noConversion"/>
  </si>
  <si>
    <t>电控柜</t>
    <phoneticPr fontId="1" type="noConversion"/>
  </si>
  <si>
    <t>项</t>
    <phoneticPr fontId="1" type="noConversion"/>
  </si>
  <si>
    <t>设备总价（元）</t>
  </si>
  <si>
    <t>安装及辅材=设备总价*15%（元）</t>
  </si>
  <si>
    <t>运输费=设备总价*10%（元）</t>
  </si>
  <si>
    <t>土建成本（元）</t>
  </si>
  <si>
    <t>税费=设备总价*6%（元）</t>
  </si>
  <si>
    <t>建设期利息费</t>
  </si>
  <si>
    <t>元/W</t>
    <phoneticPr fontId="1" type="noConversion"/>
  </si>
  <si>
    <t>熔盐</t>
    <phoneticPr fontId="1" type="noConversion"/>
  </si>
  <si>
    <t>储水箱（m3）</t>
    <phoneticPr fontId="1" type="noConversion"/>
  </si>
  <si>
    <t>低温热池泵（m3/h）</t>
    <phoneticPr fontId="1" type="noConversion"/>
  </si>
  <si>
    <t>换热器效率</t>
    <phoneticPr fontId="1" type="noConversion"/>
  </si>
  <si>
    <t>上班时间（h）</t>
    <phoneticPr fontId="1" type="noConversion"/>
  </si>
  <si>
    <t>储热时间（h）</t>
    <phoneticPr fontId="16" type="noConversion"/>
  </si>
  <si>
    <t>保温时间（h）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</si>
</sst>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B050"/>
      <name val="宋体"/>
      <family val="2"/>
      <scheme val="minor"/>
    </font>
    <font>
      <sz val="11"/>
      <color rgb="FF00B050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rgb="FFFF0000"/>
      <name val="宋体"/>
      <family val="2"/>
      <scheme val="minor"/>
    </font>
    <font>
      <b/>
      <sz val="14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176" fontId="2" fillId="0" borderId="1" xfId="0" applyNumberFormat="1" applyFont="1" applyBorder="1"/>
    <xf numFmtId="176" fontId="0" fillId="0" borderId="1" xfId="0" applyNumberFormat="1" applyBorder="1"/>
    <xf numFmtId="0" fontId="3" fillId="0" borderId="1" xfId="0" applyFont="1" applyBorder="1"/>
    <xf numFmtId="177" fontId="0" fillId="0" borderId="1" xfId="0" applyNumberFormat="1" applyBorder="1"/>
    <xf numFmtId="0" fontId="6" fillId="0" borderId="1" xfId="0" applyFont="1" applyBorder="1"/>
    <xf numFmtId="0" fontId="7" fillId="0" borderId="1" xfId="0" applyFont="1" applyBorder="1"/>
    <xf numFmtId="0" fontId="8" fillId="0" borderId="2" xfId="0" applyFont="1" applyBorder="1" applyAlignment="1">
      <alignment horizontal="center" vertical="center" wrapText="1"/>
    </xf>
    <xf numFmtId="9" fontId="0" fillId="0" borderId="0" xfId="0" applyNumberFormat="1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76" fontId="0" fillId="2" borderId="0" xfId="0" applyNumberFormat="1" applyFill="1"/>
    <xf numFmtId="0" fontId="11" fillId="3" borderId="0" xfId="0" applyFont="1" applyFill="1"/>
    <xf numFmtId="0" fontId="12" fillId="0" borderId="3" xfId="0" applyFont="1" applyBorder="1" applyAlignment="1">
      <alignment horizontal="justify" vertical="center" wrapText="1"/>
    </xf>
    <xf numFmtId="0" fontId="12" fillId="0" borderId="4" xfId="0" applyFont="1" applyBorder="1" applyAlignment="1">
      <alignment horizontal="justify" vertical="center" wrapText="1"/>
    </xf>
    <xf numFmtId="0" fontId="13" fillId="0" borderId="4" xfId="0" applyFont="1" applyBorder="1" applyAlignment="1">
      <alignment horizontal="justify" vertical="center" wrapText="1"/>
    </xf>
    <xf numFmtId="0" fontId="14" fillId="0" borderId="0" xfId="0" applyFont="1"/>
    <xf numFmtId="0" fontId="5" fillId="0" borderId="1" xfId="0" applyFont="1" applyBorder="1" applyAlignment="1"/>
    <xf numFmtId="0" fontId="15" fillId="0" borderId="1" xfId="0" applyFont="1" applyBorder="1" applyAlignment="1"/>
    <xf numFmtId="0" fontId="3" fillId="0" borderId="1" xfId="0" applyFont="1" applyFill="1" applyBorder="1"/>
    <xf numFmtId="0" fontId="4" fillId="0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>
                <a:solidFill>
                  <a:sysClr val="windowText" lastClr="000000"/>
                </a:solidFill>
              </a:rPr>
              <a:t>全球电力储能装机</a:t>
            </a:r>
            <a:endParaRPr lang="zh-CN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1.6798515600729234E-3"/>
          <c:y val="0.33869819784232658"/>
          <c:w val="0.83183749714785182"/>
          <c:h val="0.66061921189617179"/>
        </c:manualLayout>
      </c:layout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77E-40EA-8D45-EA3B6BD941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77E-40EA-8D45-EA3B6BD941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77E-40EA-8D45-EA3B6BD941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77E-40EA-8D45-EA3B6BD941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77E-40EA-8D45-EA3B6BD9418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77E-40EA-8D45-EA3B6BD9418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77E-40EA-8D45-EA3B6BD9418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77E-40EA-8D45-EA3B6BD9418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77E-40EA-8D45-EA3B6BD9418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77E-40EA-8D45-EA3B6BD9418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777E-40EA-8D45-EA3B6BD9418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777E-40EA-8D45-EA3B6BD94185}"/>
                </c:ext>
              </c:extLst>
            </c:dLbl>
            <c:dLbl>
              <c:idx val="4"/>
              <c:layout>
                <c:manualLayout>
                  <c:x val="5.4421768707482991E-2"/>
                  <c:y val="-0.1353637661397309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77E-40EA-8D45-EA3B6BD94185}"/>
                </c:ext>
              </c:extLst>
            </c:dLbl>
            <c:dLbl>
              <c:idx val="5"/>
              <c:layout>
                <c:manualLayout>
                  <c:x val="0"/>
                  <c:y val="-5.865763199388340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77E-40EA-8D45-EA3B6BD94185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777E-40EA-8D45-EA3B6BD94185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777E-40EA-8D45-EA3B6BD94185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(储能类型对比!$A$2:$A$3,储能类型对比!$A$5:$A$9)</c:f>
              <c:strCache>
                <c:ptCount val="7"/>
                <c:pt idx="0">
                  <c:v>不间断电源</c:v>
                </c:pt>
                <c:pt idx="1">
                  <c:v>抽水储能</c:v>
                </c:pt>
                <c:pt idx="2">
                  <c:v>压缩空气</c:v>
                </c:pt>
                <c:pt idx="3">
                  <c:v>电池</c:v>
                </c:pt>
                <c:pt idx="4">
                  <c:v>储热</c:v>
                </c:pt>
                <c:pt idx="5">
                  <c:v>太阳能储热</c:v>
                </c:pt>
                <c:pt idx="6">
                  <c:v>飞轮</c:v>
                </c:pt>
              </c:strCache>
            </c:strRef>
          </c:cat>
          <c:val>
            <c:numRef>
              <c:f>(储能类型对比!$B$2:$B$3,储能类型对比!$B$5:$B$9)</c:f>
              <c:numCache>
                <c:formatCode>General</c:formatCode>
                <c:ptCount val="7"/>
                <c:pt idx="0">
                  <c:v>64820</c:v>
                </c:pt>
                <c:pt idx="1">
                  <c:v>135009</c:v>
                </c:pt>
                <c:pt idx="2">
                  <c:v>440</c:v>
                </c:pt>
                <c:pt idx="3">
                  <c:v>594</c:v>
                </c:pt>
                <c:pt idx="4">
                  <c:v>1000</c:v>
                </c:pt>
                <c:pt idx="5">
                  <c:v>601</c:v>
                </c:pt>
                <c:pt idx="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77E-40EA-8D45-EA3B6BD9418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plitType val="cust"/>
        <c:custSplit>
          <c:secondPiePt val="2"/>
          <c:secondPiePt val="3"/>
          <c:secondPiePt val="4"/>
          <c:secondPiePt val="5"/>
          <c:secondPiePt val="6"/>
        </c:custSplit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储能类型对比!$C$19</c:f>
              <c:strCache>
                <c:ptCount val="1"/>
                <c:pt idx="0">
                  <c:v>单机容量（MW）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储能类型对比!$A$20:$A$31</c:f>
              <c:strCache>
                <c:ptCount val="12"/>
                <c:pt idx="0">
                  <c:v>蓄热</c:v>
                </c:pt>
                <c:pt idx="1">
                  <c:v>抽水储能</c:v>
                </c:pt>
                <c:pt idx="2">
                  <c:v>压缩空气储能</c:v>
                </c:pt>
                <c:pt idx="3">
                  <c:v>飞轮</c:v>
                </c:pt>
                <c:pt idx="4">
                  <c:v>铅酸蓄电池</c:v>
                </c:pt>
                <c:pt idx="5">
                  <c:v>镍镉蓄电池</c:v>
                </c:pt>
                <c:pt idx="6">
                  <c:v>钠硫电池</c:v>
                </c:pt>
                <c:pt idx="7">
                  <c:v>锂电池</c:v>
                </c:pt>
                <c:pt idx="8">
                  <c:v>液流电池</c:v>
                </c:pt>
                <c:pt idx="9">
                  <c:v>电容器</c:v>
                </c:pt>
                <c:pt idx="10">
                  <c:v>超级电容器</c:v>
                </c:pt>
                <c:pt idx="11">
                  <c:v>超导磁储能</c:v>
                </c:pt>
              </c:strCache>
            </c:strRef>
          </c:cat>
          <c:val>
            <c:numRef>
              <c:f>储能类型对比!$C$20:$C$31</c:f>
              <c:numCache>
                <c:formatCode>General</c:formatCode>
                <c:ptCount val="12"/>
                <c:pt idx="0">
                  <c:v>300</c:v>
                </c:pt>
                <c:pt idx="1">
                  <c:v>5000</c:v>
                </c:pt>
                <c:pt idx="2">
                  <c:v>400</c:v>
                </c:pt>
                <c:pt idx="3">
                  <c:v>0.25</c:v>
                </c:pt>
                <c:pt idx="4">
                  <c:v>40</c:v>
                </c:pt>
                <c:pt idx="5">
                  <c:v>40</c:v>
                </c:pt>
                <c:pt idx="6">
                  <c:v>8</c:v>
                </c:pt>
                <c:pt idx="7">
                  <c:v>0.1</c:v>
                </c:pt>
                <c:pt idx="8">
                  <c:v>15</c:v>
                </c:pt>
                <c:pt idx="9">
                  <c:v>0.05</c:v>
                </c:pt>
                <c:pt idx="10">
                  <c:v>0.3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2-42CD-A0C1-799F29285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89347264"/>
        <c:axId val="2089337472"/>
        <c:axId val="0"/>
      </c:bar3DChart>
      <c:catAx>
        <c:axId val="208934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9337472"/>
        <c:crosses val="autoZero"/>
        <c:auto val="1"/>
        <c:lblAlgn val="ctr"/>
        <c:lblOffset val="100"/>
        <c:noMultiLvlLbl val="0"/>
      </c:catAx>
      <c:valAx>
        <c:axId val="208933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934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储能类型对比!$D$19</c:f>
              <c:strCache>
                <c:ptCount val="1"/>
                <c:pt idx="0">
                  <c:v>储能密度（Wh/kg）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储能类型对比!$A$20:$A$31</c:f>
              <c:strCache>
                <c:ptCount val="12"/>
                <c:pt idx="0">
                  <c:v>蓄热</c:v>
                </c:pt>
                <c:pt idx="1">
                  <c:v>抽水储能</c:v>
                </c:pt>
                <c:pt idx="2">
                  <c:v>压缩空气储能</c:v>
                </c:pt>
                <c:pt idx="3">
                  <c:v>飞轮</c:v>
                </c:pt>
                <c:pt idx="4">
                  <c:v>铅酸蓄电池</c:v>
                </c:pt>
                <c:pt idx="5">
                  <c:v>镍镉蓄电池</c:v>
                </c:pt>
                <c:pt idx="6">
                  <c:v>钠硫电池</c:v>
                </c:pt>
                <c:pt idx="7">
                  <c:v>锂电池</c:v>
                </c:pt>
                <c:pt idx="8">
                  <c:v>液流电池</c:v>
                </c:pt>
                <c:pt idx="9">
                  <c:v>电容器</c:v>
                </c:pt>
                <c:pt idx="10">
                  <c:v>超级电容器</c:v>
                </c:pt>
                <c:pt idx="11">
                  <c:v>超导磁储能</c:v>
                </c:pt>
              </c:strCache>
            </c:strRef>
          </c:cat>
          <c:val>
            <c:numRef>
              <c:f>储能类型对比!$D$20:$D$31</c:f>
              <c:numCache>
                <c:formatCode>General</c:formatCode>
                <c:ptCount val="12"/>
                <c:pt idx="0">
                  <c:v>250</c:v>
                </c:pt>
                <c:pt idx="1">
                  <c:v>1.5</c:v>
                </c:pt>
                <c:pt idx="2">
                  <c:v>60</c:v>
                </c:pt>
                <c:pt idx="3">
                  <c:v>30</c:v>
                </c:pt>
                <c:pt idx="4">
                  <c:v>50</c:v>
                </c:pt>
                <c:pt idx="5">
                  <c:v>75</c:v>
                </c:pt>
                <c:pt idx="6">
                  <c:v>240</c:v>
                </c:pt>
                <c:pt idx="7">
                  <c:v>200</c:v>
                </c:pt>
                <c:pt idx="8">
                  <c:v>50</c:v>
                </c:pt>
                <c:pt idx="9">
                  <c:v>5</c:v>
                </c:pt>
                <c:pt idx="10">
                  <c:v>15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2-4C88-9BAC-24420F5B2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89344544"/>
        <c:axId val="2089349440"/>
        <c:axId val="0"/>
      </c:bar3DChart>
      <c:catAx>
        <c:axId val="208934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9349440"/>
        <c:crosses val="autoZero"/>
        <c:auto val="1"/>
        <c:lblAlgn val="ctr"/>
        <c:lblOffset val="100"/>
        <c:noMultiLvlLbl val="0"/>
      </c:catAx>
      <c:valAx>
        <c:axId val="208934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934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储能类型对比!$E$19</c:f>
              <c:strCache>
                <c:ptCount val="1"/>
                <c:pt idx="0">
                  <c:v>寿命（年）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储能类型对比!$A$20:$A$31</c:f>
              <c:strCache>
                <c:ptCount val="12"/>
                <c:pt idx="0">
                  <c:v>蓄热</c:v>
                </c:pt>
                <c:pt idx="1">
                  <c:v>抽水储能</c:v>
                </c:pt>
                <c:pt idx="2">
                  <c:v>压缩空气储能</c:v>
                </c:pt>
                <c:pt idx="3">
                  <c:v>飞轮</c:v>
                </c:pt>
                <c:pt idx="4">
                  <c:v>铅酸蓄电池</c:v>
                </c:pt>
                <c:pt idx="5">
                  <c:v>镍镉蓄电池</c:v>
                </c:pt>
                <c:pt idx="6">
                  <c:v>钠硫电池</c:v>
                </c:pt>
                <c:pt idx="7">
                  <c:v>锂电池</c:v>
                </c:pt>
                <c:pt idx="8">
                  <c:v>液流电池</c:v>
                </c:pt>
                <c:pt idx="9">
                  <c:v>电容器</c:v>
                </c:pt>
                <c:pt idx="10">
                  <c:v>超级电容器</c:v>
                </c:pt>
                <c:pt idx="11">
                  <c:v>超导磁储能</c:v>
                </c:pt>
              </c:strCache>
            </c:strRef>
          </c:cat>
          <c:val>
            <c:numRef>
              <c:f>储能类型对比!$E$20:$E$31</c:f>
              <c:numCache>
                <c:formatCode>General</c:formatCode>
                <c:ptCount val="12"/>
                <c:pt idx="0">
                  <c:v>40</c:v>
                </c:pt>
                <c:pt idx="1">
                  <c:v>60</c:v>
                </c:pt>
                <c:pt idx="2">
                  <c:v>60</c:v>
                </c:pt>
                <c:pt idx="3">
                  <c:v>15</c:v>
                </c:pt>
                <c:pt idx="4">
                  <c:v>15</c:v>
                </c:pt>
                <c:pt idx="5">
                  <c:v>20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5</c:v>
                </c:pt>
                <c:pt idx="10">
                  <c:v>20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C-4709-990E-53B75CDAA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89348896"/>
        <c:axId val="1756979888"/>
        <c:axId val="0"/>
      </c:bar3DChart>
      <c:catAx>
        <c:axId val="208934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56979888"/>
        <c:crosses val="autoZero"/>
        <c:auto val="1"/>
        <c:lblAlgn val="ctr"/>
        <c:lblOffset val="100"/>
        <c:noMultiLvlLbl val="0"/>
      </c:catAx>
      <c:valAx>
        <c:axId val="175697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934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储能类型对比!$G$19</c:f>
              <c:strCache>
                <c:ptCount val="1"/>
                <c:pt idx="0">
                  <c:v>环境影响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储能类型对比!$A$20:$A$31</c:f>
              <c:strCache>
                <c:ptCount val="12"/>
                <c:pt idx="0">
                  <c:v>蓄热</c:v>
                </c:pt>
                <c:pt idx="1">
                  <c:v>抽水储能</c:v>
                </c:pt>
                <c:pt idx="2">
                  <c:v>压缩空气储能</c:v>
                </c:pt>
                <c:pt idx="3">
                  <c:v>飞轮</c:v>
                </c:pt>
                <c:pt idx="4">
                  <c:v>铅酸蓄电池</c:v>
                </c:pt>
                <c:pt idx="5">
                  <c:v>镍镉蓄电池</c:v>
                </c:pt>
                <c:pt idx="6">
                  <c:v>钠硫电池</c:v>
                </c:pt>
                <c:pt idx="7">
                  <c:v>锂电池</c:v>
                </c:pt>
                <c:pt idx="8">
                  <c:v>液流电池</c:v>
                </c:pt>
                <c:pt idx="9">
                  <c:v>电容器</c:v>
                </c:pt>
                <c:pt idx="10">
                  <c:v>超级电容器</c:v>
                </c:pt>
                <c:pt idx="11">
                  <c:v>超导磁储能</c:v>
                </c:pt>
              </c:strCache>
            </c:strRef>
          </c:cat>
          <c:val>
            <c:numRef>
              <c:f>储能类型对比!$G$20:$G$31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0.1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C53-90FA-2EAEE5BE1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85180816"/>
        <c:axId val="2085179728"/>
        <c:axId val="0"/>
      </c:bar3DChart>
      <c:catAx>
        <c:axId val="208518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5179728"/>
        <c:crosses val="autoZero"/>
        <c:auto val="1"/>
        <c:lblAlgn val="ctr"/>
        <c:lblOffset val="100"/>
        <c:noMultiLvlLbl val="0"/>
      </c:catAx>
      <c:valAx>
        <c:axId val="208517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518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储能类型对比!$A$55</c:f>
              <c:strCache>
                <c:ptCount val="1"/>
                <c:pt idx="0">
                  <c:v>人均装机（kW/人）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储能类型对比!$B$54:$C$54</c:f>
              <c:numCache>
                <c:formatCode>General</c:formatCode>
                <c:ptCount val="2"/>
                <c:pt idx="0">
                  <c:v>2015</c:v>
                </c:pt>
                <c:pt idx="1">
                  <c:v>2020</c:v>
                </c:pt>
              </c:numCache>
            </c:numRef>
          </c:cat>
          <c:val>
            <c:numRef>
              <c:f>储能类型对比!$B$55:$C$55</c:f>
              <c:numCache>
                <c:formatCode>General</c:formatCode>
                <c:ptCount val="2"/>
                <c:pt idx="0">
                  <c:v>1.1100000000000001</c:v>
                </c:pt>
                <c:pt idx="1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8A-414D-B1DB-C2C65D7C7B2E}"/>
            </c:ext>
          </c:extLst>
        </c:ser>
        <c:ser>
          <c:idx val="1"/>
          <c:order val="1"/>
          <c:tx>
            <c:strRef>
              <c:f>储能类型对比!$A$56</c:f>
              <c:strCache>
                <c:ptCount val="1"/>
                <c:pt idx="0">
                  <c:v>人均用电量（kWh）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储能类型对比!$B$54:$C$54</c:f>
              <c:numCache>
                <c:formatCode>General</c:formatCode>
                <c:ptCount val="2"/>
                <c:pt idx="0">
                  <c:v>2015</c:v>
                </c:pt>
                <c:pt idx="1">
                  <c:v>2020</c:v>
                </c:pt>
              </c:numCache>
            </c:numRef>
          </c:cat>
          <c:val>
            <c:numRef>
              <c:f>储能类型对比!$B$56:$C$56</c:f>
              <c:numCache>
                <c:formatCode>General</c:formatCode>
                <c:ptCount val="2"/>
                <c:pt idx="0">
                  <c:v>4142</c:v>
                </c:pt>
                <c:pt idx="1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8A-414D-B1DB-C2C65D7C7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20334432"/>
        <c:axId val="2120345312"/>
        <c:axId val="0"/>
      </c:bar3DChart>
      <c:catAx>
        <c:axId val="212033443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0345312"/>
        <c:crosses val="autoZero"/>
        <c:auto val="1"/>
        <c:lblAlgn val="ctr"/>
        <c:lblOffset val="100"/>
        <c:noMultiLvlLbl val="0"/>
      </c:catAx>
      <c:valAx>
        <c:axId val="212034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033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“电力发展”十三五规划</a:t>
            </a:r>
            <a:endParaRPr lang="zh-CN"/>
          </a:p>
        </c:rich>
      </c:tx>
      <c:layout>
        <c:manualLayout>
          <c:xMode val="edge"/>
          <c:yMode val="edge"/>
          <c:x val="1.493743939058667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1882561717791"/>
          <c:y val="0.17685185185185184"/>
          <c:w val="0.6797316454350586"/>
          <c:h val="0.609845435987168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储能类型对比!$A$55</c:f>
              <c:strCache>
                <c:ptCount val="1"/>
                <c:pt idx="0">
                  <c:v>人均装机（kW/人）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储能类型对比!$B$54:$C$54</c:f>
              <c:numCache>
                <c:formatCode>General</c:formatCode>
                <c:ptCount val="2"/>
                <c:pt idx="0">
                  <c:v>2015</c:v>
                </c:pt>
                <c:pt idx="1">
                  <c:v>2020</c:v>
                </c:pt>
              </c:numCache>
            </c:numRef>
          </c:cat>
          <c:val>
            <c:numRef>
              <c:f>储能类型对比!$B$55:$C$55</c:f>
              <c:numCache>
                <c:formatCode>General</c:formatCode>
                <c:ptCount val="2"/>
                <c:pt idx="0">
                  <c:v>1.1100000000000001</c:v>
                </c:pt>
                <c:pt idx="1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2-461D-9BA3-3DD7035FA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2120332800"/>
        <c:axId val="2120337152"/>
      </c:barChart>
      <c:lineChart>
        <c:grouping val="standard"/>
        <c:varyColors val="0"/>
        <c:ser>
          <c:idx val="1"/>
          <c:order val="1"/>
          <c:tx>
            <c:strRef>
              <c:f>储能类型对比!$A$56</c:f>
              <c:strCache>
                <c:ptCount val="1"/>
                <c:pt idx="0">
                  <c:v>人均用电量（kWh）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储能类型对比!$B$54:$C$54</c:f>
              <c:numCache>
                <c:formatCode>General</c:formatCode>
                <c:ptCount val="2"/>
                <c:pt idx="0">
                  <c:v>2015</c:v>
                </c:pt>
                <c:pt idx="1">
                  <c:v>2020</c:v>
                </c:pt>
              </c:numCache>
            </c:numRef>
          </c:cat>
          <c:val>
            <c:numRef>
              <c:f>储能类型对比!$B$56:$C$56</c:f>
              <c:numCache>
                <c:formatCode>General</c:formatCode>
                <c:ptCount val="2"/>
                <c:pt idx="0">
                  <c:v>4142</c:v>
                </c:pt>
                <c:pt idx="1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C2-461D-9BA3-3DD7035FA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0344224"/>
        <c:axId val="2120345856"/>
      </c:lineChart>
      <c:valAx>
        <c:axId val="212034585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0344224"/>
        <c:crosses val="max"/>
        <c:crossBetween val="between"/>
      </c:valAx>
      <c:catAx>
        <c:axId val="212034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0345856"/>
        <c:crosses val="autoZero"/>
        <c:auto val="1"/>
        <c:lblAlgn val="ctr"/>
        <c:lblOffset val="100"/>
        <c:noMultiLvlLbl val="0"/>
      </c:catAx>
      <c:valAx>
        <c:axId val="2120337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0332800"/>
        <c:crosses val="autoZero"/>
        <c:crossBetween val="between"/>
      </c:valAx>
      <c:catAx>
        <c:axId val="21203328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203371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670559</xdr:colOff>
      <xdr:row>0</xdr:row>
      <xdr:rowOff>121920</xdr:rowOff>
    </xdr:from>
    <xdr:to>
      <xdr:col>9</xdr:col>
      <xdr:colOff>422910</xdr:colOff>
      <xdr:row>16</xdr:row>
      <xdr:rowOff>43815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133350</xdr:colOff>
      <xdr:row>17</xdr:row>
      <xdr:rowOff>100012</xdr:rowOff>
    </xdr:from>
    <xdr:to>
      <xdr:col>13</xdr:col>
      <xdr:colOff>590550</xdr:colOff>
      <xdr:row>33</xdr:row>
      <xdr:rowOff>100012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209550</xdr:colOff>
      <xdr:row>17</xdr:row>
      <xdr:rowOff>71437</xdr:rowOff>
    </xdr:from>
    <xdr:to>
      <xdr:col>20</xdr:col>
      <xdr:colOff>666750</xdr:colOff>
      <xdr:row>33</xdr:row>
      <xdr:rowOff>71437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118110</xdr:colOff>
      <xdr:row>34</xdr:row>
      <xdr:rowOff>109537</xdr:rowOff>
    </xdr:from>
    <xdr:to>
      <xdr:col>13</xdr:col>
      <xdr:colOff>552450</xdr:colOff>
      <xdr:row>50</xdr:row>
      <xdr:rowOff>109537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28575</xdr:colOff>
      <xdr:row>34</xdr:row>
      <xdr:rowOff>100012</xdr:rowOff>
    </xdr:from>
    <xdr:to>
      <xdr:col>20</xdr:col>
      <xdr:colOff>485775</xdr:colOff>
      <xdr:row>50</xdr:row>
      <xdr:rowOff>100012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1764030</xdr:colOff>
      <xdr:row>59</xdr:row>
      <xdr:rowOff>94297</xdr:rowOff>
    </xdr:from>
    <xdr:to>
      <xdr:col>7</xdr:col>
      <xdr:colOff>300990</xdr:colOff>
      <xdr:row>75</xdr:row>
      <xdr:rowOff>94297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185737</xdr:colOff>
      <xdr:row>59</xdr:row>
      <xdr:rowOff>130492</xdr:rowOff>
    </xdr:from>
    <xdr:to>
      <xdr:col>2</xdr:col>
      <xdr:colOff>1375410</xdr:colOff>
      <xdr:row>75</xdr:row>
      <xdr:rowOff>130492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06"/>
  <sheetViews>
    <sheetView tabSelected="1" workbookViewId="0">
      <selection activeCell="B50" sqref="B50"/>
    </sheetView>
  </sheetViews>
  <sheetFormatPr defaultRowHeight="13.5" x14ac:dyDescent="0.15"/>
  <cols>
    <col min="1" max="1" width="33.875" customWidth="1"/>
    <col min="2" max="2" width="36.875" customWidth="1"/>
    <col min="3" max="3" width="37.5" customWidth="1"/>
    <col min="4" max="4" width="16.125" customWidth="1"/>
  </cols>
  <sheetData>
    <row r="2" spans="1:2" x14ac:dyDescent="0.15">
      <c r="A2" t="s">
        <v>1</v>
      </c>
      <c r="B2">
        <v>64820</v>
      </c>
    </row>
    <row r="3" spans="1:2" x14ac:dyDescent="0.15">
      <c r="A3" t="s">
        <v>0</v>
      </c>
      <c r="B3">
        <v>135009</v>
      </c>
    </row>
    <row r="4" spans="1:2" x14ac:dyDescent="0.15">
      <c r="A4" t="s">
        <v>2</v>
      </c>
      <c r="B4">
        <f>SUM(B5:B9)</f>
        <v>2677</v>
      </c>
    </row>
    <row r="5" spans="1:2" x14ac:dyDescent="0.15">
      <c r="A5" t="s">
        <v>3</v>
      </c>
      <c r="B5">
        <v>440</v>
      </c>
    </row>
    <row r="6" spans="1:2" x14ac:dyDescent="0.15">
      <c r="A6" t="s">
        <v>4</v>
      </c>
      <c r="B6">
        <v>594</v>
      </c>
    </row>
    <row r="7" spans="1:2" x14ac:dyDescent="0.15">
      <c r="A7" t="s">
        <v>5</v>
      </c>
      <c r="B7">
        <v>1000</v>
      </c>
    </row>
    <row r="8" spans="1:2" x14ac:dyDescent="0.15">
      <c r="A8" t="s">
        <v>6</v>
      </c>
      <c r="B8">
        <v>601</v>
      </c>
    </row>
    <row r="9" spans="1:2" x14ac:dyDescent="0.15">
      <c r="A9" t="s">
        <v>7</v>
      </c>
      <c r="B9">
        <v>42</v>
      </c>
    </row>
    <row r="19" spans="1:7" x14ac:dyDescent="0.15">
      <c r="A19" s="1" t="s">
        <v>31</v>
      </c>
      <c r="B19" s="1" t="s">
        <v>20</v>
      </c>
      <c r="C19" s="1" t="s">
        <v>33</v>
      </c>
      <c r="D19" s="1" t="s">
        <v>32</v>
      </c>
      <c r="E19" s="1" t="s">
        <v>34</v>
      </c>
      <c r="F19" s="1" t="s">
        <v>21</v>
      </c>
      <c r="G19" s="1" t="s">
        <v>22</v>
      </c>
    </row>
    <row r="20" spans="1:7" x14ac:dyDescent="0.15">
      <c r="A20" s="1" t="s">
        <v>8</v>
      </c>
      <c r="B20" s="1">
        <v>60</v>
      </c>
      <c r="C20" s="1">
        <v>300</v>
      </c>
      <c r="D20" s="1">
        <v>250</v>
      </c>
      <c r="E20" s="1">
        <v>40</v>
      </c>
      <c r="F20" s="1" t="s">
        <v>23</v>
      </c>
      <c r="G20" s="1">
        <v>1</v>
      </c>
    </row>
    <row r="21" spans="1:7" x14ac:dyDescent="0.15">
      <c r="A21" s="1" t="s">
        <v>9</v>
      </c>
      <c r="B21" s="1">
        <v>85</v>
      </c>
      <c r="C21" s="1">
        <v>5000</v>
      </c>
      <c r="D21" s="1">
        <v>1.5</v>
      </c>
      <c r="E21" s="1">
        <v>60</v>
      </c>
      <c r="F21" s="1" t="s">
        <v>24</v>
      </c>
      <c r="G21" s="1">
        <v>3</v>
      </c>
    </row>
    <row r="22" spans="1:7" x14ac:dyDescent="0.15">
      <c r="A22" s="1" t="s">
        <v>10</v>
      </c>
      <c r="B22" s="1">
        <v>89</v>
      </c>
      <c r="C22" s="1">
        <v>400</v>
      </c>
      <c r="D22" s="1">
        <v>60</v>
      </c>
      <c r="E22" s="1">
        <v>60</v>
      </c>
      <c r="F22" s="1" t="s">
        <v>30</v>
      </c>
      <c r="G22" s="1">
        <v>3</v>
      </c>
    </row>
    <row r="23" spans="1:7" x14ac:dyDescent="0.15">
      <c r="A23" s="1" t="s">
        <v>11</v>
      </c>
      <c r="B23" s="1">
        <v>95</v>
      </c>
      <c r="C23" s="1">
        <v>0.25</v>
      </c>
      <c r="D23" s="1">
        <v>30</v>
      </c>
      <c r="E23" s="1">
        <v>15</v>
      </c>
      <c r="F23" s="1" t="s">
        <v>25</v>
      </c>
      <c r="G23" s="1">
        <v>0.1</v>
      </c>
    </row>
    <row r="24" spans="1:7" x14ac:dyDescent="0.15">
      <c r="A24" s="1" t="s">
        <v>12</v>
      </c>
      <c r="B24" s="1">
        <v>90</v>
      </c>
      <c r="C24" s="1">
        <v>40</v>
      </c>
      <c r="D24" s="1">
        <v>50</v>
      </c>
      <c r="E24" s="1">
        <v>15</v>
      </c>
      <c r="F24" s="1" t="s">
        <v>26</v>
      </c>
      <c r="G24" s="1">
        <v>3</v>
      </c>
    </row>
    <row r="25" spans="1:7" x14ac:dyDescent="0.15">
      <c r="A25" s="1" t="s">
        <v>13</v>
      </c>
      <c r="B25" s="1">
        <v>65</v>
      </c>
      <c r="C25" s="1">
        <v>40</v>
      </c>
      <c r="D25" s="1">
        <v>75</v>
      </c>
      <c r="E25" s="1">
        <v>20</v>
      </c>
      <c r="F25" s="1" t="s">
        <v>27</v>
      </c>
      <c r="G25" s="1">
        <v>3</v>
      </c>
    </row>
    <row r="26" spans="1:7" x14ac:dyDescent="0.15">
      <c r="A26" s="1" t="s">
        <v>14</v>
      </c>
      <c r="B26" s="1">
        <v>90</v>
      </c>
      <c r="C26" s="1">
        <v>8</v>
      </c>
      <c r="D26" s="1">
        <v>240</v>
      </c>
      <c r="E26" s="1">
        <v>15</v>
      </c>
      <c r="F26" s="1" t="s">
        <v>27</v>
      </c>
      <c r="G26" s="1">
        <v>3</v>
      </c>
    </row>
    <row r="27" spans="1:7" x14ac:dyDescent="0.15">
      <c r="A27" s="1" t="s">
        <v>15</v>
      </c>
      <c r="B27" s="1">
        <v>90</v>
      </c>
      <c r="C27" s="1">
        <v>0.1</v>
      </c>
      <c r="D27" s="1">
        <v>200</v>
      </c>
      <c r="E27" s="1">
        <v>15</v>
      </c>
      <c r="F27" s="1" t="s">
        <v>25</v>
      </c>
      <c r="G27" s="1">
        <v>3</v>
      </c>
    </row>
    <row r="28" spans="1:7" x14ac:dyDescent="0.15">
      <c r="A28" s="1" t="s">
        <v>16</v>
      </c>
      <c r="B28" s="1">
        <v>85</v>
      </c>
      <c r="C28" s="1">
        <v>15</v>
      </c>
      <c r="D28" s="1">
        <v>50</v>
      </c>
      <c r="E28" s="1">
        <v>15</v>
      </c>
      <c r="F28" s="1" t="s">
        <v>28</v>
      </c>
      <c r="G28" s="1">
        <v>3</v>
      </c>
    </row>
    <row r="29" spans="1:7" x14ac:dyDescent="0.15">
      <c r="A29" s="1" t="s">
        <v>17</v>
      </c>
      <c r="B29" s="1">
        <v>65</v>
      </c>
      <c r="C29" s="1">
        <v>0.05</v>
      </c>
      <c r="D29" s="1">
        <v>5</v>
      </c>
      <c r="E29" s="1">
        <v>5</v>
      </c>
      <c r="F29" s="1" t="s">
        <v>29</v>
      </c>
      <c r="G29" s="1">
        <v>1</v>
      </c>
    </row>
    <row r="30" spans="1:7" x14ac:dyDescent="0.15">
      <c r="A30" s="1" t="s">
        <v>18</v>
      </c>
      <c r="B30" s="1">
        <v>95</v>
      </c>
      <c r="C30" s="1">
        <v>0.3</v>
      </c>
      <c r="D30" s="1">
        <v>15</v>
      </c>
      <c r="E30" s="1">
        <v>20</v>
      </c>
      <c r="F30" s="1" t="s">
        <v>29</v>
      </c>
      <c r="G30" s="1">
        <v>1</v>
      </c>
    </row>
    <row r="31" spans="1:7" x14ac:dyDescent="0.15">
      <c r="A31" s="1" t="s">
        <v>19</v>
      </c>
      <c r="B31" s="1">
        <v>98</v>
      </c>
      <c r="C31" s="1">
        <v>10</v>
      </c>
      <c r="D31" s="1">
        <v>5</v>
      </c>
      <c r="E31" s="1">
        <v>20</v>
      </c>
      <c r="F31" s="1" t="s">
        <v>25</v>
      </c>
      <c r="G31" s="1">
        <v>-1</v>
      </c>
    </row>
    <row r="54" spans="1:4" x14ac:dyDescent="0.15">
      <c r="B54">
        <v>2015</v>
      </c>
      <c r="C54">
        <v>2020</v>
      </c>
    </row>
    <row r="55" spans="1:4" x14ac:dyDescent="0.15">
      <c r="A55" t="s">
        <v>35</v>
      </c>
      <c r="B55">
        <v>1.1100000000000001</v>
      </c>
      <c r="C55">
        <v>1.4</v>
      </c>
      <c r="D55">
        <f>(C55-B55)/B55</f>
        <v>0.26126126126126109</v>
      </c>
    </row>
    <row r="56" spans="1:4" x14ac:dyDescent="0.15">
      <c r="A56" t="s">
        <v>36</v>
      </c>
      <c r="B56">
        <v>4142</v>
      </c>
      <c r="C56">
        <v>5000</v>
      </c>
      <c r="D56">
        <f>(C56-B56)/B56</f>
        <v>0.20714630613230323</v>
      </c>
    </row>
    <row r="83" spans="1:1" ht="15" thickBot="1" x14ac:dyDescent="0.2">
      <c r="A83" s="10"/>
    </row>
    <row r="84" spans="1:1" ht="15" thickBot="1" x14ac:dyDescent="0.2">
      <c r="A84" s="10"/>
    </row>
    <row r="85" spans="1:1" ht="15" thickBot="1" x14ac:dyDescent="0.2">
      <c r="A85" s="10"/>
    </row>
    <row r="86" spans="1:1" ht="15" thickBot="1" x14ac:dyDescent="0.2">
      <c r="A86" s="10"/>
    </row>
    <row r="87" spans="1:1" ht="15" thickBot="1" x14ac:dyDescent="0.2">
      <c r="A87" s="10"/>
    </row>
    <row r="88" spans="1:1" ht="15" thickBot="1" x14ac:dyDescent="0.2">
      <c r="A88" s="10"/>
    </row>
    <row r="89" spans="1:1" ht="15" thickBot="1" x14ac:dyDescent="0.2">
      <c r="A89" s="10"/>
    </row>
    <row r="90" spans="1:1" ht="15" thickBot="1" x14ac:dyDescent="0.2">
      <c r="A90" s="10"/>
    </row>
    <row r="91" spans="1:1" ht="15" thickBot="1" x14ac:dyDescent="0.2">
      <c r="A91" s="10"/>
    </row>
    <row r="92" spans="1:1" ht="15" thickBot="1" x14ac:dyDescent="0.2">
      <c r="A92" s="10"/>
    </row>
    <row r="93" spans="1:1" ht="15" thickBot="1" x14ac:dyDescent="0.2">
      <c r="A93" s="10"/>
    </row>
    <row r="94" spans="1:1" ht="15" thickBot="1" x14ac:dyDescent="0.2">
      <c r="A94" s="10"/>
    </row>
    <row r="95" spans="1:1" ht="15" thickBot="1" x14ac:dyDescent="0.2">
      <c r="A95" s="10"/>
    </row>
    <row r="96" spans="1:1" ht="15" thickBot="1" x14ac:dyDescent="0.2">
      <c r="A96" s="10"/>
    </row>
    <row r="97" spans="1:1" ht="15" thickBot="1" x14ac:dyDescent="0.2">
      <c r="A97" s="10"/>
    </row>
    <row r="98" spans="1:1" ht="15" thickBot="1" x14ac:dyDescent="0.2">
      <c r="A98" s="10"/>
    </row>
    <row r="99" spans="1:1" ht="15" thickBot="1" x14ac:dyDescent="0.2">
      <c r="A99" s="10"/>
    </row>
    <row r="100" spans="1:1" ht="15" thickBot="1" x14ac:dyDescent="0.2">
      <c r="A100" s="10"/>
    </row>
    <row r="101" spans="1:1" ht="15" thickBot="1" x14ac:dyDescent="0.2">
      <c r="A101" s="10"/>
    </row>
    <row r="102" spans="1:1" ht="15" thickBot="1" x14ac:dyDescent="0.2">
      <c r="A102" s="10"/>
    </row>
    <row r="103" spans="1:1" ht="15" thickBot="1" x14ac:dyDescent="0.2">
      <c r="A103" s="10"/>
    </row>
    <row r="104" spans="1:1" ht="15" thickBot="1" x14ac:dyDescent="0.2">
      <c r="A104" s="10"/>
    </row>
    <row r="105" spans="1:1" ht="15" thickBot="1" x14ac:dyDescent="0.2">
      <c r="A105" s="10"/>
    </row>
    <row r="106" spans="1:1" ht="15" thickBot="1" x14ac:dyDescent="0.2">
      <c r="A106" s="10"/>
    </row>
  </sheetData>
  <phoneticPr fontId="1" type="noConversion"/>
  <pageMargins left="0.7" right="0.7" top="0.75" bottom="0.75" header="0.3" footer="0.3"/>
  <pageSetup paperSize="9"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C49" sqref="C49"/>
    </sheetView>
  </sheetViews>
  <sheetFormatPr defaultRowHeight="13.5" x14ac:dyDescent="0.15"/>
  <cols>
    <col min="1" max="1" width="21" customWidth="1"/>
    <col min="2" max="2" width="19.625" customWidth="1"/>
    <col min="3" max="3" width="20.5" customWidth="1"/>
    <col min="4" max="4" width="14.5" customWidth="1"/>
  </cols>
  <sheetData>
    <row r="1" spans="1:4" x14ac:dyDescent="0.15">
      <c r="A1" s="2"/>
      <c r="B1" s="2" t="s">
        <v>60</v>
      </c>
      <c r="C1" s="2"/>
      <c r="D1" s="2"/>
    </row>
    <row r="2" spans="1:4" x14ac:dyDescent="0.15">
      <c r="A2" s="8" t="s">
        <v>37</v>
      </c>
      <c r="B2" s="2">
        <v>50</v>
      </c>
      <c r="C2" s="8"/>
      <c r="D2" s="2"/>
    </row>
    <row r="3" spans="1:4" x14ac:dyDescent="0.15">
      <c r="A3" s="9" t="s">
        <v>44</v>
      </c>
      <c r="B3" s="2"/>
      <c r="C3" s="9"/>
      <c r="D3" s="2"/>
    </row>
    <row r="4" spans="1:4" x14ac:dyDescent="0.15">
      <c r="A4" s="9" t="s">
        <v>46</v>
      </c>
      <c r="B4" s="2"/>
      <c r="C4" s="9"/>
      <c r="D4" s="2"/>
    </row>
    <row r="5" spans="1:4" x14ac:dyDescent="0.15">
      <c r="A5" s="9" t="s">
        <v>45</v>
      </c>
      <c r="B5" s="2"/>
      <c r="C5" s="9"/>
      <c r="D5" s="2"/>
    </row>
    <row r="6" spans="1:4" x14ac:dyDescent="0.15">
      <c r="A6" s="21" t="s">
        <v>126</v>
      </c>
      <c r="B6" s="22">
        <v>14</v>
      </c>
      <c r="C6" s="21"/>
      <c r="D6" s="22"/>
    </row>
    <row r="7" spans="1:4" x14ac:dyDescent="0.15">
      <c r="A7" s="21" t="s">
        <v>127</v>
      </c>
      <c r="B7" s="22">
        <v>10</v>
      </c>
      <c r="C7" s="21"/>
      <c r="D7" s="22"/>
    </row>
    <row r="8" spans="1:4" x14ac:dyDescent="0.15">
      <c r="A8" s="21" t="s">
        <v>128</v>
      </c>
      <c r="B8" s="22"/>
      <c r="C8" s="21"/>
      <c r="D8" s="22"/>
    </row>
    <row r="9" spans="1:4" x14ac:dyDescent="0.15">
      <c r="A9" s="9" t="s">
        <v>38</v>
      </c>
      <c r="B9" s="2">
        <v>0.22</v>
      </c>
      <c r="C9" s="9"/>
      <c r="D9" s="2"/>
    </row>
    <row r="10" spans="1:4" x14ac:dyDescent="0.15">
      <c r="A10" s="9" t="s">
        <v>39</v>
      </c>
      <c r="B10" s="2">
        <v>26</v>
      </c>
      <c r="C10" s="9"/>
      <c r="D10" s="2"/>
    </row>
    <row r="11" spans="1:4" x14ac:dyDescent="0.15">
      <c r="A11" s="9" t="s">
        <v>40</v>
      </c>
      <c r="B11" s="2">
        <v>20000</v>
      </c>
      <c r="C11" s="9"/>
      <c r="D11" s="2"/>
    </row>
    <row r="12" spans="1:4" x14ac:dyDescent="0.15">
      <c r="A12" s="3" t="s">
        <v>41</v>
      </c>
      <c r="B12" s="2">
        <f>采暖指标_w_m2*面积_m2/1000</f>
        <v>1000</v>
      </c>
      <c r="C12" s="3"/>
      <c r="D12" s="2"/>
    </row>
    <row r="13" spans="1:4" x14ac:dyDescent="0.15">
      <c r="A13" s="2" t="s">
        <v>42</v>
      </c>
      <c r="B13" s="2">
        <v>300</v>
      </c>
      <c r="C13" s="2"/>
      <c r="D13" s="2"/>
    </row>
    <row r="14" spans="1:4" x14ac:dyDescent="0.15">
      <c r="A14" s="2" t="s">
        <v>43</v>
      </c>
      <c r="B14" s="2">
        <v>1.55</v>
      </c>
      <c r="C14" s="2"/>
      <c r="D14" s="2"/>
    </row>
    <row r="15" spans="1:4" x14ac:dyDescent="0.15">
      <c r="A15" s="3" t="s">
        <v>125</v>
      </c>
      <c r="B15" s="2">
        <v>0.95</v>
      </c>
      <c r="C15" s="3"/>
      <c r="D15" s="2"/>
    </row>
    <row r="16" spans="1:4" x14ac:dyDescent="0.15">
      <c r="A16" s="3" t="s">
        <v>48</v>
      </c>
      <c r="B16" s="4">
        <f>上班时间_h*供热功率_kw*0.0036/换热系统效率</f>
        <v>53.05263157894737</v>
      </c>
      <c r="C16" s="3"/>
      <c r="D16" s="4"/>
    </row>
    <row r="17" spans="1:4" x14ac:dyDescent="0.15">
      <c r="A17" s="2" t="s">
        <v>49</v>
      </c>
      <c r="B17" s="2">
        <v>0.05</v>
      </c>
      <c r="C17" s="2"/>
      <c r="D17" s="2"/>
    </row>
    <row r="18" spans="1:4" x14ac:dyDescent="0.15">
      <c r="A18" s="3" t="s">
        <v>47</v>
      </c>
      <c r="B18" s="4">
        <f>蓄热量_GJ*1000/比热_kJ__kg·℃/熔盐温升_℃*(1+熔盐富裕量)</f>
        <v>119.79626485568761</v>
      </c>
      <c r="C18" s="3"/>
      <c r="D18" s="4"/>
    </row>
    <row r="19" spans="1:4" x14ac:dyDescent="0.15">
      <c r="A19" s="2" t="s">
        <v>52</v>
      </c>
      <c r="B19" s="2">
        <v>1752</v>
      </c>
      <c r="C19" s="2"/>
      <c r="D19" s="2"/>
    </row>
    <row r="20" spans="1:4" x14ac:dyDescent="0.15">
      <c r="A20" s="2" t="s">
        <v>54</v>
      </c>
      <c r="B20" s="5">
        <v>0.9</v>
      </c>
      <c r="C20" s="2"/>
      <c r="D20" s="5"/>
    </row>
    <row r="21" spans="1:4" x14ac:dyDescent="0.15">
      <c r="A21" s="3" t="s">
        <v>50</v>
      </c>
      <c r="B21" s="4">
        <f>熔盐质量_t*1000/高温密度_kg_m3/填装系数</f>
        <v>75.974292780116443</v>
      </c>
      <c r="C21" s="3"/>
      <c r="D21" s="4"/>
    </row>
    <row r="22" spans="1:4" x14ac:dyDescent="0.15">
      <c r="A22" s="2" t="s">
        <v>53</v>
      </c>
      <c r="B22" s="2">
        <v>1954</v>
      </c>
      <c r="C22" s="2"/>
      <c r="D22" s="2"/>
    </row>
    <row r="23" spans="1:4" x14ac:dyDescent="0.15">
      <c r="A23" s="3" t="s">
        <v>51</v>
      </c>
      <c r="B23" s="4">
        <f>熔盐质量_t*1000/低温密度_kg_m3/填装系数</f>
        <v>68.120246136522013</v>
      </c>
      <c r="C23" s="3"/>
      <c r="D23" s="4"/>
    </row>
    <row r="24" spans="1:4" x14ac:dyDescent="0.15">
      <c r="A24" s="3" t="s">
        <v>55</v>
      </c>
      <c r="B24" s="2">
        <v>0.96</v>
      </c>
      <c r="C24" s="3"/>
      <c r="D24" s="2"/>
    </row>
    <row r="25" spans="1:4" x14ac:dyDescent="0.15">
      <c r="A25" s="3" t="s">
        <v>56</v>
      </c>
      <c r="B25" s="7">
        <f>(供热功率_kw/换热系统效率/电加热器效率)*上班时间_h/储热时间_h</f>
        <v>1535.0877192982457</v>
      </c>
      <c r="C25" s="3"/>
      <c r="D25" s="7"/>
    </row>
    <row r="26" spans="1:4" x14ac:dyDescent="0.15">
      <c r="A26" s="3" t="s">
        <v>57</v>
      </c>
      <c r="B26" s="7">
        <f>供热功率_kw/换热系统效率/电加热器效率</f>
        <v>1096.4912280701756</v>
      </c>
      <c r="C26" s="3"/>
      <c r="D26" s="7"/>
    </row>
    <row r="27" spans="1:4" x14ac:dyDescent="0.15">
      <c r="A27" s="23" t="s">
        <v>63</v>
      </c>
      <c r="B27" s="5">
        <f>(供热功率_kw/换热系统效率)/(比热_kJ__kg·℃*熔盐温升_℃*高温密度_kg_m3)*3600*(1+50%)</f>
        <v>6.9772309696025321</v>
      </c>
      <c r="C27" s="23"/>
      <c r="D27" s="5"/>
    </row>
    <row r="28" spans="1:4" x14ac:dyDescent="0.15">
      <c r="A28" s="2" t="s">
        <v>124</v>
      </c>
      <c r="B28" s="5">
        <f>熔盐质量_t*1000/低温密度_kg_m3/1.5</f>
        <v>40.872147681913205</v>
      </c>
      <c r="C28" s="2"/>
      <c r="D28" s="5"/>
    </row>
    <row r="29" spans="1:4" x14ac:dyDescent="0.15">
      <c r="A29" s="2" t="s">
        <v>123</v>
      </c>
      <c r="B29" s="5">
        <f>供热功率_kw/(4.2*85)*3.6</f>
        <v>10.084033613445378</v>
      </c>
      <c r="C29" s="2"/>
      <c r="D29" s="5"/>
    </row>
    <row r="30" spans="1:4" x14ac:dyDescent="0.15">
      <c r="A30" s="6" t="s">
        <v>58</v>
      </c>
      <c r="B30" s="2">
        <v>210</v>
      </c>
      <c r="C30" s="6"/>
      <c r="D30" s="2"/>
    </row>
    <row r="31" spans="1:4" x14ac:dyDescent="0.15">
      <c r="A31" s="6" t="s">
        <v>59</v>
      </c>
      <c r="B31" s="2">
        <v>105</v>
      </c>
      <c r="C31" s="6"/>
      <c r="D31" s="2"/>
    </row>
    <row r="32" spans="1:4" x14ac:dyDescent="0.15">
      <c r="A32" s="23" t="s">
        <v>61</v>
      </c>
      <c r="B32" s="2">
        <v>90</v>
      </c>
      <c r="C32" s="23"/>
      <c r="D32" s="2"/>
    </row>
    <row r="33" spans="1:4" x14ac:dyDescent="0.15">
      <c r="A33" s="24" t="s">
        <v>62</v>
      </c>
      <c r="B33" s="2">
        <v>0.7</v>
      </c>
      <c r="C33" s="24"/>
      <c r="D33" s="2"/>
    </row>
    <row r="34" spans="1:4" ht="14.25" thickBot="1" x14ac:dyDescent="0.2"/>
    <row r="35" spans="1:4" ht="19.5" thickBot="1" x14ac:dyDescent="0.2">
      <c r="A35" s="17"/>
    </row>
    <row r="36" spans="1:4" ht="19.5" thickBot="1" x14ac:dyDescent="0.2">
      <c r="A36" s="18"/>
    </row>
    <row r="37" spans="1:4" ht="19.5" thickBot="1" x14ac:dyDescent="0.2">
      <c r="A37" s="18"/>
    </row>
    <row r="38" spans="1:4" ht="19.5" thickBot="1" x14ac:dyDescent="0.2">
      <c r="A38" s="19"/>
    </row>
    <row r="39" spans="1:4" ht="19.5" thickBot="1" x14ac:dyDescent="0.2">
      <c r="A39" s="19"/>
    </row>
    <row r="40" spans="1:4" ht="19.5" thickBot="1" x14ac:dyDescent="0.2">
      <c r="A40" s="19"/>
    </row>
    <row r="41" spans="1:4" ht="19.5" thickBot="1" x14ac:dyDescent="0.2">
      <c r="A41" s="19"/>
    </row>
    <row r="42" spans="1:4" ht="19.5" thickBot="1" x14ac:dyDescent="0.2">
      <c r="A42" s="19"/>
    </row>
    <row r="43" spans="1:4" ht="19.5" thickBot="1" x14ac:dyDescent="0.2">
      <c r="A43" s="18"/>
    </row>
    <row r="44" spans="1:4" ht="19.5" thickBot="1" x14ac:dyDescent="0.2">
      <c r="A44" s="18"/>
    </row>
    <row r="45" spans="1:4" ht="18.75" x14ac:dyDescent="0.25">
      <c r="A45" s="20"/>
    </row>
  </sheetData>
  <phoneticPr fontId="1" type="noConversion"/>
  <pageMargins left="0.7" right="0.7" top="0.75" bottom="0.75" header="0.3" footer="0.3"/>
  <pageSetup paperSize="9" orientation="portrait" r:id="rId1"/>
  <legacy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2"/>
  <sheetViews>
    <sheetView workbookViewId="0">
      <selection activeCell="B10" sqref="B10"/>
    </sheetView>
  </sheetViews>
  <sheetFormatPr defaultRowHeight="13.5" x14ac:dyDescent="0.15"/>
  <cols>
    <col min="1" max="1" width="22.875" customWidth="1"/>
    <col min="2" max="2" width="38.375" customWidth="1"/>
    <col min="3" max="3" width="9" customWidth="1"/>
    <col min="5" max="5" width="10.5" bestFit="1" customWidth="1"/>
    <col min="6" max="6" width="12.5" customWidth="1"/>
    <col min="7" max="7" width="33.125" customWidth="1"/>
    <col min="8" max="8" width="4.625" customWidth="1"/>
    <col min="9" max="9" width="4.75" customWidth="1"/>
    <col min="10" max="10" width="27.75" customWidth="1"/>
    <col min="11" max="11" width="11.625" bestFit="1" customWidth="1"/>
  </cols>
  <sheetData>
    <row r="1" spans="1:23" s="12" customFormat="1" ht="17.25" customHeight="1" x14ac:dyDescent="0.15">
      <c r="A1" s="12" t="s">
        <v>64</v>
      </c>
      <c r="B1" s="12">
        <v>13600</v>
      </c>
      <c r="C1"/>
      <c r="D1"/>
      <c r="E1" s="13" t="s">
        <v>80</v>
      </c>
      <c r="F1" s="13" t="s">
        <v>81</v>
      </c>
      <c r="G1" s="13" t="s">
        <v>82</v>
      </c>
      <c r="H1" s="13" t="s">
        <v>83</v>
      </c>
      <c r="I1" s="13" t="s">
        <v>84</v>
      </c>
      <c r="J1" t="s">
        <v>110</v>
      </c>
      <c r="K1" t="s">
        <v>111</v>
      </c>
      <c r="L1"/>
      <c r="M1"/>
      <c r="N1"/>
      <c r="O1"/>
      <c r="P1"/>
      <c r="Q1"/>
      <c r="R1"/>
      <c r="S1"/>
      <c r="T1"/>
      <c r="U1"/>
      <c r="V1"/>
      <c r="W1"/>
    </row>
    <row r="2" spans="1:23" x14ac:dyDescent="0.15">
      <c r="A2" t="s">
        <v>65</v>
      </c>
      <c r="B2">
        <f>0.857*B1/10</f>
        <v>1165.52</v>
      </c>
      <c r="E2" s="13">
        <v>1</v>
      </c>
      <c r="F2" s="13" t="s">
        <v>86</v>
      </c>
      <c r="G2" s="13" t="s">
        <v>109</v>
      </c>
      <c r="H2" s="13" t="s">
        <v>85</v>
      </c>
      <c r="I2" s="13">
        <v>3</v>
      </c>
    </row>
    <row r="3" spans="1:23" x14ac:dyDescent="0.15">
      <c r="A3" t="s">
        <v>67</v>
      </c>
      <c r="B3">
        <v>10</v>
      </c>
      <c r="E3" s="13">
        <v>2</v>
      </c>
      <c r="F3" s="13" t="s">
        <v>87</v>
      </c>
      <c r="G3" s="13" t="s">
        <v>88</v>
      </c>
      <c r="H3" s="13" t="s">
        <v>85</v>
      </c>
      <c r="I3" s="13">
        <v>2</v>
      </c>
    </row>
    <row r="4" spans="1:23" x14ac:dyDescent="0.15">
      <c r="A4" t="s">
        <v>68</v>
      </c>
      <c r="B4" s="11">
        <v>0.6</v>
      </c>
      <c r="E4" s="13">
        <v>3</v>
      </c>
      <c r="F4" s="13" t="s">
        <v>89</v>
      </c>
      <c r="G4" s="13" t="s">
        <v>90</v>
      </c>
      <c r="H4" s="13" t="s">
        <v>91</v>
      </c>
      <c r="I4" s="13">
        <v>1</v>
      </c>
    </row>
    <row r="5" spans="1:23" s="12" customFormat="1" x14ac:dyDescent="0.15">
      <c r="A5" s="12" t="s">
        <v>66</v>
      </c>
      <c r="B5" s="12">
        <f>1.1*B1*B3*3600*B4/1.56/260/1000</f>
        <v>796.68639053254446</v>
      </c>
      <c r="C5"/>
      <c r="D5"/>
      <c r="E5" s="13">
        <v>4</v>
      </c>
      <c r="F5" s="13" t="s">
        <v>92</v>
      </c>
      <c r="G5" s="13" t="s">
        <v>93</v>
      </c>
      <c r="H5" s="13" t="s">
        <v>94</v>
      </c>
      <c r="I5" s="13">
        <v>1</v>
      </c>
      <c r="J5"/>
      <c r="K5"/>
      <c r="L5"/>
      <c r="M5"/>
      <c r="N5"/>
      <c r="O5"/>
      <c r="P5"/>
      <c r="Q5"/>
      <c r="R5"/>
      <c r="S5"/>
      <c r="T5"/>
      <c r="U5"/>
      <c r="V5"/>
      <c r="W5"/>
    </row>
    <row r="6" spans="1:23" s="12" customFormat="1" x14ac:dyDescent="0.15">
      <c r="A6" s="12" t="s">
        <v>69</v>
      </c>
      <c r="B6" s="12">
        <f>B5*1000/1465/0.68</f>
        <v>799.72534685057656</v>
      </c>
      <c r="C6"/>
      <c r="D6"/>
      <c r="E6" s="13">
        <v>5</v>
      </c>
      <c r="F6" s="13" t="s">
        <v>95</v>
      </c>
      <c r="G6" s="13" t="s">
        <v>96</v>
      </c>
      <c r="H6" s="13" t="s">
        <v>97</v>
      </c>
      <c r="I6" s="13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</row>
    <row r="7" spans="1:23" x14ac:dyDescent="0.15">
      <c r="A7" t="s">
        <v>71</v>
      </c>
      <c r="B7">
        <v>10</v>
      </c>
      <c r="E7" s="13">
        <v>6</v>
      </c>
      <c r="F7" s="13" t="s">
        <v>98</v>
      </c>
      <c r="G7" s="13" t="s">
        <v>99</v>
      </c>
      <c r="H7" s="13" t="s">
        <v>97</v>
      </c>
      <c r="I7" s="13">
        <v>1</v>
      </c>
    </row>
    <row r="8" spans="1:23" x14ac:dyDescent="0.15">
      <c r="A8" t="s">
        <v>70</v>
      </c>
      <c r="B8" t="s">
        <v>72</v>
      </c>
      <c r="E8" s="13">
        <v>7</v>
      </c>
      <c r="F8" s="13" t="s">
        <v>100</v>
      </c>
      <c r="G8" s="13"/>
      <c r="H8" s="13" t="s">
        <v>97</v>
      </c>
      <c r="I8" s="13">
        <v>1</v>
      </c>
    </row>
    <row r="9" spans="1:23" s="12" customFormat="1" x14ac:dyDescent="0.15">
      <c r="A9" s="12" t="s">
        <v>73</v>
      </c>
      <c r="B9" s="12">
        <f>B2/1.3</f>
        <v>896.55384615384605</v>
      </c>
      <c r="C9"/>
      <c r="D9"/>
      <c r="E9" s="13">
        <v>8</v>
      </c>
      <c r="F9" s="13" t="s">
        <v>108</v>
      </c>
      <c r="G9" s="13" t="s">
        <v>101</v>
      </c>
      <c r="H9" s="13" t="s">
        <v>97</v>
      </c>
      <c r="I9" s="13">
        <v>1</v>
      </c>
      <c r="J9"/>
      <c r="K9"/>
      <c r="L9"/>
      <c r="M9"/>
      <c r="N9"/>
      <c r="O9"/>
      <c r="P9"/>
      <c r="Q9"/>
      <c r="R9"/>
      <c r="S9"/>
      <c r="T9"/>
      <c r="U9"/>
      <c r="V9"/>
      <c r="W9"/>
    </row>
    <row r="10" spans="1:23" ht="21" customHeight="1" x14ac:dyDescent="0.15">
      <c r="A10" s="14" t="s">
        <v>74</v>
      </c>
      <c r="B10" s="14" t="s">
        <v>75</v>
      </c>
      <c r="E10" s="13">
        <v>9</v>
      </c>
      <c r="F10" s="13" t="s">
        <v>102</v>
      </c>
      <c r="G10" s="13"/>
      <c r="H10" s="13" t="s">
        <v>103</v>
      </c>
      <c r="I10" s="13">
        <v>1</v>
      </c>
    </row>
    <row r="11" spans="1:23" ht="19.5" customHeight="1" x14ac:dyDescent="0.15">
      <c r="A11" s="14" t="s">
        <v>76</v>
      </c>
      <c r="B11" s="14" t="s">
        <v>77</v>
      </c>
      <c r="E11" s="13">
        <v>10</v>
      </c>
      <c r="F11" s="13" t="s">
        <v>104</v>
      </c>
      <c r="G11" s="13" t="s">
        <v>105</v>
      </c>
      <c r="H11" s="13" t="s">
        <v>106</v>
      </c>
      <c r="I11" s="13">
        <v>2</v>
      </c>
    </row>
    <row r="12" spans="1:23" ht="20.25" customHeight="1" x14ac:dyDescent="0.15">
      <c r="A12" s="14" t="s">
        <v>79</v>
      </c>
      <c r="B12" s="14" t="s">
        <v>78</v>
      </c>
      <c r="E12" s="13">
        <v>11</v>
      </c>
      <c r="F12" s="13" t="s">
        <v>107</v>
      </c>
      <c r="G12" s="13"/>
      <c r="H12" s="13" t="s">
        <v>97</v>
      </c>
      <c r="I12" s="13">
        <v>1</v>
      </c>
    </row>
    <row r="13" spans="1:23" x14ac:dyDescent="0.15">
      <c r="E13" s="13">
        <v>12</v>
      </c>
      <c r="F13" s="13" t="s">
        <v>122</v>
      </c>
      <c r="H13" s="13" t="s">
        <v>112</v>
      </c>
      <c r="I13" s="13">
        <v>800</v>
      </c>
      <c r="J13" s="16"/>
    </row>
    <row r="14" spans="1:23" x14ac:dyDescent="0.15">
      <c r="E14" s="13">
        <v>13</v>
      </c>
      <c r="F14" s="13" t="s">
        <v>113</v>
      </c>
      <c r="H14" s="13" t="s">
        <v>114</v>
      </c>
      <c r="I14" s="13">
        <v>1</v>
      </c>
      <c r="J14" s="16"/>
    </row>
    <row r="15" spans="1:23" ht="21" customHeight="1" x14ac:dyDescent="0.15">
      <c r="F15" s="13"/>
      <c r="J15" t="s">
        <v>115</v>
      </c>
      <c r="K15">
        <f>SUM(K2:K14)</f>
        <v>0</v>
      </c>
    </row>
    <row r="16" spans="1:23" x14ac:dyDescent="0.15">
      <c r="J16" t="s">
        <v>116</v>
      </c>
      <c r="K16">
        <f>K15*0.15</f>
        <v>0</v>
      </c>
    </row>
    <row r="17" spans="10:11" x14ac:dyDescent="0.15">
      <c r="J17" t="s">
        <v>117</v>
      </c>
      <c r="K17">
        <f>K15*0.1</f>
        <v>0</v>
      </c>
    </row>
    <row r="18" spans="10:11" x14ac:dyDescent="0.15">
      <c r="J18" t="s">
        <v>118</v>
      </c>
      <c r="K18">
        <v>352814</v>
      </c>
    </row>
    <row r="19" spans="10:11" x14ac:dyDescent="0.15">
      <c r="J19" t="s">
        <v>119</v>
      </c>
      <c r="K19">
        <f>K15*0.06</f>
        <v>0</v>
      </c>
    </row>
    <row r="20" spans="10:11" x14ac:dyDescent="0.15">
      <c r="J20" t="s">
        <v>120</v>
      </c>
      <c r="K20">
        <v>250000</v>
      </c>
    </row>
    <row r="21" spans="10:11" x14ac:dyDescent="0.15">
      <c r="J21" t="s">
        <v>111</v>
      </c>
      <c r="K21">
        <f>SUM(K15:K20)</f>
        <v>602814</v>
      </c>
    </row>
    <row r="22" spans="10:11" x14ac:dyDescent="0.15">
      <c r="J22" s="12" t="s">
        <v>121</v>
      </c>
      <c r="K22" s="15">
        <f>K21/8160000</f>
        <v>7.3874264705882348E-2</v>
      </c>
    </row>
  </sheetData>
  <phoneticPr fontId="1" type="noConversion"/>
  <pageMargins left="0.7" right="0.7" top="0.75" bottom="0.75" header="0.3" footer="0.3"/>
  <pageSetup paperSize="9" orientation="portrait" r:id="rId1"/>
  <legacy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15</vt:i4>
      </vt:variant>
    </vt:vector>
  </HeadingPairs>
  <TitlesOfParts>
    <vt:vector size="18" baseType="lpstr">
      <vt:lpstr>储能类型对比</vt:lpstr>
      <vt:lpstr>方案1</vt:lpstr>
      <vt:lpstr>项目1</vt:lpstr>
      <vt:lpstr>比热_kJ__kg·℃</vt:lpstr>
      <vt:lpstr>采暖指标_w_m2</vt:lpstr>
      <vt:lpstr>储热时间_h</vt:lpstr>
      <vt:lpstr>低温密度_kg_m3</vt:lpstr>
      <vt:lpstr>电加热器效率</vt:lpstr>
      <vt:lpstr>高温密度_kg_m3</vt:lpstr>
      <vt:lpstr>供热功率_kw</vt:lpstr>
      <vt:lpstr>换热系统效率</vt:lpstr>
      <vt:lpstr>面积_m2</vt:lpstr>
      <vt:lpstr>熔盐富裕量</vt:lpstr>
      <vt:lpstr>熔盐温升_℃</vt:lpstr>
      <vt:lpstr>熔盐质量_t</vt:lpstr>
      <vt:lpstr>上班时间_h</vt:lpstr>
      <vt:lpstr>填装系数</vt:lpstr>
      <vt:lpstr>蓄热量_GJ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2019-07-03T05:20:30Z</dcterms:modified>
</cp:coreProperties>
</file>