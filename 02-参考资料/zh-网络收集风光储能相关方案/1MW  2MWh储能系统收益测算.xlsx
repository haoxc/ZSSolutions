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ling\Desktop\1MW2MWh储能系统收益测算\"/>
    </mc:Choice>
  </mc:AlternateContent>
  <xr:revisionPtr revIDLastSave="0" documentId="13_ncr:1_{342E8460-DBD6-4F80-8641-1AA2DC4697F0}" xr6:coauthVersionLast="43" xr6:coauthVersionMax="43" xr10:uidLastSave="{00000000-0000-0000-0000-000000000000}"/>
  <bookViews>
    <workbookView showHorizontalScroll="0" showVerticalScroll="0" showSheetTabs="0" xWindow="768" yWindow="768" windowWidth="20460" windowHeight="1155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5" i="1" l="1"/>
  <c r="F15" i="1" s="1"/>
  <c r="G15" i="1" s="1"/>
  <c r="H15" i="1" s="1"/>
  <c r="I15" i="1" s="1"/>
  <c r="J15" i="1" s="1"/>
  <c r="K15" i="1" s="1"/>
  <c r="L15" i="1" s="1"/>
  <c r="M15" i="1" s="1"/>
  <c r="C37" i="1" l="1"/>
  <c r="C36" i="1"/>
  <c r="C34" i="1"/>
  <c r="C35" i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E26" i="1" l="1"/>
  <c r="F26" i="1" s="1"/>
  <c r="G26" i="1" s="1"/>
  <c r="H26" i="1" s="1"/>
  <c r="I26" i="1" s="1"/>
  <c r="J26" i="1" s="1"/>
  <c r="K26" i="1" s="1"/>
  <c r="L26" i="1" s="1"/>
  <c r="M26" i="1" s="1"/>
  <c r="E20" i="1" l="1"/>
  <c r="F20" i="1" s="1"/>
  <c r="G20" i="1" s="1"/>
  <c r="H20" i="1" s="1"/>
  <c r="I20" i="1" s="1"/>
  <c r="J20" i="1" s="1"/>
  <c r="K20" i="1" s="1"/>
  <c r="L20" i="1" s="1"/>
  <c r="M20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M12" i="1" s="1"/>
  <c r="D9" i="1"/>
  <c r="D10" i="1" s="1"/>
  <c r="M16" i="1"/>
  <c r="M17" i="1" s="1"/>
  <c r="L16" i="1"/>
  <c r="L17" i="1" s="1"/>
  <c r="K16" i="1"/>
  <c r="K17" i="1" s="1"/>
  <c r="J16" i="1"/>
  <c r="J17" i="1" s="1"/>
  <c r="I16" i="1"/>
  <c r="I17" i="1" s="1"/>
  <c r="H16" i="1"/>
  <c r="H17" i="1" s="1"/>
  <c r="G16" i="1"/>
  <c r="G17" i="1" s="1"/>
  <c r="F16" i="1"/>
  <c r="F17" i="1" s="1"/>
  <c r="E16" i="1"/>
  <c r="E17" i="1" s="1"/>
  <c r="D16" i="1"/>
  <c r="D17" i="1" s="1"/>
  <c r="M30" i="1"/>
  <c r="L30" i="1"/>
  <c r="K30" i="1"/>
  <c r="J30" i="1"/>
  <c r="I30" i="1"/>
  <c r="H30" i="1"/>
  <c r="G30" i="1"/>
  <c r="F30" i="1"/>
  <c r="E30" i="1"/>
  <c r="D30" i="1"/>
  <c r="M28" i="1"/>
  <c r="L28" i="1"/>
  <c r="K28" i="1"/>
  <c r="J28" i="1"/>
  <c r="I28" i="1"/>
  <c r="H28" i="1"/>
  <c r="G28" i="1"/>
  <c r="F28" i="1"/>
  <c r="E28" i="1"/>
  <c r="D28" i="1"/>
  <c r="D27" i="1"/>
  <c r="M24" i="1"/>
  <c r="L24" i="1"/>
  <c r="K24" i="1"/>
  <c r="J24" i="1"/>
  <c r="I24" i="1"/>
  <c r="H24" i="1"/>
  <c r="G24" i="1"/>
  <c r="F24" i="1"/>
  <c r="E24" i="1"/>
  <c r="D24" i="1"/>
  <c r="M23" i="1"/>
  <c r="L23" i="1"/>
  <c r="K23" i="1"/>
  <c r="J23" i="1"/>
  <c r="I23" i="1"/>
  <c r="H23" i="1"/>
  <c r="G23" i="1"/>
  <c r="F23" i="1"/>
  <c r="E23" i="1"/>
  <c r="D23" i="1"/>
  <c r="F18" i="1"/>
  <c r="G18" i="1" s="1"/>
  <c r="H18" i="1" s="1"/>
  <c r="I18" i="1" s="1"/>
  <c r="J18" i="1" s="1"/>
  <c r="K18" i="1" s="1"/>
  <c r="L18" i="1" s="1"/>
  <c r="M18" i="1" s="1"/>
  <c r="E19" i="1"/>
  <c r="E22" i="1" s="1"/>
  <c r="E27" i="1" s="1"/>
  <c r="E9" i="1" l="1"/>
  <c r="F9" i="1" s="1"/>
  <c r="G9" i="1" s="1"/>
  <c r="H9" i="1" s="1"/>
  <c r="I9" i="1" s="1"/>
  <c r="J9" i="1" s="1"/>
  <c r="K9" i="1" s="1"/>
  <c r="L9" i="1" s="1"/>
  <c r="M9" i="1" s="1"/>
  <c r="M10" i="1" s="1"/>
  <c r="M13" i="1" s="1"/>
  <c r="M14" i="1" s="1"/>
  <c r="N17" i="1"/>
  <c r="D29" i="1"/>
  <c r="D42" i="1" s="1"/>
  <c r="D41" i="1"/>
  <c r="E12" i="1"/>
  <c r="F12" i="1"/>
  <c r="J12" i="1"/>
  <c r="D12" i="1"/>
  <c r="D13" i="1" s="1"/>
  <c r="D14" i="1" s="1"/>
  <c r="G12" i="1"/>
  <c r="K12" i="1"/>
  <c r="I12" i="1"/>
  <c r="H12" i="1"/>
  <c r="L12" i="1"/>
  <c r="E29" i="1"/>
  <c r="E31" i="1" s="1"/>
  <c r="D31" i="1"/>
  <c r="F19" i="1"/>
  <c r="H10" i="1" l="1"/>
  <c r="H13" i="1" s="1"/>
  <c r="H14" i="1" s="1"/>
  <c r="K10" i="1"/>
  <c r="K13" i="1" s="1"/>
  <c r="K14" i="1" s="1"/>
  <c r="F10" i="1"/>
  <c r="F13" i="1" s="1"/>
  <c r="F14" i="1" s="1"/>
  <c r="G10" i="1"/>
  <c r="G13" i="1" s="1"/>
  <c r="G14" i="1" s="1"/>
  <c r="I10" i="1"/>
  <c r="E10" i="1"/>
  <c r="E13" i="1" s="1"/>
  <c r="E14" i="1" s="1"/>
  <c r="L10" i="1"/>
  <c r="L13" i="1" s="1"/>
  <c r="L14" i="1" s="1"/>
  <c r="J10" i="1"/>
  <c r="J13" i="1" s="1"/>
  <c r="J14" i="1" s="1"/>
  <c r="E41" i="1"/>
  <c r="D43" i="1"/>
  <c r="E42" i="1"/>
  <c r="F42" i="1" s="1"/>
  <c r="G42" i="1" s="1"/>
  <c r="H42" i="1" s="1"/>
  <c r="I42" i="1" s="1"/>
  <c r="J42" i="1" s="1"/>
  <c r="K42" i="1" s="1"/>
  <c r="L42" i="1" s="1"/>
  <c r="M42" i="1" s="1"/>
  <c r="I13" i="1"/>
  <c r="I14" i="1" s="1"/>
  <c r="D33" i="1"/>
  <c r="D34" i="1" s="1"/>
  <c r="D32" i="1"/>
  <c r="G19" i="1"/>
  <c r="F22" i="1"/>
  <c r="F27" i="1" s="1"/>
  <c r="N42" i="1" l="1"/>
  <c r="D37" i="1"/>
  <c r="D36" i="1"/>
  <c r="E43" i="1"/>
  <c r="F41" i="1"/>
  <c r="E32" i="1"/>
  <c r="N14" i="1"/>
  <c r="E33" i="1"/>
  <c r="E34" i="1" s="1"/>
  <c r="F29" i="1"/>
  <c r="F31" i="1" s="1"/>
  <c r="H19" i="1"/>
  <c r="G22" i="1"/>
  <c r="G27" i="1" s="1"/>
  <c r="E36" i="1" l="1"/>
  <c r="E37" i="1"/>
  <c r="F43" i="1"/>
  <c r="G41" i="1"/>
  <c r="F32" i="1"/>
  <c r="F33" i="1"/>
  <c r="I19" i="1"/>
  <c r="H22" i="1"/>
  <c r="H27" i="1" s="1"/>
  <c r="G29" i="1"/>
  <c r="G31" i="1" s="1"/>
  <c r="H41" i="1" l="1"/>
  <c r="G43" i="1"/>
  <c r="F34" i="1"/>
  <c r="F37" i="1" s="1"/>
  <c r="G32" i="1"/>
  <c r="G33" i="1"/>
  <c r="G34" i="1" s="1"/>
  <c r="H29" i="1"/>
  <c r="H31" i="1" s="1"/>
  <c r="J19" i="1"/>
  <c r="I22" i="1"/>
  <c r="I27" i="1" s="1"/>
  <c r="G37" i="1" l="1"/>
  <c r="F36" i="1"/>
  <c r="G36" i="1" s="1"/>
  <c r="I41" i="1"/>
  <c r="H43" i="1"/>
  <c r="H32" i="1"/>
  <c r="H33" i="1"/>
  <c r="I29" i="1"/>
  <c r="I31" i="1" s="1"/>
  <c r="K19" i="1"/>
  <c r="J22" i="1"/>
  <c r="J27" i="1" s="1"/>
  <c r="J41" i="1" l="1"/>
  <c r="I43" i="1"/>
  <c r="I32" i="1"/>
  <c r="I33" i="1"/>
  <c r="I34" i="1" s="1"/>
  <c r="H34" i="1"/>
  <c r="H37" i="1" s="1"/>
  <c r="J29" i="1"/>
  <c r="J31" i="1" s="1"/>
  <c r="L19" i="1"/>
  <c r="K22" i="1"/>
  <c r="K27" i="1" s="1"/>
  <c r="H36" i="1" l="1"/>
  <c r="I36" i="1" s="1"/>
  <c r="I37" i="1"/>
  <c r="J43" i="1"/>
  <c r="K41" i="1"/>
  <c r="J32" i="1"/>
  <c r="J33" i="1"/>
  <c r="K29" i="1"/>
  <c r="K31" i="1" s="1"/>
  <c r="M19" i="1"/>
  <c r="M22" i="1" s="1"/>
  <c r="M27" i="1" s="1"/>
  <c r="L22" i="1"/>
  <c r="L27" i="1" s="1"/>
  <c r="L41" i="1" l="1"/>
  <c r="K43" i="1"/>
  <c r="K32" i="1"/>
  <c r="K33" i="1"/>
  <c r="K34" i="1" s="1"/>
  <c r="J34" i="1"/>
  <c r="J36" i="1" s="1"/>
  <c r="M29" i="1"/>
  <c r="M31" i="1" s="1"/>
  <c r="L29" i="1"/>
  <c r="L31" i="1" s="1"/>
  <c r="K36" i="1" l="1"/>
  <c r="J37" i="1"/>
  <c r="K37" i="1" s="1"/>
  <c r="N31" i="1"/>
  <c r="L43" i="1"/>
  <c r="M41" i="1"/>
  <c r="L32" i="1"/>
  <c r="L33" i="1"/>
  <c r="L34" i="1" s="1"/>
  <c r="M32" i="1"/>
  <c r="M33" i="1"/>
  <c r="M34" i="1" s="1"/>
  <c r="L36" i="1" l="1"/>
  <c r="M36" i="1" s="1"/>
  <c r="M43" i="1"/>
  <c r="N43" i="1" s="1"/>
  <c r="N41" i="1"/>
  <c r="L37" i="1"/>
  <c r="M37" i="1" s="1"/>
  <c r="N34" i="1"/>
  <c r="N32" i="1"/>
  <c r="N33" i="1"/>
</calcChain>
</file>

<file path=xl/sharedStrings.xml><?xml version="1.0" encoding="utf-8"?>
<sst xmlns="http://schemas.openxmlformats.org/spreadsheetml/2006/main" count="69" uniqueCount="57">
  <si>
    <t>年限_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</si>
  <si>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</si>
  <si>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</si>
  <si>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</si>
  <si>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</si>
  <si>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</si>
  <si>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</si>
  <si>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</si>
  <si>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</si>
  <si>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</si>
  <si>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初投资</t>
  </si>
  <si>
    <t>初投资:元</t>
  </si>
  <si>
    <t>谷值电价:元</t>
  </si>
  <si>
    <t>电价政策</t>
  </si>
  <si>
    <t>电池衰变</t>
  </si>
  <si>
    <t>电池容量%</t>
  </si>
  <si>
    <t>88</t>
  </si>
  <si>
    <t>每年运行天数</t>
  </si>
  <si>
    <t>度电峰谷套利:元/kwh</t>
  </si>
  <si>
    <t>每月节约电费:元</t>
  </si>
  <si>
    <t>每年电费收益:元/年</t>
  </si>
  <si>
    <t>年收益:元/年</t>
  </si>
  <si>
    <t>峰值电价:元</t>
    <phoneticPr fontId="1" type="noConversion"/>
  </si>
  <si>
    <t>平值电价:元</t>
    <phoneticPr fontId="1" type="noConversion"/>
  </si>
  <si>
    <t>峰谷价差:元</t>
    <phoneticPr fontId="1" type="noConversion"/>
  </si>
  <si>
    <t>平谷价差:元</t>
    <phoneticPr fontId="1" type="noConversion"/>
  </si>
  <si>
    <t>系统容量:kWh</t>
    <phoneticPr fontId="1" type="noConversion"/>
  </si>
  <si>
    <t>放电深度:%</t>
    <phoneticPr fontId="1" type="noConversion"/>
  </si>
  <si>
    <t>使用容里:kWh</t>
    <phoneticPr fontId="1" type="noConversion"/>
  </si>
  <si>
    <t>储能效率(AC侧)%</t>
    <phoneticPr fontId="1" type="noConversion"/>
  </si>
  <si>
    <t>度电平谷套利:元/kwh</t>
    <phoneticPr fontId="1" type="noConversion"/>
  </si>
  <si>
    <t>全年套利:元/年</t>
    <phoneticPr fontId="1" type="noConversion"/>
  </si>
  <si>
    <t>去峰负荷消除量:kw</t>
    <phoneticPr fontId="1" type="noConversion"/>
  </si>
  <si>
    <t>每年峰谷转移电量</t>
    <phoneticPr fontId="1" type="noConversion"/>
  </si>
  <si>
    <t>每年平谷转移电量</t>
    <phoneticPr fontId="1" type="noConversion"/>
  </si>
  <si>
    <t>IRR:%</t>
    <phoneticPr fontId="1" type="noConversion"/>
  </si>
  <si>
    <t>1MW/2MWh储能系统收益测算表2:峰谷套利+需量电费</t>
    <phoneticPr fontId="1" type="noConversion"/>
  </si>
  <si>
    <t>收入1
基于电力运营优化的基本电费节约</t>
    <phoneticPr fontId="1" type="noConversion"/>
  </si>
  <si>
    <t>收入2
基于分布式储能系统需量峰值削减(PDS)的基本电费节约</t>
    <phoneticPr fontId="1" type="noConversion"/>
  </si>
  <si>
    <t>收入3
基于分布式储能系统峰谷电量(TOU)转移的电度电费节约</t>
    <phoneticPr fontId="1" type="noConversion"/>
  </si>
  <si>
    <t>变压器容量电费:元/(kVA·月)</t>
    <phoneticPr fontId="1" type="noConversion"/>
  </si>
  <si>
    <t>需求容量电费:元/(kW·月)</t>
    <phoneticPr fontId="1" type="noConversion"/>
  </si>
  <si>
    <t>需求容量容量:kW</t>
    <phoneticPr fontId="1" type="noConversion"/>
  </si>
  <si>
    <t>变压器容量:Kva</t>
    <phoneticPr fontId="1" type="noConversion"/>
  </si>
  <si>
    <t>按变压器容量计费：元</t>
    <phoneticPr fontId="1" type="noConversion"/>
  </si>
  <si>
    <t>按需求容量计费：元</t>
    <phoneticPr fontId="1" type="noConversion"/>
  </si>
  <si>
    <t>合计</t>
    <phoneticPr fontId="1" type="noConversion"/>
  </si>
  <si>
    <t>NTN公司年收益:元/年</t>
    <phoneticPr fontId="1" type="noConversion"/>
  </si>
  <si>
    <t>资金成本（4%）</t>
    <phoneticPr fontId="1" type="noConversion"/>
  </si>
  <si>
    <t>城市用电公司年收益:元/年</t>
    <phoneticPr fontId="1" type="noConversion"/>
  </si>
  <si>
    <t>城市用电公司累计收入：元</t>
    <phoneticPr fontId="1" type="noConversion"/>
  </si>
  <si>
    <t>总累计收入：元</t>
    <phoneticPr fontId="1" type="noConversion"/>
  </si>
  <si>
    <t>峰谷收益</t>
    <phoneticPr fontId="1" type="noConversion"/>
  </si>
  <si>
    <t>平谷收益</t>
    <phoneticPr fontId="1" type="noConversion"/>
  </si>
  <si>
    <t>总收益</t>
    <phoneticPr fontId="1" type="noConversion"/>
  </si>
  <si>
    <t>每天1次循环</t>
    <phoneticPr fontId="1" type="noConversion"/>
  </si>
  <si>
    <t>每天0.5次循环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</si>
</sst>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C1" sqref="C1:M1"/>
    </sheetView>
  </sheetViews>
  <sheetFormatPr defaultColWidth="9" defaultRowHeight="14.4" x14ac:dyDescent="0.25"/>
  <cols>
    <col min="1" max="1" width="16.21875" style="3" bestFit="1" customWidth="1"/>
    <col min="2" max="2" width="28" style="3" bestFit="1" customWidth="1"/>
    <col min="3" max="3" width="14.21875" style="3" bestFit="1" customWidth="1"/>
    <col min="4" max="4" width="11.6640625" style="3" bestFit="1" customWidth="1"/>
    <col min="5" max="13" width="9" style="3"/>
    <col min="14" max="14" width="11.6640625" style="3" bestFit="1" customWidth="1"/>
    <col min="15" max="16384" width="9" style="3"/>
  </cols>
  <sheetData>
    <row r="1" spans="1:14" ht="28.2" customHeight="1" x14ac:dyDescent="0.25">
      <c r="A1" s="1" t="s">
        <v>35</v>
      </c>
      <c r="B1" s="1"/>
      <c r="C1" s="19" t="s">
        <v>36</v>
      </c>
      <c r="D1" s="19"/>
      <c r="E1" s="19"/>
      <c r="F1" s="19"/>
      <c r="G1" s="19"/>
      <c r="H1" s="19"/>
      <c r="I1" s="19"/>
      <c r="J1" s="19"/>
      <c r="K1" s="19"/>
      <c r="L1" s="19"/>
      <c r="M1" s="20"/>
      <c r="N1" s="5"/>
    </row>
    <row r="2" spans="1:14" x14ac:dyDescent="0.25">
      <c r="A2" s="1"/>
      <c r="B2" s="1" t="s">
        <v>0</v>
      </c>
      <c r="C2" s="1">
        <v>0</v>
      </c>
      <c r="D2" s="1" t="s">
        <v>1</v>
      </c>
      <c r="E2" s="1" t="s">
        <v>2</v>
      </c>
      <c r="F2" s="1" t="s">
        <v>1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4" t="s">
        <v>9</v>
      </c>
      <c r="N2" s="5" t="s">
        <v>46</v>
      </c>
    </row>
    <row r="3" spans="1:14" x14ac:dyDescent="0.25">
      <c r="A3" s="1" t="s">
        <v>10</v>
      </c>
      <c r="B3" s="1" t="s">
        <v>11</v>
      </c>
      <c r="C3" s="15">
        <v>-6000000</v>
      </c>
      <c r="D3" s="1"/>
      <c r="E3" s="1"/>
      <c r="F3" s="1"/>
      <c r="G3" s="1"/>
      <c r="H3" s="1"/>
      <c r="I3" s="1"/>
      <c r="J3" s="1"/>
      <c r="K3" s="1"/>
      <c r="L3" s="1"/>
      <c r="M3" s="4"/>
      <c r="N3" s="5"/>
    </row>
    <row r="4" spans="1:14" x14ac:dyDescent="0.25">
      <c r="A4" s="16" t="s">
        <v>13</v>
      </c>
      <c r="B4" s="1" t="s">
        <v>22</v>
      </c>
      <c r="C4" s="1">
        <v>1.0347999999999999</v>
      </c>
      <c r="D4" s="1">
        <v>1.0347999999999999</v>
      </c>
      <c r="E4" s="1">
        <v>1.0347999999999999</v>
      </c>
      <c r="F4" s="1">
        <v>1.0347999999999999</v>
      </c>
      <c r="G4" s="1">
        <v>1.0347999999999999</v>
      </c>
      <c r="H4" s="1">
        <v>1.0347999999999999</v>
      </c>
      <c r="I4" s="1">
        <v>1.0347999999999999</v>
      </c>
      <c r="J4" s="1">
        <v>1.0347999999999999</v>
      </c>
      <c r="K4" s="1">
        <v>1.0347999999999999</v>
      </c>
      <c r="L4" s="1">
        <v>1.0347999999999999</v>
      </c>
      <c r="M4" s="4">
        <v>1.0347999999999999</v>
      </c>
      <c r="N4" s="5"/>
    </row>
    <row r="5" spans="1:14" x14ac:dyDescent="0.25">
      <c r="A5" s="16"/>
      <c r="B5" s="1" t="s">
        <v>23</v>
      </c>
      <c r="C5" s="1">
        <v>0.63929999999999998</v>
      </c>
      <c r="D5" s="1">
        <v>0.63929999999999998</v>
      </c>
      <c r="E5" s="1">
        <v>0.63929999999999998</v>
      </c>
      <c r="F5" s="1">
        <v>0.63929999999999998</v>
      </c>
      <c r="G5" s="1">
        <v>0.63929999999999998</v>
      </c>
      <c r="H5" s="1">
        <v>0.63929999999999998</v>
      </c>
      <c r="I5" s="1">
        <v>0.63929999999999998</v>
      </c>
      <c r="J5" s="1">
        <v>0.63929999999999998</v>
      </c>
      <c r="K5" s="1">
        <v>0.63929999999999998</v>
      </c>
      <c r="L5" s="1">
        <v>0.63929999999999998</v>
      </c>
      <c r="M5" s="4">
        <v>0.63929999999999998</v>
      </c>
      <c r="N5" s="5"/>
    </row>
    <row r="6" spans="1:14" x14ac:dyDescent="0.25">
      <c r="A6" s="16"/>
      <c r="B6" s="1" t="s">
        <v>12</v>
      </c>
      <c r="C6" s="1">
        <v>0.33510000000000001</v>
      </c>
      <c r="D6" s="1">
        <v>0.33510000000000001</v>
      </c>
      <c r="E6" s="1">
        <v>0.33510000000000001</v>
      </c>
      <c r="F6" s="1">
        <v>0.33510000000000001</v>
      </c>
      <c r="G6" s="1">
        <v>0.33510000000000001</v>
      </c>
      <c r="H6" s="1">
        <v>0.33510000000000001</v>
      </c>
      <c r="I6" s="1">
        <v>0.33510000000000001</v>
      </c>
      <c r="J6" s="1">
        <v>0.33510000000000001</v>
      </c>
      <c r="K6" s="1">
        <v>0.33510000000000001</v>
      </c>
      <c r="L6" s="1">
        <v>0.33510000000000001</v>
      </c>
      <c r="M6" s="4">
        <v>0.33510000000000001</v>
      </c>
      <c r="N6" s="5"/>
    </row>
    <row r="7" spans="1:14" x14ac:dyDescent="0.25">
      <c r="A7" s="16"/>
      <c r="B7" s="1" t="s">
        <v>40</v>
      </c>
      <c r="C7" s="1">
        <v>23</v>
      </c>
      <c r="D7" s="1">
        <v>23</v>
      </c>
      <c r="E7" s="1">
        <v>23</v>
      </c>
      <c r="F7" s="1">
        <v>23</v>
      </c>
      <c r="G7" s="1">
        <v>23</v>
      </c>
      <c r="H7" s="1">
        <v>23</v>
      </c>
      <c r="I7" s="1">
        <v>23</v>
      </c>
      <c r="J7" s="1">
        <v>23</v>
      </c>
      <c r="K7" s="1">
        <v>23</v>
      </c>
      <c r="L7" s="1">
        <v>23</v>
      </c>
      <c r="M7" s="4">
        <v>23</v>
      </c>
      <c r="N7" s="5"/>
    </row>
    <row r="8" spans="1:14" x14ac:dyDescent="0.25">
      <c r="A8" s="16"/>
      <c r="B8" s="1" t="s">
        <v>41</v>
      </c>
      <c r="C8" s="1">
        <v>32</v>
      </c>
      <c r="D8" s="1">
        <v>32</v>
      </c>
      <c r="E8" s="1">
        <v>32</v>
      </c>
      <c r="F8" s="1">
        <v>32</v>
      </c>
      <c r="G8" s="1">
        <v>32</v>
      </c>
      <c r="H8" s="1">
        <v>32</v>
      </c>
      <c r="I8" s="1">
        <v>32</v>
      </c>
      <c r="J8" s="1">
        <v>32</v>
      </c>
      <c r="K8" s="1">
        <v>32</v>
      </c>
      <c r="L8" s="1">
        <v>32</v>
      </c>
      <c r="M8" s="4">
        <v>32</v>
      </c>
      <c r="N8" s="5"/>
    </row>
    <row r="9" spans="1:14" x14ac:dyDescent="0.25">
      <c r="A9" s="17" t="s">
        <v>37</v>
      </c>
      <c r="B9" s="1" t="s">
        <v>43</v>
      </c>
      <c r="C9" s="1">
        <v>14000</v>
      </c>
      <c r="D9" s="1">
        <f>C9</f>
        <v>14000</v>
      </c>
      <c r="E9" s="1">
        <f t="shared" ref="E9:M11" si="0">D9</f>
        <v>14000</v>
      </c>
      <c r="F9" s="1">
        <f t="shared" si="0"/>
        <v>14000</v>
      </c>
      <c r="G9" s="1">
        <f t="shared" si="0"/>
        <v>14000</v>
      </c>
      <c r="H9" s="1">
        <f t="shared" si="0"/>
        <v>14000</v>
      </c>
      <c r="I9" s="1">
        <f t="shared" si="0"/>
        <v>14000</v>
      </c>
      <c r="J9" s="1">
        <f t="shared" si="0"/>
        <v>14000</v>
      </c>
      <c r="K9" s="1">
        <f t="shared" si="0"/>
        <v>14000</v>
      </c>
      <c r="L9" s="1">
        <f t="shared" si="0"/>
        <v>14000</v>
      </c>
      <c r="M9" s="4">
        <f t="shared" si="0"/>
        <v>14000</v>
      </c>
      <c r="N9" s="5"/>
    </row>
    <row r="10" spans="1:14" x14ac:dyDescent="0.25">
      <c r="A10" s="17"/>
      <c r="B10" s="1" t="s">
        <v>44</v>
      </c>
      <c r="C10" s="1"/>
      <c r="D10" s="1">
        <f>D9*D7</f>
        <v>322000</v>
      </c>
      <c r="E10" s="1">
        <f t="shared" ref="E10:M10" si="1">E9*E7</f>
        <v>322000</v>
      </c>
      <c r="F10" s="1">
        <f t="shared" si="1"/>
        <v>322000</v>
      </c>
      <c r="G10" s="1">
        <f t="shared" si="1"/>
        <v>322000</v>
      </c>
      <c r="H10" s="1">
        <f t="shared" si="1"/>
        <v>322000</v>
      </c>
      <c r="I10" s="1">
        <f t="shared" si="1"/>
        <v>322000</v>
      </c>
      <c r="J10" s="1">
        <f t="shared" si="1"/>
        <v>322000</v>
      </c>
      <c r="K10" s="1">
        <f t="shared" si="1"/>
        <v>322000</v>
      </c>
      <c r="L10" s="1">
        <f t="shared" si="1"/>
        <v>322000</v>
      </c>
      <c r="M10" s="4">
        <f t="shared" si="1"/>
        <v>322000</v>
      </c>
      <c r="N10" s="5"/>
    </row>
    <row r="11" spans="1:14" x14ac:dyDescent="0.25">
      <c r="A11" s="17"/>
      <c r="B11" s="1" t="s">
        <v>42</v>
      </c>
      <c r="C11" s="1">
        <v>6600</v>
      </c>
      <c r="D11" s="1">
        <f>C11</f>
        <v>6600</v>
      </c>
      <c r="E11" s="1">
        <f t="shared" si="0"/>
        <v>6600</v>
      </c>
      <c r="F11" s="1">
        <f t="shared" si="0"/>
        <v>6600</v>
      </c>
      <c r="G11" s="1">
        <f t="shared" si="0"/>
        <v>6600</v>
      </c>
      <c r="H11" s="1">
        <f t="shared" si="0"/>
        <v>6600</v>
      </c>
      <c r="I11" s="1">
        <f t="shared" si="0"/>
        <v>6600</v>
      </c>
      <c r="J11" s="1">
        <f t="shared" si="0"/>
        <v>6600</v>
      </c>
      <c r="K11" s="1">
        <f t="shared" si="0"/>
        <v>6600</v>
      </c>
      <c r="L11" s="1">
        <f t="shared" si="0"/>
        <v>6600</v>
      </c>
      <c r="M11" s="4">
        <f t="shared" si="0"/>
        <v>6600</v>
      </c>
      <c r="N11" s="5"/>
    </row>
    <row r="12" spans="1:14" x14ac:dyDescent="0.25">
      <c r="A12" s="17"/>
      <c r="B12" s="1" t="s">
        <v>45</v>
      </c>
      <c r="C12" s="1"/>
      <c r="D12" s="1">
        <f>D11*D8</f>
        <v>211200</v>
      </c>
      <c r="E12" s="1">
        <f t="shared" ref="E12:M12" si="2">E11*E8</f>
        <v>211200</v>
      </c>
      <c r="F12" s="1">
        <f t="shared" si="2"/>
        <v>211200</v>
      </c>
      <c r="G12" s="1">
        <f t="shared" si="2"/>
        <v>211200</v>
      </c>
      <c r="H12" s="1">
        <f t="shared" si="2"/>
        <v>211200</v>
      </c>
      <c r="I12" s="1">
        <f t="shared" si="2"/>
        <v>211200</v>
      </c>
      <c r="J12" s="1">
        <f t="shared" si="2"/>
        <v>211200</v>
      </c>
      <c r="K12" s="1">
        <f t="shared" si="2"/>
        <v>211200</v>
      </c>
      <c r="L12" s="1">
        <f t="shared" si="2"/>
        <v>211200</v>
      </c>
      <c r="M12" s="4">
        <f t="shared" si="2"/>
        <v>211200</v>
      </c>
      <c r="N12" s="5"/>
    </row>
    <row r="13" spans="1:14" x14ac:dyDescent="0.25">
      <c r="A13" s="17"/>
      <c r="B13" s="1" t="s">
        <v>19</v>
      </c>
      <c r="C13" s="1"/>
      <c r="D13" s="1">
        <f>D10-D12</f>
        <v>110800</v>
      </c>
      <c r="E13" s="1">
        <f t="shared" ref="E13:M13" si="3">E10-E12</f>
        <v>110800</v>
      </c>
      <c r="F13" s="1">
        <f t="shared" si="3"/>
        <v>110800</v>
      </c>
      <c r="G13" s="1">
        <f t="shared" si="3"/>
        <v>110800</v>
      </c>
      <c r="H13" s="1">
        <f t="shared" si="3"/>
        <v>110800</v>
      </c>
      <c r="I13" s="1">
        <f t="shared" si="3"/>
        <v>110800</v>
      </c>
      <c r="J13" s="1">
        <f t="shared" si="3"/>
        <v>110800</v>
      </c>
      <c r="K13" s="1">
        <f t="shared" si="3"/>
        <v>110800</v>
      </c>
      <c r="L13" s="1">
        <f t="shared" si="3"/>
        <v>110800</v>
      </c>
      <c r="M13" s="4">
        <f t="shared" si="3"/>
        <v>110800</v>
      </c>
      <c r="N13" s="5"/>
    </row>
    <row r="14" spans="1:14" x14ac:dyDescent="0.25">
      <c r="A14" s="17"/>
      <c r="B14" s="1" t="s">
        <v>20</v>
      </c>
      <c r="C14" s="1"/>
      <c r="D14" s="1">
        <f>D13*12</f>
        <v>1329600</v>
      </c>
      <c r="E14" s="1">
        <f t="shared" ref="E14:M14" si="4">E13*12</f>
        <v>1329600</v>
      </c>
      <c r="F14" s="1">
        <f t="shared" si="4"/>
        <v>1329600</v>
      </c>
      <c r="G14" s="1">
        <f t="shared" si="4"/>
        <v>1329600</v>
      </c>
      <c r="H14" s="1">
        <f t="shared" si="4"/>
        <v>1329600</v>
      </c>
      <c r="I14" s="1">
        <f t="shared" si="4"/>
        <v>1329600</v>
      </c>
      <c r="J14" s="1">
        <f t="shared" si="4"/>
        <v>1329600</v>
      </c>
      <c r="K14" s="1">
        <f t="shared" si="4"/>
        <v>1329600</v>
      </c>
      <c r="L14" s="1">
        <f t="shared" si="4"/>
        <v>1329600</v>
      </c>
      <c r="M14" s="4">
        <f t="shared" si="4"/>
        <v>1329600</v>
      </c>
      <c r="N14" s="5">
        <f>SUM(D14:M14)</f>
        <v>13296000</v>
      </c>
    </row>
    <row r="15" spans="1:14" x14ac:dyDescent="0.25">
      <c r="A15" s="17" t="s">
        <v>38</v>
      </c>
      <c r="B15" s="1" t="s">
        <v>32</v>
      </c>
      <c r="C15" s="1"/>
      <c r="D15" s="1">
        <v>200</v>
      </c>
      <c r="E15" s="1">
        <f>D15</f>
        <v>200</v>
      </c>
      <c r="F15" s="9">
        <f t="shared" ref="F15:M15" si="5">E15</f>
        <v>200</v>
      </c>
      <c r="G15" s="9">
        <f t="shared" si="5"/>
        <v>200</v>
      </c>
      <c r="H15" s="9">
        <f t="shared" si="5"/>
        <v>200</v>
      </c>
      <c r="I15" s="9">
        <f t="shared" si="5"/>
        <v>200</v>
      </c>
      <c r="J15" s="9">
        <f t="shared" si="5"/>
        <v>200</v>
      </c>
      <c r="K15" s="9">
        <f t="shared" si="5"/>
        <v>200</v>
      </c>
      <c r="L15" s="9">
        <f t="shared" si="5"/>
        <v>200</v>
      </c>
      <c r="M15" s="9">
        <f t="shared" si="5"/>
        <v>200</v>
      </c>
      <c r="N15" s="5"/>
    </row>
    <row r="16" spans="1:14" x14ac:dyDescent="0.25">
      <c r="A16" s="17"/>
      <c r="B16" s="1" t="s">
        <v>19</v>
      </c>
      <c r="C16" s="1"/>
      <c r="D16" s="1">
        <f t="shared" ref="D16:M16" si="6">D15*D8</f>
        <v>6400</v>
      </c>
      <c r="E16" s="1">
        <f t="shared" si="6"/>
        <v>6400</v>
      </c>
      <c r="F16" s="1">
        <f t="shared" si="6"/>
        <v>6400</v>
      </c>
      <c r="G16" s="1">
        <f t="shared" si="6"/>
        <v>6400</v>
      </c>
      <c r="H16" s="1">
        <f t="shared" si="6"/>
        <v>6400</v>
      </c>
      <c r="I16" s="1">
        <f t="shared" si="6"/>
        <v>6400</v>
      </c>
      <c r="J16" s="1">
        <f t="shared" si="6"/>
        <v>6400</v>
      </c>
      <c r="K16" s="1">
        <f t="shared" si="6"/>
        <v>6400</v>
      </c>
      <c r="L16" s="1">
        <f t="shared" si="6"/>
        <v>6400</v>
      </c>
      <c r="M16" s="4">
        <f t="shared" si="6"/>
        <v>6400</v>
      </c>
      <c r="N16" s="5"/>
    </row>
    <row r="17" spans="1:14" x14ac:dyDescent="0.25">
      <c r="A17" s="17"/>
      <c r="B17" s="1" t="s">
        <v>20</v>
      </c>
      <c r="C17" s="1"/>
      <c r="D17" s="1">
        <f>D16*12</f>
        <v>76800</v>
      </c>
      <c r="E17" s="1">
        <f t="shared" ref="E17:M17" si="7">E16*12</f>
        <v>76800</v>
      </c>
      <c r="F17" s="1">
        <f t="shared" si="7"/>
        <v>76800</v>
      </c>
      <c r="G17" s="1">
        <f t="shared" si="7"/>
        <v>76800</v>
      </c>
      <c r="H17" s="1">
        <f t="shared" si="7"/>
        <v>76800</v>
      </c>
      <c r="I17" s="1">
        <f t="shared" si="7"/>
        <v>76800</v>
      </c>
      <c r="J17" s="1">
        <f t="shared" si="7"/>
        <v>76800</v>
      </c>
      <c r="K17" s="1">
        <f t="shared" si="7"/>
        <v>76800</v>
      </c>
      <c r="L17" s="1">
        <f t="shared" si="7"/>
        <v>76800</v>
      </c>
      <c r="M17" s="4">
        <f t="shared" si="7"/>
        <v>76800</v>
      </c>
      <c r="N17" s="5">
        <f>SUM(D17:M17)</f>
        <v>768000</v>
      </c>
    </row>
    <row r="18" spans="1:14" x14ac:dyDescent="0.25">
      <c r="A18" s="17" t="s">
        <v>39</v>
      </c>
      <c r="B18" s="1" t="s">
        <v>14</v>
      </c>
      <c r="C18" s="1"/>
      <c r="D18" s="1">
        <v>0</v>
      </c>
      <c r="E18" s="1">
        <v>2.77</v>
      </c>
      <c r="F18" s="1">
        <f>E18</f>
        <v>2.77</v>
      </c>
      <c r="G18" s="1">
        <f t="shared" ref="G18:M18" si="8">F18</f>
        <v>2.77</v>
      </c>
      <c r="H18" s="1">
        <f t="shared" si="8"/>
        <v>2.77</v>
      </c>
      <c r="I18" s="1">
        <f t="shared" si="8"/>
        <v>2.77</v>
      </c>
      <c r="J18" s="1">
        <f t="shared" si="8"/>
        <v>2.77</v>
      </c>
      <c r="K18" s="1">
        <f t="shared" si="8"/>
        <v>2.77</v>
      </c>
      <c r="L18" s="1">
        <f t="shared" si="8"/>
        <v>2.77</v>
      </c>
      <c r="M18" s="4">
        <f t="shared" si="8"/>
        <v>2.77</v>
      </c>
      <c r="N18" s="5"/>
    </row>
    <row r="19" spans="1:14" x14ac:dyDescent="0.25">
      <c r="A19" s="17"/>
      <c r="B19" s="1" t="s">
        <v>15</v>
      </c>
      <c r="C19" s="1"/>
      <c r="D19" s="1">
        <v>100</v>
      </c>
      <c r="E19" s="1">
        <f>D19-E18</f>
        <v>97.23</v>
      </c>
      <c r="F19" s="1">
        <f t="shared" ref="F19:M19" si="9">E19-F18</f>
        <v>94.460000000000008</v>
      </c>
      <c r="G19" s="1">
        <f t="shared" si="9"/>
        <v>91.690000000000012</v>
      </c>
      <c r="H19" s="1">
        <f t="shared" si="9"/>
        <v>88.920000000000016</v>
      </c>
      <c r="I19" s="1">
        <f t="shared" si="9"/>
        <v>86.15000000000002</v>
      </c>
      <c r="J19" s="1">
        <f t="shared" si="9"/>
        <v>83.380000000000024</v>
      </c>
      <c r="K19" s="1">
        <f t="shared" si="9"/>
        <v>80.610000000000028</v>
      </c>
      <c r="L19" s="1">
        <f t="shared" si="9"/>
        <v>77.840000000000032</v>
      </c>
      <c r="M19" s="4">
        <f t="shared" si="9"/>
        <v>75.070000000000036</v>
      </c>
      <c r="N19" s="5"/>
    </row>
    <row r="20" spans="1:14" x14ac:dyDescent="0.25">
      <c r="A20" s="17"/>
      <c r="B20" s="1" t="s">
        <v>26</v>
      </c>
      <c r="C20" s="1"/>
      <c r="D20" s="1">
        <v>2040</v>
      </c>
      <c r="E20" s="1">
        <f t="shared" ref="E20:M20" si="10">D20</f>
        <v>2040</v>
      </c>
      <c r="F20" s="1">
        <f t="shared" si="10"/>
        <v>2040</v>
      </c>
      <c r="G20" s="1">
        <f t="shared" si="10"/>
        <v>2040</v>
      </c>
      <c r="H20" s="1">
        <f t="shared" si="10"/>
        <v>2040</v>
      </c>
      <c r="I20" s="1">
        <f t="shared" si="10"/>
        <v>2040</v>
      </c>
      <c r="J20" s="1">
        <f t="shared" si="10"/>
        <v>2040</v>
      </c>
      <c r="K20" s="1">
        <f t="shared" si="10"/>
        <v>2040</v>
      </c>
      <c r="L20" s="1">
        <f t="shared" si="10"/>
        <v>2040</v>
      </c>
      <c r="M20" s="4">
        <f t="shared" si="10"/>
        <v>2040</v>
      </c>
      <c r="N20" s="5"/>
    </row>
    <row r="21" spans="1:14" x14ac:dyDescent="0.25">
      <c r="A21" s="17"/>
      <c r="B21" s="1" t="s">
        <v>27</v>
      </c>
      <c r="C21" s="1"/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4">
        <v>100</v>
      </c>
      <c r="N21" s="5"/>
    </row>
    <row r="22" spans="1:14" x14ac:dyDescent="0.25">
      <c r="A22" s="17"/>
      <c r="B22" s="1" t="s">
        <v>28</v>
      </c>
      <c r="C22" s="1"/>
      <c r="D22" s="1">
        <v>1800</v>
      </c>
      <c r="E22" s="1">
        <f>D22*E19/100</f>
        <v>1750.14</v>
      </c>
      <c r="F22" s="1">
        <f>D22*F19/100</f>
        <v>1700.28</v>
      </c>
      <c r="G22" s="1">
        <f>D22*G19/100</f>
        <v>1650.4200000000003</v>
      </c>
      <c r="H22" s="1">
        <f>D22*H19/100</f>
        <v>1600.5600000000004</v>
      </c>
      <c r="I22" s="1">
        <f>D22*I19/100</f>
        <v>1550.7000000000003</v>
      </c>
      <c r="J22" s="1">
        <f>D22*J19/100</f>
        <v>1500.8400000000004</v>
      </c>
      <c r="K22" s="1">
        <f>D22*K19/100</f>
        <v>1450.9800000000005</v>
      </c>
      <c r="L22" s="1">
        <f>D22*L19/100</f>
        <v>1401.1200000000006</v>
      </c>
      <c r="M22" s="4">
        <f>D22*M19/100</f>
        <v>1351.2600000000007</v>
      </c>
      <c r="N22" s="5"/>
    </row>
    <row r="23" spans="1:14" x14ac:dyDescent="0.25">
      <c r="A23" s="17"/>
      <c r="B23" s="1" t="s">
        <v>24</v>
      </c>
      <c r="C23" s="1"/>
      <c r="D23" s="1">
        <f t="shared" ref="D23:M23" si="11">D4-D6</f>
        <v>0.69969999999999999</v>
      </c>
      <c r="E23" s="1">
        <f t="shared" si="11"/>
        <v>0.69969999999999999</v>
      </c>
      <c r="F23" s="1">
        <f t="shared" si="11"/>
        <v>0.69969999999999999</v>
      </c>
      <c r="G23" s="1">
        <f t="shared" si="11"/>
        <v>0.69969999999999999</v>
      </c>
      <c r="H23" s="1">
        <f t="shared" si="11"/>
        <v>0.69969999999999999</v>
      </c>
      <c r="I23" s="1">
        <f t="shared" si="11"/>
        <v>0.69969999999999999</v>
      </c>
      <c r="J23" s="1">
        <f t="shared" si="11"/>
        <v>0.69969999999999999</v>
      </c>
      <c r="K23" s="1">
        <f t="shared" si="11"/>
        <v>0.69969999999999999</v>
      </c>
      <c r="L23" s="1">
        <f t="shared" si="11"/>
        <v>0.69969999999999999</v>
      </c>
      <c r="M23" s="4">
        <f t="shared" si="11"/>
        <v>0.69969999999999999</v>
      </c>
      <c r="N23" s="5"/>
    </row>
    <row r="24" spans="1:14" x14ac:dyDescent="0.25">
      <c r="A24" s="17"/>
      <c r="B24" s="1" t="s">
        <v>25</v>
      </c>
      <c r="C24" s="1"/>
      <c r="D24" s="1">
        <f t="shared" ref="D24:M24" si="12">D5-D6</f>
        <v>0.30419999999999997</v>
      </c>
      <c r="E24" s="1">
        <f t="shared" si="12"/>
        <v>0.30419999999999997</v>
      </c>
      <c r="F24" s="1">
        <f t="shared" si="12"/>
        <v>0.30419999999999997</v>
      </c>
      <c r="G24" s="1">
        <f t="shared" si="12"/>
        <v>0.30419999999999997</v>
      </c>
      <c r="H24" s="1">
        <f t="shared" si="12"/>
        <v>0.30419999999999997</v>
      </c>
      <c r="I24" s="1">
        <f t="shared" si="12"/>
        <v>0.30419999999999997</v>
      </c>
      <c r="J24" s="1">
        <f t="shared" si="12"/>
        <v>0.30419999999999997</v>
      </c>
      <c r="K24" s="1">
        <f t="shared" si="12"/>
        <v>0.30419999999999997</v>
      </c>
      <c r="L24" s="1">
        <f t="shared" si="12"/>
        <v>0.30419999999999997</v>
      </c>
      <c r="M24" s="4">
        <f t="shared" si="12"/>
        <v>0.30419999999999997</v>
      </c>
      <c r="N24" s="5"/>
    </row>
    <row r="25" spans="1:14" x14ac:dyDescent="0.25">
      <c r="A25" s="17"/>
      <c r="B25" s="1" t="s">
        <v>29</v>
      </c>
      <c r="C25" s="1"/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4" t="s">
        <v>16</v>
      </c>
      <c r="N25" s="5"/>
    </row>
    <row r="26" spans="1:14" x14ac:dyDescent="0.25">
      <c r="A26" s="17"/>
      <c r="B26" s="1" t="s">
        <v>17</v>
      </c>
      <c r="C26" s="1"/>
      <c r="D26" s="1">
        <v>345</v>
      </c>
      <c r="E26" s="1">
        <f>D26</f>
        <v>345</v>
      </c>
      <c r="F26" s="2">
        <f t="shared" ref="F26:M26" si="13">E26</f>
        <v>345</v>
      </c>
      <c r="G26" s="2">
        <f t="shared" si="13"/>
        <v>345</v>
      </c>
      <c r="H26" s="2">
        <f t="shared" si="13"/>
        <v>345</v>
      </c>
      <c r="I26" s="2">
        <f t="shared" si="13"/>
        <v>345</v>
      </c>
      <c r="J26" s="2">
        <f t="shared" si="13"/>
        <v>345</v>
      </c>
      <c r="K26" s="2">
        <f t="shared" si="13"/>
        <v>345</v>
      </c>
      <c r="L26" s="2">
        <f t="shared" si="13"/>
        <v>345</v>
      </c>
      <c r="M26" s="2">
        <f t="shared" si="13"/>
        <v>345</v>
      </c>
      <c r="N26" s="5"/>
    </row>
    <row r="27" spans="1:14" x14ac:dyDescent="0.25">
      <c r="A27" s="17"/>
      <c r="B27" s="1" t="s">
        <v>33</v>
      </c>
      <c r="C27" s="1" t="s">
        <v>55</v>
      </c>
      <c r="D27" s="1">
        <f>D22*D26</f>
        <v>621000</v>
      </c>
      <c r="E27" s="1">
        <f t="shared" ref="E27:M27" si="14">E22*E26</f>
        <v>603798.30000000005</v>
      </c>
      <c r="F27" s="1">
        <f t="shared" si="14"/>
        <v>586596.6</v>
      </c>
      <c r="G27" s="1">
        <f t="shared" si="14"/>
        <v>569394.90000000014</v>
      </c>
      <c r="H27" s="1">
        <f t="shared" si="14"/>
        <v>552193.20000000019</v>
      </c>
      <c r="I27" s="1">
        <f t="shared" si="14"/>
        <v>534991.50000000012</v>
      </c>
      <c r="J27" s="1">
        <f t="shared" si="14"/>
        <v>517789.8000000001</v>
      </c>
      <c r="K27" s="1">
        <f t="shared" si="14"/>
        <v>500588.10000000015</v>
      </c>
      <c r="L27" s="1">
        <f t="shared" si="14"/>
        <v>483386.4000000002</v>
      </c>
      <c r="M27" s="4">
        <f t="shared" si="14"/>
        <v>466184.70000000024</v>
      </c>
      <c r="N27" s="5"/>
    </row>
    <row r="28" spans="1:14" x14ac:dyDescent="0.25">
      <c r="A28" s="17"/>
      <c r="B28" s="1" t="s">
        <v>18</v>
      </c>
      <c r="C28" s="1"/>
      <c r="D28" s="1">
        <f t="shared" ref="D28:M28" si="15">D4*D25/100-D6</f>
        <v>0.57552399999999992</v>
      </c>
      <c r="E28" s="1">
        <f t="shared" si="15"/>
        <v>0.57552399999999992</v>
      </c>
      <c r="F28" s="1">
        <f t="shared" si="15"/>
        <v>0.57552399999999992</v>
      </c>
      <c r="G28" s="1">
        <f t="shared" si="15"/>
        <v>0.57552399999999992</v>
      </c>
      <c r="H28" s="1">
        <f t="shared" si="15"/>
        <v>0.57552399999999992</v>
      </c>
      <c r="I28" s="1">
        <f t="shared" si="15"/>
        <v>0.57552399999999992</v>
      </c>
      <c r="J28" s="1">
        <f t="shared" si="15"/>
        <v>0.57552399999999992</v>
      </c>
      <c r="K28" s="1">
        <f t="shared" si="15"/>
        <v>0.57552399999999992</v>
      </c>
      <c r="L28" s="1">
        <f t="shared" si="15"/>
        <v>0.57552399999999992</v>
      </c>
      <c r="M28" s="4">
        <f t="shared" si="15"/>
        <v>0.57552399999999992</v>
      </c>
      <c r="N28" s="5"/>
    </row>
    <row r="29" spans="1:14" x14ac:dyDescent="0.25">
      <c r="A29" s="17"/>
      <c r="B29" s="1" t="s">
        <v>34</v>
      </c>
      <c r="C29" s="1" t="s">
        <v>56</v>
      </c>
      <c r="D29" s="1">
        <f>D27/2</f>
        <v>310500</v>
      </c>
      <c r="E29" s="1">
        <f t="shared" ref="E29:M29" si="16">E27/2</f>
        <v>301899.15000000002</v>
      </c>
      <c r="F29" s="1">
        <f t="shared" si="16"/>
        <v>293298.3</v>
      </c>
      <c r="G29" s="1">
        <f t="shared" si="16"/>
        <v>284697.45000000007</v>
      </c>
      <c r="H29" s="1">
        <f t="shared" si="16"/>
        <v>276096.60000000009</v>
      </c>
      <c r="I29" s="1">
        <f t="shared" si="16"/>
        <v>267495.75000000006</v>
      </c>
      <c r="J29" s="1">
        <f t="shared" si="16"/>
        <v>258894.90000000005</v>
      </c>
      <c r="K29" s="1">
        <f t="shared" si="16"/>
        <v>250294.05000000008</v>
      </c>
      <c r="L29" s="1">
        <f t="shared" si="16"/>
        <v>241693.2000000001</v>
      </c>
      <c r="M29" s="4">
        <f t="shared" si="16"/>
        <v>233092.35000000012</v>
      </c>
      <c r="N29" s="5"/>
    </row>
    <row r="30" spans="1:14" x14ac:dyDescent="0.25">
      <c r="A30" s="17"/>
      <c r="B30" s="1" t="s">
        <v>30</v>
      </c>
      <c r="C30" s="1"/>
      <c r="D30" s="1">
        <f t="shared" ref="D30:M30" si="17">D5*D25/100-D6</f>
        <v>0.22748399999999996</v>
      </c>
      <c r="E30" s="1">
        <f t="shared" si="17"/>
        <v>0.22748399999999996</v>
      </c>
      <c r="F30" s="1">
        <f t="shared" si="17"/>
        <v>0.22748399999999996</v>
      </c>
      <c r="G30" s="1">
        <f t="shared" si="17"/>
        <v>0.22748399999999996</v>
      </c>
      <c r="H30" s="1">
        <f t="shared" si="17"/>
        <v>0.22748399999999996</v>
      </c>
      <c r="I30" s="1">
        <f t="shared" si="17"/>
        <v>0.22748399999999996</v>
      </c>
      <c r="J30" s="1">
        <f t="shared" si="17"/>
        <v>0.22748399999999996</v>
      </c>
      <c r="K30" s="1">
        <f t="shared" si="17"/>
        <v>0.22748399999999996</v>
      </c>
      <c r="L30" s="1">
        <f t="shared" si="17"/>
        <v>0.22748399999999996</v>
      </c>
      <c r="M30" s="4">
        <f t="shared" si="17"/>
        <v>0.22748399999999996</v>
      </c>
      <c r="N30" s="5"/>
    </row>
    <row r="31" spans="1:14" x14ac:dyDescent="0.25">
      <c r="A31" s="18"/>
      <c r="B31" s="7" t="s">
        <v>31</v>
      </c>
      <c r="C31" s="7"/>
      <c r="D31" s="7">
        <f>D27*D28+D29*D30</f>
        <v>428034.18599999999</v>
      </c>
      <c r="E31" s="1">
        <f t="shared" ref="E31:M31" si="18">E27*E28+E29*E30</f>
        <v>416177.63904779998</v>
      </c>
      <c r="F31" s="1">
        <f t="shared" si="18"/>
        <v>404321.09209559998</v>
      </c>
      <c r="G31" s="1">
        <f t="shared" si="18"/>
        <v>392464.54514340003</v>
      </c>
      <c r="H31" s="1">
        <f t="shared" si="18"/>
        <v>380607.99819120008</v>
      </c>
      <c r="I31" s="1">
        <f t="shared" si="18"/>
        <v>368751.45123900002</v>
      </c>
      <c r="J31" s="1">
        <f t="shared" si="18"/>
        <v>356894.90428680001</v>
      </c>
      <c r="K31" s="1">
        <f t="shared" si="18"/>
        <v>345038.3573346</v>
      </c>
      <c r="L31" s="1">
        <f t="shared" si="18"/>
        <v>333181.81038240012</v>
      </c>
      <c r="M31" s="4">
        <f t="shared" si="18"/>
        <v>321325.26343020017</v>
      </c>
      <c r="N31" s="5">
        <f>SUM(D31:M31)</f>
        <v>3746797.247151</v>
      </c>
    </row>
    <row r="32" spans="1:14" x14ac:dyDescent="0.25">
      <c r="A32" s="5"/>
      <c r="B32" s="5" t="s">
        <v>21</v>
      </c>
      <c r="C32" s="5"/>
      <c r="D32" s="5">
        <f>D14+D17+D31</f>
        <v>1834434.186</v>
      </c>
      <c r="E32" s="6">
        <f t="shared" ref="E32:M32" si="19">E14+E17+E31</f>
        <v>1822577.6390478001</v>
      </c>
      <c r="F32" s="1">
        <f t="shared" si="19"/>
        <v>1810721.0920956</v>
      </c>
      <c r="G32" s="1">
        <f t="shared" si="19"/>
        <v>1798864.5451434001</v>
      </c>
      <c r="H32" s="1">
        <f t="shared" si="19"/>
        <v>1787007.9981912002</v>
      </c>
      <c r="I32" s="1">
        <f t="shared" si="19"/>
        <v>1775151.4512390001</v>
      </c>
      <c r="J32" s="1">
        <f t="shared" si="19"/>
        <v>1763294.9042868</v>
      </c>
      <c r="K32" s="1">
        <f t="shared" si="19"/>
        <v>1751438.3573346001</v>
      </c>
      <c r="L32" s="1">
        <f t="shared" si="19"/>
        <v>1739581.8103824002</v>
      </c>
      <c r="M32" s="4">
        <f t="shared" si="19"/>
        <v>1727725.2634302001</v>
      </c>
      <c r="N32" s="5">
        <f>SUM(D32:M32)</f>
        <v>17810797.247151002</v>
      </c>
    </row>
    <row r="33" spans="1:14" x14ac:dyDescent="0.25">
      <c r="A33" s="8"/>
      <c r="B33" s="5" t="s">
        <v>47</v>
      </c>
      <c r="C33" s="8"/>
      <c r="D33" s="5">
        <f>0.7*D14+0.7*D17+0.2*D31</f>
        <v>1070086.8372</v>
      </c>
      <c r="E33" s="6">
        <f t="shared" ref="E33:M33" si="20">0.7*E14+0.7*E17+0.2*E31</f>
        <v>1067715.5278095598</v>
      </c>
      <c r="F33" s="1">
        <f t="shared" si="20"/>
        <v>1065344.2184191199</v>
      </c>
      <c r="G33" s="1">
        <f t="shared" si="20"/>
        <v>1062972.9090286798</v>
      </c>
      <c r="H33" s="1">
        <f t="shared" si="20"/>
        <v>1060601.5996382399</v>
      </c>
      <c r="I33" s="1">
        <f t="shared" si="20"/>
        <v>1058230.2902477998</v>
      </c>
      <c r="J33" s="1">
        <f t="shared" si="20"/>
        <v>1055858.9808573599</v>
      </c>
      <c r="K33" s="1">
        <f t="shared" si="20"/>
        <v>1053487.6714669198</v>
      </c>
      <c r="L33" s="1">
        <f t="shared" si="20"/>
        <v>1051116.3620764799</v>
      </c>
      <c r="M33" s="4">
        <f t="shared" si="20"/>
        <v>1048745.0526860398</v>
      </c>
      <c r="N33" s="5">
        <f>SUM(D33:M33)</f>
        <v>10594159.449430199</v>
      </c>
    </row>
    <row r="34" spans="1:14" x14ac:dyDescent="0.25">
      <c r="A34" s="11"/>
      <c r="B34" s="12" t="s">
        <v>49</v>
      </c>
      <c r="C34" s="3">
        <f>C3</f>
        <v>-6000000</v>
      </c>
      <c r="D34" s="12">
        <f>0.3*D16+0.3*D19+0.8*D33</f>
        <v>858019.46976000001</v>
      </c>
      <c r="E34" s="13">
        <f t="shared" ref="E34:M34" si="21">0.3*E16+0.3*E19+0.8*E33</f>
        <v>856121.59124764788</v>
      </c>
      <c r="F34" s="7">
        <f t="shared" si="21"/>
        <v>854223.71273529599</v>
      </c>
      <c r="G34" s="7">
        <f t="shared" si="21"/>
        <v>852325.83422294387</v>
      </c>
      <c r="H34" s="7">
        <f t="shared" si="21"/>
        <v>850427.95571059198</v>
      </c>
      <c r="I34" s="7">
        <f t="shared" si="21"/>
        <v>848530.07719823986</v>
      </c>
      <c r="J34" s="7">
        <f t="shared" si="21"/>
        <v>846632.19868588797</v>
      </c>
      <c r="K34" s="7">
        <f t="shared" si="21"/>
        <v>844734.32017353585</v>
      </c>
      <c r="L34" s="7">
        <f t="shared" si="21"/>
        <v>842836.44166118396</v>
      </c>
      <c r="M34" s="14">
        <f t="shared" si="21"/>
        <v>840938.56314883183</v>
      </c>
      <c r="N34" s="12">
        <f>SUM(D34:M34)</f>
        <v>8494790.1645441595</v>
      </c>
    </row>
    <row r="35" spans="1:14" x14ac:dyDescent="0.25">
      <c r="A35" s="8"/>
      <c r="B35" s="5" t="s">
        <v>48</v>
      </c>
      <c r="C35" s="8">
        <f>C3</f>
        <v>-6000000</v>
      </c>
      <c r="D35" s="8">
        <f>C35*0.04</f>
        <v>-240000</v>
      </c>
      <c r="E35" s="8">
        <f>D35</f>
        <v>-240000</v>
      </c>
      <c r="F35" s="8">
        <f t="shared" ref="F35:M35" si="22">E35</f>
        <v>-240000</v>
      </c>
      <c r="G35" s="8">
        <f t="shared" si="22"/>
        <v>-240000</v>
      </c>
      <c r="H35" s="8">
        <f t="shared" si="22"/>
        <v>-240000</v>
      </c>
      <c r="I35" s="8">
        <f t="shared" si="22"/>
        <v>-240000</v>
      </c>
      <c r="J35" s="8">
        <f t="shared" si="22"/>
        <v>-240000</v>
      </c>
      <c r="K35" s="8">
        <f t="shared" si="22"/>
        <v>-240000</v>
      </c>
      <c r="L35" s="8">
        <f t="shared" si="22"/>
        <v>-240000</v>
      </c>
      <c r="M35" s="8">
        <f t="shared" si="22"/>
        <v>-240000</v>
      </c>
      <c r="N35" s="8"/>
    </row>
    <row r="36" spans="1:14" x14ac:dyDescent="0.25">
      <c r="A36" s="8"/>
      <c r="B36" s="5" t="s">
        <v>50</v>
      </c>
      <c r="C36" s="8">
        <f>C3</f>
        <v>-6000000</v>
      </c>
      <c r="D36" s="8">
        <f>C36+D35+D34</f>
        <v>-5381980.5302400002</v>
      </c>
      <c r="E36" s="8">
        <f t="shared" ref="E36:M36" si="23">D36+E35+E34</f>
        <v>-4765858.9389923522</v>
      </c>
      <c r="F36" s="8">
        <f t="shared" si="23"/>
        <v>-4151635.226257056</v>
      </c>
      <c r="G36" s="8">
        <f t="shared" si="23"/>
        <v>-3539309.392034112</v>
      </c>
      <c r="H36" s="8">
        <f t="shared" si="23"/>
        <v>-2928881.4363235198</v>
      </c>
      <c r="I36" s="8">
        <f t="shared" si="23"/>
        <v>-2320351.3591252798</v>
      </c>
      <c r="J36" s="8">
        <f t="shared" si="23"/>
        <v>-1713719.1604393919</v>
      </c>
      <c r="K36" s="8">
        <f t="shared" si="23"/>
        <v>-1108984.8402658561</v>
      </c>
      <c r="L36" s="8">
        <f t="shared" si="23"/>
        <v>-506148.39860467217</v>
      </c>
      <c r="M36" s="8">
        <f t="shared" si="23"/>
        <v>94790.164544159663</v>
      </c>
      <c r="N36" s="8"/>
    </row>
    <row r="37" spans="1:14" x14ac:dyDescent="0.25">
      <c r="A37" s="8"/>
      <c r="B37" s="5" t="s">
        <v>51</v>
      </c>
      <c r="C37" s="8">
        <f>C3</f>
        <v>-6000000</v>
      </c>
      <c r="D37" s="8">
        <f>C37+D35+D34+D33</f>
        <v>-4311893.6930400003</v>
      </c>
      <c r="E37" s="8">
        <f t="shared" ref="E37:M37" si="24">D37+E35+E34+E33</f>
        <v>-2628056.5739827924</v>
      </c>
      <c r="F37" s="8">
        <f t="shared" si="24"/>
        <v>-948488.6428283765</v>
      </c>
      <c r="G37" s="8">
        <f t="shared" si="24"/>
        <v>726810.1004232472</v>
      </c>
      <c r="H37" s="8">
        <f t="shared" si="24"/>
        <v>2397839.6557720792</v>
      </c>
      <c r="I37" s="8">
        <f t="shared" si="24"/>
        <v>4064600.0232181191</v>
      </c>
      <c r="J37" s="8">
        <f t="shared" si="24"/>
        <v>5727091.202761367</v>
      </c>
      <c r="K37" s="8">
        <f t="shared" si="24"/>
        <v>7385313.1944018221</v>
      </c>
      <c r="L37" s="8">
        <f t="shared" si="24"/>
        <v>9039265.9981394857</v>
      </c>
      <c r="M37" s="8">
        <f t="shared" si="24"/>
        <v>10688949.613974357</v>
      </c>
      <c r="N37" s="8"/>
    </row>
    <row r="38" spans="1:14" x14ac:dyDescent="0.25">
      <c r="B38" s="10"/>
    </row>
    <row r="39" spans="1:14" x14ac:dyDescent="0.25">
      <c r="B39" s="10"/>
    </row>
    <row r="40" spans="1:14" x14ac:dyDescent="0.25">
      <c r="B40" s="10"/>
    </row>
    <row r="41" spans="1:14" x14ac:dyDescent="0.25">
      <c r="B41" s="3" t="s">
        <v>52</v>
      </c>
      <c r="D41" s="3">
        <f>D27*D28</f>
        <v>357400.40399999998</v>
      </c>
      <c r="E41" s="3">
        <f>0.9723*D41</f>
        <v>347500.4128092</v>
      </c>
      <c r="F41" s="3">
        <f t="shared" ref="F41:M41" si="25">0.9723*E41</f>
        <v>337874.65137438517</v>
      </c>
      <c r="G41" s="3">
        <f t="shared" si="25"/>
        <v>328515.52353131474</v>
      </c>
      <c r="H41" s="3">
        <f t="shared" si="25"/>
        <v>319415.64352949732</v>
      </c>
      <c r="I41" s="3">
        <f t="shared" si="25"/>
        <v>310567.83020373026</v>
      </c>
      <c r="J41" s="3">
        <f t="shared" si="25"/>
        <v>301965.10130708694</v>
      </c>
      <c r="K41" s="3">
        <f t="shared" si="25"/>
        <v>293600.66800088063</v>
      </c>
      <c r="L41" s="3">
        <f t="shared" si="25"/>
        <v>285467.92949725623</v>
      </c>
      <c r="M41" s="3">
        <f t="shared" si="25"/>
        <v>277560.46785018226</v>
      </c>
      <c r="N41" s="5">
        <f t="shared" ref="N41:N43" si="26">SUM(D41:M41)</f>
        <v>3159868.6321035339</v>
      </c>
    </row>
    <row r="42" spans="1:14" x14ac:dyDescent="0.25">
      <c r="B42" s="3" t="s">
        <v>53</v>
      </c>
      <c r="D42" s="3">
        <f>D30*D29</f>
        <v>70633.781999999992</v>
      </c>
      <c r="E42" s="3">
        <f>0.9723*D42</f>
        <v>68677.226238599993</v>
      </c>
      <c r="F42" s="3">
        <f t="shared" ref="F42:M42" si="27">0.9723*E42</f>
        <v>66774.867071790781</v>
      </c>
      <c r="G42" s="3">
        <f t="shared" si="27"/>
        <v>64925.203253902182</v>
      </c>
      <c r="H42" s="3">
        <f t="shared" si="27"/>
        <v>63126.775123769097</v>
      </c>
      <c r="I42" s="3">
        <f t="shared" si="27"/>
        <v>61378.163452840694</v>
      </c>
      <c r="J42" s="3">
        <f t="shared" si="27"/>
        <v>59677.98832519701</v>
      </c>
      <c r="K42" s="3">
        <f t="shared" si="27"/>
        <v>58024.908048589059</v>
      </c>
      <c r="L42" s="3">
        <f t="shared" si="27"/>
        <v>56417.618095643142</v>
      </c>
      <c r="M42" s="3">
        <f t="shared" si="27"/>
        <v>54854.850074393828</v>
      </c>
      <c r="N42" s="5">
        <f t="shared" si="26"/>
        <v>624491.38168472575</v>
      </c>
    </row>
    <row r="43" spans="1:14" x14ac:dyDescent="0.25">
      <c r="B43" s="3" t="s">
        <v>54</v>
      </c>
      <c r="D43" s="3">
        <f>SUM(D41:D42)</f>
        <v>428034.18599999999</v>
      </c>
      <c r="E43" s="3">
        <f>SUM(E41:E42)</f>
        <v>416177.63904779998</v>
      </c>
      <c r="F43" s="3">
        <f t="shared" ref="F43:M43" si="28">SUM(F41:F42)</f>
        <v>404649.51844617596</v>
      </c>
      <c r="G43" s="3">
        <f t="shared" si="28"/>
        <v>393440.72678521695</v>
      </c>
      <c r="H43" s="3">
        <f t="shared" si="28"/>
        <v>382542.41865326639</v>
      </c>
      <c r="I43" s="3">
        <f t="shared" si="28"/>
        <v>371945.99365657096</v>
      </c>
      <c r="J43" s="3">
        <f t="shared" si="28"/>
        <v>361643.08963228395</v>
      </c>
      <c r="K43" s="3">
        <f t="shared" si="28"/>
        <v>351625.5760494697</v>
      </c>
      <c r="L43" s="3">
        <f t="shared" si="28"/>
        <v>341885.54759289935</v>
      </c>
      <c r="M43" s="3">
        <f t="shared" si="28"/>
        <v>332415.31792457611</v>
      </c>
      <c r="N43" s="5">
        <f t="shared" si="26"/>
        <v>3784360.0137882596</v>
      </c>
    </row>
  </sheetData>
  <mergeCells count="5">
    <mergeCell ref="C1:M1"/>
    <mergeCell ref="A4:A8"/>
    <mergeCell ref="A18:A31"/>
    <mergeCell ref="A15:A17"/>
    <mergeCell ref="A9:A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赵磊</dc:creator>
  <cp:lastModifiedBy>chengling</cp:lastModifiedBy>
  <dcterms:created xsi:type="dcterms:W3CDTF">2018-07-18T09:34:46Z</dcterms:created>
  <dcterms:modified xsi:type="dcterms:W3CDTF">2019-08-05T03:49:02Z</dcterms:modified>
</cp:coreProperties>
</file>