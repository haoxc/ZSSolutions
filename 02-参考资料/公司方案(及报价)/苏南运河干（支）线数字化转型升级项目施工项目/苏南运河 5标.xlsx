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1"/>
  </bookViews>
  <sheets>
    <sheet name="封面" sheetId="1" r:id="rId1"/>
    <sheet name="说明" sheetId="2" r:id="rId2"/>
    <sheet name="汇总" sheetId="3" r:id="rId3"/>
    <sheet name="工程量清单" sheetId="4" r:id="rId4"/>
  </sheets>
  <definedNames>
    <definedName name="_xlnm.Print_Titles" localSheetId="3">工程量清单!$1:$3</definedName>
    <definedName name="_xlnm.Print_Area" localSheetId="2">汇总!$A$1:$C$19</definedName>
    <definedName name="_xlnm._FilterDatabase" localSheetId="3" hidden="1">工程量清单!$A$3:$I$312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<sst xmlns="http://schemas.openxmlformats.org/spreadsheetml/2006/main" count="1221" uniqueCount="364">
  <si>
    <t>苏南运河干（支）线数字化转型升级项目施工项目（SZH-SNSG5标段）</t>
  </si>
  <si>
    <t>工程量清单</t>
  </si>
  <si>
    <t>招 标 人：</t>
  </si>
  <si>
    <t>江苏省交通运输厅港航事业发展中心</t>
  </si>
  <si>
    <t>投 标 人：</t>
  </si>
  <si>
    <t xml:space="preserve"> </t>
  </si>
  <si>
    <t>（电子签章）</t>
  </si>
  <si>
    <t>编制时间：</t>
  </si>
  <si>
    <t>工程量清单说明</t>
  </si>
  <si>
    <t>项目名称：苏南运河干（支）线数字化转型升级项目施工项目（SZH-SNSG5标段）</t>
  </si>
  <si>
    <t xml:space="preserve">    1.本工程量清单应与招标文件中的投标人须知、通用合同条款、专用合同条款、工程量清单计量规则、技术规范及图纸等一起阅读和理解。</t>
  </si>
  <si>
    <t xml:space="preserve">    2.工程量清单中所列工程量的变动，丝毫不会降低或影响合同条款的效力，也不免除承包人按规定的标准进行施工和修复缺陷的责任。</t>
  </si>
  <si>
    <t xml:space="preserve">    3.图纸中所列的工程数量表及数量汇总表仅是提供资料，不是工程量清单的外延。当图纸与工程量清单所列数量不一致时，以工程量清单所列数量作为报价的依据。</t>
  </si>
  <si>
    <t xml:space="preserve">    4.承包人负责与供电部门协调沟通，负责点位开户挂电表，含供电线路、相关接入设备、设备安装调试、架空或埋地线路等工作量，至交工验收后5年内的合同范围内所有设备系统运行等所发生的电费由承包人承担，上述费用均含在相关细目报价中，不单独计量与支付。</t>
  </si>
  <si>
    <t xml:space="preserve">    5.承包人负责网络的接入工作，含通信光缆、相关接入设备、设备安装调试、架空或埋地线路等工作量，至交工验收后5年内的网络租赁和使用费应由承包人承担，具体数量及要求详见设计文件，上述费用均含在相关细目报价中，不单独计量与支付。</t>
  </si>
  <si>
    <t xml:space="preserve">    6.杆件（立杆）费用中包含点位所需设备与杆件运输、杆件施工、辅材配件采购、线缆线路敷设、设备及配件安装、绿化破坏补偿恢复等全部费用。</t>
  </si>
  <si>
    <t xml:space="preserve">    7.对于工程量清单中所有为完成相关设备或系统安装和调试所需的、但未在工程量清单中列出的辅材(包括设备安装附件、跳纤、尾纤、插头、接头等)，费用包含在清单单价或总价中。</t>
  </si>
  <si>
    <t xml:space="preserve">    8.工程量清单中各项金额均以人民币（元）结算。</t>
  </si>
  <si>
    <t>汇总表</t>
  </si>
  <si>
    <t>序号</t>
  </si>
  <si>
    <t>项目名称</t>
  </si>
  <si>
    <t>金额（元）</t>
  </si>
  <si>
    <t>一</t>
  </si>
  <si>
    <t>数据工程费</t>
  </si>
  <si>
    <t>二</t>
  </si>
  <si>
    <t>设备购置及安装调试费</t>
  </si>
  <si>
    <t>三</t>
  </si>
  <si>
    <t>工程其他费用</t>
  </si>
  <si>
    <t>四</t>
  </si>
  <si>
    <t>清单小计</t>
  </si>
  <si>
    <t>五</t>
  </si>
  <si>
    <t>暂列金（3%）</t>
  </si>
  <si>
    <t>六</t>
  </si>
  <si>
    <t>安全生产费（1.5%）</t>
  </si>
  <si>
    <t>七</t>
  </si>
  <si>
    <t>工伤保险费（3‰）</t>
  </si>
  <si>
    <t>总计</t>
  </si>
  <si>
    <t>投标人：</t>
  </si>
  <si>
    <t>法定代表人或其授权代理人：</t>
  </si>
  <si>
    <t>日期：</t>
  </si>
  <si>
    <t>主要建设内容</t>
  </si>
  <si>
    <t>单位</t>
  </si>
  <si>
    <t>数量</t>
  </si>
  <si>
    <t>单价
（元）</t>
  </si>
  <si>
    <t>小计
（元）</t>
  </si>
  <si>
    <t>备注</t>
  </si>
  <si>
    <t>智慧船闸</t>
  </si>
  <si>
    <t>1.1.1</t>
  </si>
  <si>
    <t>航道数字孪生数据</t>
  </si>
  <si>
    <t>1.1.1.1</t>
  </si>
  <si>
    <t>辖区内苏南运河航道采集建模（含护岸、桥梁、航标等粗模）</t>
  </si>
  <si>
    <t>航道采集建模宽度0.4km</t>
  </si>
  <si>
    <t>公里</t>
  </si>
  <si>
    <t>1.1.2</t>
  </si>
  <si>
    <t>与省市系统对接</t>
  </si>
  <si>
    <t>项</t>
  </si>
  <si>
    <t>智慧水上服务区</t>
  </si>
  <si>
    <t>1.2.1</t>
  </si>
  <si>
    <t>设备购置费</t>
  </si>
  <si>
    <t>2.1.1</t>
  </si>
  <si>
    <t>张家港二号闸</t>
  </si>
  <si>
    <t>2.1.1.1</t>
  </si>
  <si>
    <t>远调站船舶吃水、超高检测设备</t>
  </si>
  <si>
    <t>（1）</t>
  </si>
  <si>
    <t>检测相机</t>
  </si>
  <si>
    <t>具体技术要求：
1、不低于400万像素；
2、宽动态：不低于120 dB；
3、最低照度：彩色模式：≤0.0005lx，黑白模式：≤0.0001lx；
4、传感器类型：不小于1/1.8英寸CMOS；
5、焦距：不小于2.8~12 mm，拍摄距离满足本项目检测距离需求；
6、补光：混光（红外+暖白），不低于4颗灯珠，补光距离不小于50m，具备补光自适应功能；
7、视频压缩标准：H.265/H.264/MJPEG；
8、网络：具备RJ45 10 M/100 M/1000 M自适应以太网口、RS-485接口；
9、报警：具备掉线、遮挡报警等功能，提供SDK包二次开发使用；
10、报警信号联动：不少于3路输入、2路输出；
11、具有独立的IP地址，可以直接接入以太网络，并可以通过客户端自动搜索IP地址；
12、供电方式：支持DC12V/PoE供电，具备防反接保护；
13、功能：内置GPU，具备防抖、降噪、加热、除湿等功能，具备防雷、防浪涌保护；
14、工作温湿度：温度不低于-30 °C~60 °C，湿度不低于5%~95%@40℃，无凝结；
15、防护：不低于IP66；
16、含接地、安装支架等配套设备。
17、含五年原厂质保</t>
  </si>
  <si>
    <t>台</t>
  </si>
  <si>
    <t>（2）</t>
  </si>
  <si>
    <t>抓拍相机</t>
  </si>
  <si>
    <t>具体技术要求：
1、不低于800万像素；
2、采用不小于1英寸CMOS；
3、视频采用H.265、H.264或MJPEG编码；
4、图像控制：曝光速度、AGC控制、白平衡方式控制等；
5、压缩输出码率：不低于32 Kbps~16 Mbps；
6、镜头规格：25mm，拍摄距离满足本项目抓拍距离需求；
7、快门速度是 50us到9000us；
8、光圈类型：自动光圈或手动光圈（支持远程调节）；
9、触发输出：不少于4路F+/F-输出接口，作为补光灯同步输出控制；
10、触发输入：不少于1路触发/报警输入；
11、补光：暖白光，不低于3颗灯珠，补光距离不小于40米；具备补光自适应功能；
12、功能：内置GPU，具备防抖、降噪、加热、除湿等功能，具备防雷、防浪涌保护；
13、通讯接口：具备RJ45 10 M/100 M/1000 M自适应以太网口、RS-485接口；
14、报警：具备掉线、遮挡报警等功能，提供SDK包二次开发使用；
15、具有独立的IP地址，可以直接接入以太网络，并可以通过客户端自动搜索IP地址；
16、工作温湿度：温度不低于-30 °C~70 °C，湿度不低于5%~95%@40℃，无凝结；
17、防护：不低于IP66；
18、含接地、安装支架等配套设备；
19、五年原厂质保</t>
  </si>
  <si>
    <t>（3）</t>
  </si>
  <si>
    <t>长距激光雷达</t>
  </si>
  <si>
    <t>具体技术要求：
1、单帧线束：不低于128线；
2、激光波长：不低于905nm；
3、探测范围：不弱于1.5~400m；
4、探测距离：最远探测距离400m ，在10%反射率条件下≥250m；
5、视场角：不低于(H*V) 120°X 18°；
6、角分辨率：不高于(H*V)0.16°* 0.17°；
7、防水及防尘等级：IP67；
8、测距精度：土3cm(1σ)；
9、帧率：5~20FPS，可调节；
10、工作温度： -40℃~85℃；
11、储存温度：-40℃~105℃；
12、人眼安全等级：Class1(IEC-60825)；
13、额定电压：12/24V DC；
14、额定功率：&lt;20w；
15、数据传输接口：1000Base-T1以太网；
16、点云扫描点频：不低于80万点/秒；
17、时间同步：具备网络时间同步功能；
18、五年原厂质保</t>
  </si>
  <si>
    <t>（4）</t>
  </si>
  <si>
    <t>补光灯</t>
  </si>
  <si>
    <t>具体技术要求：
1、灯珠：不少于24颗LED光源；
2、补光方式：支持LED频闪、LED爆闪、白光气体爆闪及红外气体爆闪四种补光方式；
3、光源波长：混合光源（红外+暖白光）；
4、发光角度：满足相机实际使用需求；
5、最佳投射距离：不低于20米，满足实际抓拍补光要求；
6、亮度调节： 自动控制；
7、工作环境温度：不低于-30℃ - 60℃；
8、工作环境湿度：湿度小于95%，无凝结；
9、外壳材质：金属铝；
10、防护等级：不低于IP66；
11、安装方式：万向节等安装方式，含安装支架等辅材。</t>
  </si>
  <si>
    <t>（5）</t>
  </si>
  <si>
    <t>AIS接收设备</t>
  </si>
  <si>
    <t>频率范围：156.025MHz~162.025MHz；
信道带宽：25KHz(默认)/12.5kHz；
AIS接收机灵敏度：≤-110dBm（20%误包率）
接收范围：≥2km
接口：支持RS232或RS485。</t>
  </si>
  <si>
    <t>（6）</t>
  </si>
  <si>
    <t>船舶超高.吃水检测计算单元</t>
  </si>
  <si>
    <t>具体技术要求：
1、处理器：单颗处理器，核心数≥20核，主频≥2.0GHz；国产自主可控；
2、内存：≥128GB DDR4，≥2666MHz；
3、硬盘：≥1块SATA SSD 960G硬盘；
4、GPU：显存≥8G，TFLOPS≥242；
5、接口：≥2个千兆网口；
6、工作温度：-10 ~ 60 °C；
6、适用于船闸运行环境，无故障运行时间不低于1万小时；
8、含功能算法，具体技术要求见设计说明书。
9、硬件5年原厂质保。</t>
  </si>
  <si>
    <t>（7）</t>
  </si>
  <si>
    <t>8米立杆</t>
  </si>
  <si>
    <t>含杆件、横臂、基础、接地及安装配件等</t>
  </si>
  <si>
    <t>根</t>
  </si>
  <si>
    <t>（8）</t>
  </si>
  <si>
    <t>智能机箱（摄像机）</t>
  </si>
  <si>
    <t>机箱规格
1.机箱尺寸（净容积） 视频监控机箱：净容积不低于 高 600×宽 500×深 250（mm）
2.机箱材质：不低于1.2mm厚镀锌钢板，机箱表面静电喷塑处理
柜体参数 
3.工作环境温度 -20℃～70℃
4.智能机箱门锁：配置电子锁具，支持远程网络开锁和机械开锁功能
5.状态采集：配置有状态采集装置，能够实现电源状态、网络状态、开关门状态、温湿度和漏电等运行环境基本数据采集；
6.开门抓拍装置：内置摄像头和补光灯，具备开门抓拍功能；
7.散热：箱侧配置不少于2个120mm×120mm成品防尘散热格栅及对应温控风扇；
8.配电装置：机箱配置DIN导轨配电单元，配有微型断路器、40kA通流量单相电源防雷保护装置、接地汇流装置和2位交流电源；
基本功能 
9.负载控制：提供不少于4路可控输出，每路负载电源具备独立控制和独立重启功能；
10.电力参数采集：可监测不少于4路负载电源状态，实时采集每路负载电压、电流等参数并显示在后台系统；
11.报警和定位：具备供电供网异常、漏电和箱门开启等报警功能，具备BDS定位功能；
13.机箱外壳防护：防护等级不低于IP55；
14.网络安全：具有内外网络安全隔离网闸功能；
15.数据上传：机箱采集数据能够上传省港航机箱管理系统平台；
16.5年原厂质保</t>
  </si>
  <si>
    <t>套</t>
  </si>
  <si>
    <t>（9）</t>
  </si>
  <si>
    <t>工业以太网交换机（含光模块）</t>
  </si>
  <si>
    <t>全网管二层工业交换机
满足国产自主可控；
千兆电口：≥5;
千兆光口（含光模块）:≥2；
交换容量：≥20G；
包转发率：≥14.88 Mpps；
工作温度：-40℃ ~ +75℃ ；
支持VLAN，支持流量控制；支持QOS，支持SNMP 网管，支持链路聚合</t>
  </si>
  <si>
    <t>（10）</t>
  </si>
  <si>
    <t>安装调试、附件及辅材</t>
  </si>
  <si>
    <t>包括安装、调试，相关线缆、防雷装置等附件，以及相关辅材等所有其他费用</t>
  </si>
  <si>
    <t>2.1.1.2</t>
  </si>
  <si>
    <t>船名船号、数量识别设备</t>
  </si>
  <si>
    <t>船舶身份.数量识别计算单元</t>
  </si>
  <si>
    <t>具体技术要求：
1、处理器：单颗处理器，核心数≥8核，主频≥2.2GHz，并与算法匹配；国产自主可控；
2、内存：≥32GB DDR4；
3、硬盘：存储≥512G；
4、GPU：显存≥8GB，AI算力 ≥100 TOPS INT8；
5、接口：≥4个千兆自适应以太网口；
6、工作温度：-10℃~60℃；
7、适用于船闸运行环境，无故障运行时间不低于1万小时；
8、含功能算法，具体技术要求见设计说明书。
9、硬件5年原厂质保。</t>
  </si>
  <si>
    <t>6.5米立杆</t>
  </si>
  <si>
    <t>2.1.1.3</t>
  </si>
  <si>
    <t>系缆安全监测设备</t>
  </si>
  <si>
    <t>实现对闸室内首尾档船舶的系换缆识别</t>
  </si>
  <si>
    <t>系缆检测枪机</t>
  </si>
  <si>
    <t>具体技术要求：
1、双通道相机，通道1不低于800万像素，通道2不低于400万像素；
2、宽动态：不低于120 dB；
3、最低照度：通道1：0.001lux（彩色模式）；0.0001lux（黑白模式）；通道2：0.002lux（彩色模式）；0.0002lux（黑白模式）；
4、传感器类型：通道1：不小于1/1.8英寸 CMOS；通道2：不小于1/2.5英寸CMOS；
5、焦距：通道1：不小于10~50mm；通道2：不小于3.6mm；拍摄距离满足本项目检测距离需求；
6、补光：通道1：混合补光，不低于5颗灯珠，补光距离不小于80m；通道2：混合补光，补光距离不小于30m；具备补光自适应功能；
7、视频压缩标准：H.265/H.264/MJPEG；
8、网络：具备RJ45 10 M/100 M/1000 M自适应以太网口、RS-485接口；
9、报警：具备掉线、遮挡报警等功能，提供SDK包开发使用；
10、报警信号联动：不少于3路输入、2路输出；
11、具有独立的IP地址，可以直接接入以太网络，并可以通过客户端自动搜索IP地址；
12、报警信号联动：具备报警输入、输出；
13、工作温湿度：温度不低于-30 °C~60 °C，湿度不低于5%~95%@40℃，无凝结；
14、防护：不低于IP66；
15、含接地、安装支架等配套设备。
16、五年原厂质保</t>
  </si>
  <si>
    <t>系换缆状态监测计算单元</t>
  </si>
  <si>
    <t>2.1.1.4</t>
  </si>
  <si>
    <t>船舶过闸航行状态监测设备</t>
  </si>
  <si>
    <t>实现对进闸及闸室内船舶的高度、数量、长宽、速度、吃水、位置、入档情况、跟艄距离以及闸室出空进行监测</t>
  </si>
  <si>
    <t>闸室中间2台，闸首向内两台，向外2台</t>
  </si>
  <si>
    <t>闸门外区域补盲</t>
  </si>
  <si>
    <t>船舶过闸航行状态监测计算单元</t>
  </si>
  <si>
    <t>全网管二层工业交换机
满足国产自主可控；
千兆电口：≥5;
千兆光口（含光模块）:≥2；
交换容量：≥20G；
包转发率：≥14.88 Mpps；
工作温度：-40℃ ~ +75℃；
支持VLAN，支持流量控制；支持QOS，支持SNMP 网管，支持链路聚合</t>
  </si>
  <si>
    <t>2.1.1.5</t>
  </si>
  <si>
    <t>闸门区域运行检测</t>
  </si>
  <si>
    <t>(1)</t>
  </si>
  <si>
    <t>(2)</t>
  </si>
  <si>
    <t>闸门运行区域监测计算单元</t>
  </si>
  <si>
    <t>(3)</t>
  </si>
  <si>
    <t>2.1.1.6</t>
  </si>
  <si>
    <t>船闸全域视频监控</t>
  </si>
  <si>
    <t>室外遥控球型摄像机</t>
  </si>
  <si>
    <t>像素不低于400万
1.基础参数：
传感器类型：不小于1/1.8英寸CMOS；
最低照度：彩色：最低照度不高于0.0005Lux，黑白：最低照度不高于0.0001Lux；
光学变倍：不低于32倍；
2.镜头：
焦距：范围不小于6.0mm～192 mm；
聚焦模式：手动、自动；
最大光圈数：性能规格不低于F1.6；
3.补光
补光灯距离：不低于250m；
4.云台： 
水平范围：360°；
垂直范围：范围不小于-15°～90°；
水平速度：不低于180°/s，水平预置位转速不低于 180°/s；
垂直速度：不低于75°/s，垂直预置位转速不低于 75°/s；
预置点：不少于300个；
5，视频
视频压缩标准：H.265；H.264；MJPEG；
6.图像
日夜转换模式：自动；
图像防抖：支持
图像增强：强光抑制；
宽动态：宽动态范围不小于120dB；
透雾：支持；
7.接口
网络接口：不少于1个RJ-45网口,自适应10M/100M网络数据；
8.其他
雨刷：支持；
防护等级：不低于IP66；
9.含5年原厂质保</t>
  </si>
  <si>
    <t>室外固定枪式摄像机</t>
  </si>
  <si>
    <t>像素不低于400万
1.基础参数
传感器类型：不小于1/1.8英寸CMOS；
最低照度：彩色：最低照度不高于0.0005Lux，黑白：最低照度不高于0.0003Lux；
光学变倍：不低于4倍；
2.镜头
焦距：最小焦距8mm～11mm，最大焦距不小于32mm；
大光圈数：性能规格不低于F1.6；
3.补光
补光距离：不低于50m；
4.视频
视频压缩标准：H.265；H.264；MJPEG；
5.图像
日夜转换模式：自动；
图像增强：背光补偿，强光抑制，透雾，3D降噪；
图像防抖：支持
宽动态：宽动态范围不小于120dB；
透雾：支持；
强光抑制：支持；
6.接口
网络：不少于1个RJ-45网口，自适应10M/100M网络数据；
7.其他
防护：不低于IP66；
8.含5年原厂质保</t>
  </si>
  <si>
    <t>15米立杆</t>
  </si>
  <si>
    <t>含杆件、支架、基础、接地及安装配件等</t>
  </si>
  <si>
    <t>全网管二层工业交换机
满足国产自主可控；
千兆电口：≥5;
千兆光口（含光模块）:≥2；
交换容量：≥20G；
包转发率：≥14.88 Mpps；
工作温度：-40℃ ~ +75℃  ；
支持VLAN，支持流量控制；支持QOS，支持SNMP 网管，支持链路聚合</t>
  </si>
  <si>
    <t>船闸全域视频监控计算单元</t>
  </si>
  <si>
    <t>2.1.1.7</t>
  </si>
  <si>
    <t>套闸水文监测</t>
  </si>
  <si>
    <t>雷达流速流向仪</t>
  </si>
  <si>
    <t>量程：流速0.1～20m/s
精度：±0.01m/s
分辨率：0.01m/s
通讯接口：RS485/MODUBS
工作频段：24~26.5GHz
防护等级：不低于IP65
流速方向识别：双向自动识别
5年原厂质保</t>
  </si>
  <si>
    <t>遥测终端机</t>
  </si>
  <si>
    <t>RJ45接口：≥1路；
电源输出：≥1路；
RS485接口：≥1路；
MTBF：≥50000h。
支持数据定时自报、增量上报和召测应答功能；
具有网络检测、电源检测和异常报警功能</t>
  </si>
  <si>
    <t>2.1.1.8</t>
  </si>
  <si>
    <t>船舶过闸综合辅助终端</t>
  </si>
  <si>
    <t>过闸辅助终端服务器</t>
  </si>
  <si>
    <t>CPU：国产化芯片，≥2颗，C86架构：单颗核心数≥20核、主频≥2.4GHz，或ARM架构：单颗核心数≥32核、主频≥2.5GHz支持国产替代和软件适配开发；
内存：≥128G；
硬盘：≥1TB NVME，≥10TB SAS；
网卡：≥2个千兆电口；
电源：≥2个800W电源；
含国产操作系统
五年原厂质保</t>
  </si>
  <si>
    <t>配套软件</t>
  </si>
  <si>
    <t>详见施工图设计方案</t>
  </si>
  <si>
    <t>客户端电脑</t>
  </si>
  <si>
    <t>配置：商用台式机，CPU不低于3.3G（四核），不低于16GB内存，不低于1TB固态硬盘.独立显卡不低于2G，板载10-100-1000M 网卡， USB3.0接口，音频输出接口；配套不低于24寸液晶显示器，含键盘鼠标和正版操作系统，五年原厂质保</t>
  </si>
  <si>
    <t>2.1.1.9</t>
  </si>
  <si>
    <t>高清视频改造</t>
  </si>
  <si>
    <t>新增监控15米立杆，含基础法兰及安装附件等</t>
  </si>
  <si>
    <t>(4)</t>
  </si>
  <si>
    <t>(5)</t>
  </si>
  <si>
    <t>2.1.1.10</t>
  </si>
  <si>
    <t>显示系统升级改造（张家港船闸）</t>
  </si>
  <si>
    <t>55寸液晶拼接屏</t>
  </si>
  <si>
    <t>1）背光类型：LED；
2）分辨率：1920×1080；
3）亮度：500cd/m2；
4）静态对比度：3500:1；
5）双边拼缝：0.88mm；
6）控制方式：RS232串口控制，红外遥控；
7）典型功耗：不超过230W；
8）待机功耗：≤1W；
9）信号 输入：VGA(D-Sub)*1、HDMI*1、RS232(RJ45)*1、USB（升级和多媒体）等；
10）信号 输出：RS232(RJ45)*1等；
11）工作温度：0℃~40℃。
12）支持智能背光控制，可根据图像调节局部背光源的亮度。
13）5年原厂质保</t>
  </si>
  <si>
    <t>安装支架</t>
  </si>
  <si>
    <t>1）与监控调度中心的整体风格一致，应根据现场实际情况及时调整，满足工作需要；
2）前维护液压支架设计结构合理，模块化设计达到现场能快速安装显示器，同时，保证安装孔位可微调，达到各显示器间的相对位置安装协调。应更换方便快捷，拆装，使用寿命长，易于日常维护，缩短维修时间。要求设备放置于基座上进行可靠固定，内部采用工字钢及角铁进行焊接后进行防腐处理。
3）柜架结构件采用优质冷轧钢板，应有足够的强度和刚度，应能承受所安装屏体重量。以保证其刚性及方正性，表面喷涂为汽车考漆工艺。采用绿色环保、对人体安全的、无刺激性味的材料</t>
  </si>
  <si>
    <t>视频处理器</t>
  </si>
  <si>
    <t>1）采用可维护性设计，支持输入板卡、输出板卡、预监板卡的热插拔功能，设备无需关机重启和设置，更换板卡后快速恢复之前图层数据，保证画面正常播放；配置不低于24路HDMI输入接口，4路VGA输入接口；不低于24路HDMI输出接口；
2）支持灵活更换输入板卡和输出板卡。
3）设备采用插卡式结构，可监测设备温度、电压在线状态b。
4）设备可满足低温极限工作温度0℃，高温极限工作温度50℃。设备可满足高温高湿工作环境为50℃&amp;85%RH。
5）机箱进风口采用防尘设计，降低设备内部积尘导致的散热、短路等风险，提升产品环境适应性。
整机拼接能力：不少于64路
网口：不少于1个，RJ45，10M/100M/1000M自适应以太网口
USB接口数量：不少于1个，USB 2.0
串行接口：不少于1个
虚拟分屏：支持
单口画面分割数：1/4/6/8/9/16</t>
  </si>
  <si>
    <t>大屏控制软件</t>
  </si>
  <si>
    <t>1）具备高性能指标，便于操作。系统都能够将数据、图形、静态图片、动画和记分完全集成。
2）操作简便的数据模版可适用于任何地点的任何显示屏。能控制所选的显示屏播放完全相同或不同的内容。完全联网的各组件使操作简便灵活，有效减少操作人员的数量。
3）顺序设计使创建文档变得更加简单，能够调节模组亮度、灰度和色彩设置。配置任意尺寸的便携式显示屏根据客户需要创建图像和信息，能应用多种显示效果。</t>
  </si>
  <si>
    <t>高清解码器</t>
  </si>
  <si>
    <t>1）支持不少于24路HDMI高清输出；
2）支持H.265、H.264等多种编码码流解码；
3）支持G.722、G.711A等音频格式的解码；
4）支持ONVIF标准协议接入设备，支持GB28181协议接入设备；
5）支持Web方式访问、配置和管理；支持远程重启、恢复默认配置、升级等日常维护。</t>
  </si>
  <si>
    <t>(6)</t>
  </si>
  <si>
    <t>2.1.1.11</t>
  </si>
  <si>
    <t>增强型AIS系统</t>
  </si>
  <si>
    <t>增强型AIS基站</t>
  </si>
  <si>
    <t>频率范围：156.025～162.025MHz
信道中心频率：AIS1（161.975MHz）、AIS2（162.025MHz）、ASM1（161.95MHz）、ASM2（162.0MHz）；
调制方式：GMSK、QPSK；
接口：≥1路RJ4510M/100M自适应以太网口、≥2路RS232、≥2路RS422、≥1路外部GNSS接口；
发射功率：12.5W；
灵敏度（20%误包率）：优于-115dBm；
网络协议：TCP（server/client可选）或UDP；
工作电源：支持AC220V±20%@50Hz和DC48V±50%两路供电，电源切换设备不掉电；
工作模式：双机热备；
静态功耗：不超过45W；
工作温度：-15℃~55℃；
储存温度：-40℃~75℃；
支持对A类、B类船舶位置信息更新频率查询和指配，提供相应接口服务；
支持AIS动态播发报文频率实时监测；
支持作为客户端主动向指定服务端上传AIS数据。
5年原厂质保</t>
  </si>
  <si>
    <t>VHF天线及馈线</t>
  </si>
  <si>
    <r>
      <rPr>
        <sz val="10"/>
        <rFont val="宋体"/>
        <charset val="134"/>
      </rPr>
      <t>（1）频率范围：156 MHz～163 MHz
（2）工作带宽：7MHz
（3）极化方式 垂直极化
（4）方向性 水平全向
（5）天线增益 ≥</t>
    </r>
    <r>
      <rPr>
        <sz val="10"/>
        <rFont val="Arial"/>
        <charset val="0"/>
      </rPr>
      <t xml:space="preserve">	</t>
    </r>
    <r>
      <rPr>
        <sz val="10"/>
        <rFont val="宋体"/>
        <charset val="134"/>
      </rPr>
      <t>6dBi（</t>
    </r>
    <r>
      <rPr>
        <sz val="10"/>
        <rFont val="Arial"/>
        <charset val="0"/>
      </rPr>
      <t xml:space="preserve">	</t>
    </r>
    <r>
      <rPr>
        <sz val="10"/>
        <rFont val="宋体"/>
        <charset val="134"/>
      </rPr>
      <t>全向）
（6）电压驻波比≤1.5
（7）馈线总损耗：＜3db/100m（f=160MHz）
（8）端口阻抗 50</t>
    </r>
    <r>
      <rPr>
        <sz val="10"/>
        <rFont val="宋体"/>
        <charset val="0"/>
      </rPr>
      <t>Ω</t>
    </r>
  </si>
  <si>
    <t>GNSS天线及馈线</t>
  </si>
  <si>
    <t>（1）阻抗50欧姆
（2）频率1568MHz±20MHz
（3）极化方式 右旋圆极化
（4）方向性 水平全向
（5）天线增益 ≥38dBi
（6）电压驻波比≤1.5
（7）定位模式：可单北斗模式
（8）定位精度：≤10m</t>
  </si>
  <si>
    <t>2.1.1.12</t>
  </si>
  <si>
    <t>通信线缆</t>
  </si>
  <si>
    <t>新增各闸首/尾机房至管理处机房24芯光缆，满足船闸中心机房与四个闸首机房环网需求</t>
  </si>
  <si>
    <t>2.1.1.13</t>
  </si>
  <si>
    <t>数据对接</t>
  </si>
  <si>
    <t>与现有首尾档船舶预警线监测设备数据对接，现有数据接入本次系统</t>
  </si>
  <si>
    <t>2.1.1.14</t>
  </si>
  <si>
    <t>正射影像图</t>
  </si>
  <si>
    <t>1.范围：船闸上下游区域，约长 5 公里*宽 1 公里。
2.成图比例尺：1:1000
3.地面分辨率 (GSD)： ≤ 0.10 米/像素。
4.坐标系：CGCS2000
5.成果格式：GeoTIFF(带坐标，真彩色)。
6.影像质量：清晰、无漏洞、尤其是船闸无明显变形。
7.精度验收：平面中误差≤ 0.30 米(实地)</t>
  </si>
  <si>
    <t>为运调系统服务</t>
  </si>
  <si>
    <t>2.1.2</t>
  </si>
  <si>
    <t>虞山船闸</t>
  </si>
  <si>
    <t>2.1.2.1</t>
  </si>
  <si>
    <t>船舶吃水、超高检测计算单元</t>
  </si>
  <si>
    <t>具体技术要求：
1、处理器：单颗处理器，核心数≥20核，主频≥2.0GHz；国产自主可控；
2、内存：≥128GB DDR4，≥2666MHz；
3、硬盘：≥1块SATA SSD 960G硬盘；
4、GPU：显存≥8G，TFLOPS≥242；
5、接口：≥2个千兆网口；
6、工作温度：-10 ~ 60 °C；
7、适用于船闸运行环境，无故障运行时间不低于1万小时；
8、含功能算法，具体技术要求见设计说明书。
9、硬件5年原厂质保。</t>
  </si>
  <si>
    <t>2.1.2.2</t>
  </si>
  <si>
    <t>2.1.2.3</t>
  </si>
  <si>
    <t>2.1.2.4</t>
  </si>
  <si>
    <t>2.1.2.5</t>
  </si>
  <si>
    <t>2.1.2.6</t>
  </si>
  <si>
    <t>首尾档船舶预警线监测设备</t>
  </si>
  <si>
    <t>实现对首尾档船舶是否超越警戒线进行监测</t>
  </si>
  <si>
    <t>2D室外线性激光雷达</t>
  </si>
  <si>
    <t>具体技术要求：
1、扫描角度: 270°
2、角度分辨率:0.25°
3、工作区域0.5m~40m;
4、扫描范围:在10%漫反射下30m，在90%漫反射下40m;
5、扫描频率 25Hz;
6、含加热装置;
7、工作环境温度:-40°C~+60°C;
8、储存温度范围:-40°C~+70°C;
9、抗环境光能力：40000lx
10、雾校正：有
11、回波功能：有
12、光学信号显示（用于显示设备状态，脏污报警和输出状态的LED）：有
13、区域组数量：10区域组
14、接口:Ethernet 以太网接口:
15、含配套激光成像软件;
16、防护等级:IP66，室外环境使用。
17、五年原厂质保</t>
  </si>
  <si>
    <t>声光报警器</t>
  </si>
  <si>
    <t>具体技术要求：
1.声级：≥120dB；
2.发光颜色：红；
3.发光方式：LED频闪发光；
4.接口：≥1个RJ45端口；
5.功能：提供API接口及接口文档，支持定制语音；
6.防护等级：不低于IP65；
7.工作温度：-40℃~70℃；
8.工作湿度：10%~95%（不凝结）；
9.安装方式：壁挂安装；
10.含安装支架等配套设备。</t>
  </si>
  <si>
    <t>4米立杆</t>
  </si>
  <si>
    <t>首尾档船舶预警线监测计算单元</t>
  </si>
  <si>
    <t>2.1.2.7</t>
  </si>
  <si>
    <t>2.1.2.8</t>
  </si>
  <si>
    <t>2.1.2.9</t>
  </si>
  <si>
    <t>2.1.2.10</t>
  </si>
  <si>
    <t>2.1.2.11</t>
  </si>
  <si>
    <t>2.1.3</t>
  </si>
  <si>
    <t>杨林船闸</t>
  </si>
  <si>
    <t>2.1.3.1</t>
  </si>
  <si>
    <t>实现对进出闸船舶身份、数量的识别</t>
  </si>
  <si>
    <t>2.1.3.2</t>
  </si>
  <si>
    <t>2.1.3.3</t>
  </si>
  <si>
    <t>2.1.3.4</t>
  </si>
  <si>
    <t>2.1.3.5</t>
  </si>
  <si>
    <t>引航道监控与待闸船舶异常行为识别设备共杆</t>
  </si>
  <si>
    <t>2.1.3.6</t>
  </si>
  <si>
    <t>2.1.3.7</t>
  </si>
  <si>
    <t>2.1.3.8</t>
  </si>
  <si>
    <t>2.1.3.9</t>
  </si>
  <si>
    <t>有线通信及广播系统</t>
  </si>
  <si>
    <t>IP网络广播控制中心主机</t>
  </si>
  <si>
    <t>显示屏：17.3 英寸，TFT262144 色真彩色，高分辨率LED 液晶屏(1920*1080)
触摸屏：10点电容触摸屏
芯片组：性能不低于Intel B75
标准接口：不少于1xHDMI、1xVGA、8xUSB口
存储：支持3.5"、2.5"、mSATA 硬盘；不小于128G
内存：不低于DDR4 8GB
网卡：不少于1个Realtek GbE，1000M
网络协议：支持IPV6、IPV4 网络协议
CPU：性能不低于Intel Core i5 3.10GHz 四核
电源：输入电压：AC100V-240V
5年原厂质保</t>
  </si>
  <si>
    <t>数字化IP网络广播客户端管理软件</t>
  </si>
  <si>
    <t>支撑各音频终端的运行，负责音频流传输管理，响应各音频终端播放请求和音频全双工交换，支持B/S架构，通过网页登陆可进行终端管理、用户管理、节目播放管理、音频文件管理、录音存贮、内部通讯调度处理等功能。
管理节目库资源，为所有音频终端器提供定时播放和实时点播媒体服务，响应各终端的节目播放请求，为各音频工作站提供数据接口服务。
提供全双工语音数据交换，响应各对讲终端的呼叫和通话请求，支持一键呼叫、一键对讲、一键求助、一键报警等通话模式，支持自动接听、手动接听，支持自定义接听提示音。
详见施工图设计文件</t>
  </si>
  <si>
    <t>IP网络远程寻呼站</t>
  </si>
  <si>
    <t>网络接口：标准RJ45 输入
支持协议：TCP/IP，UDP
音频格式：MP3
采样率：8KHz~48KHz
传输速率：100Mbps
音频模式：16 位CD 音质
内接扬声器阻抗及额定功率：4Ω，2W
总偕波失真：≤1%
内置喇叭频率响应：317Hz~3.4KHz +1/-3dB
LIEN OUT 频率响应：80Hz~16KHz +1/-3dB
信噪比：&gt;65dB
PHONE OUT 输出阻抗及额定功率：32Ω，2mW
LINE OUT 输出电平：1000mV
LINE OUT 输出阻抗：470Ω
LINE IN 输入灵敏度：350mV
MIC 输入灵敏度（非平衡）：10mV
整机功耗：≤6W</t>
  </si>
  <si>
    <t>IP网络广播系统分控软件</t>
  </si>
  <si>
    <t>数字客户端分控软件闸首机房现地控制室控制系统监控主机（兼容(win7-win10、server2008 或更高版本)），用户登陆通过系统服务器的权限验证即可进行对广播系统的控制。。
客户端软件利用网络（局域网、广域网）远程登录到服务器，支持多套客户端软件同时登录到服务器，各套客户端软件独立工作。
可实现终端状态查看、音频播放、监听、广播及对讲、会话状态监控等功能。
支持实时查看终端工作状态、音量、任务，并且可在终端状态界面设置终端音量。
支持创建文本广播任务，可实现将文本转成语音，支持后台调整语速。
支持创建终端采集任务，可设置普通、中级的采集音质类型。
支持创建音乐播放任务，可进行本地文件播放，可选择多首歌曲进行顺序播放或循环播放或随机播放。
支持进行发起监听功能，在会话状态选择监听终端，可监听某任务播放的内容。
支持远程对某终端/分区或全区进行实时的寻呼广播，支持选择网络寻呼话筒进行实时对讲。
支持分控端查看终端上下线记录。</t>
  </si>
  <si>
    <t>IP网络终端功放</t>
  </si>
  <si>
    <t>内置网络硬件音频解码模块，具有RJ45 网络接口，100Mbps 传输速率。
支持线路输入和话筒输入接口，可独立调节音量；具有EMC 输入接口，
具有最高优先级；支持高低音调节电位器控制；具有1 路音频输出接口。
具有三线制强切输出接口，无需强切电源。
集成数字功放，功率≥350W（上闸首机房现地控制室），功率≥500W（下闸首机房现地控制室）；支持定压100V 方式输出
支持通过后台软件对终端进行远程固件升级。
频率响应范围80Hz～16KHz，谐波失真≤1%，信噪比＞65dB。
支持状态灯显示，包括电平指示灯、保护指示灯、待机指示灯等。</t>
  </si>
  <si>
    <t>号角扬声器</t>
  </si>
  <si>
    <t>额定功率：25W
阻抗：-COM,-50Ω-100Ω-200Ω-400Ω
频率响应：200-13KHz
灵敏度：114dB±3dB
防水等级：IP×6</t>
  </si>
  <si>
    <t>只</t>
  </si>
  <si>
    <t>2.1.3.10</t>
  </si>
  <si>
    <t>2.1.3.11</t>
  </si>
  <si>
    <t>2.1.3.12</t>
  </si>
  <si>
    <t>待闸船舶异常行为识别设备</t>
  </si>
  <si>
    <t>综合单价，含必要辅材、施工、供电供网等</t>
  </si>
  <si>
    <t>线缆YJV3×16</t>
  </si>
  <si>
    <t>国标</t>
  </si>
  <si>
    <t>米</t>
  </si>
  <si>
    <t>按实计</t>
  </si>
  <si>
    <t>管线敷设</t>
  </si>
  <si>
    <t>含管道开挖及回填，涉及破路的含路面恢复，开挖深度不低于70cm</t>
  </si>
  <si>
    <t>手孔井</t>
  </si>
  <si>
    <t>个</t>
  </si>
  <si>
    <t>15米杆件</t>
  </si>
  <si>
    <t>具体参数要求：
（1）规格：15米立杆，包含定制杆件、杆件基础、悬臂支架、杆件安装施工、接网接电、防雷接地、所需配套辅材等
（2）防护：电源、信号防雷接地、防腐处理，防护等级不低于IP66；
（3）接线：监控点位网络采用运营商专线，电源接入采用就近取电，要求实现视频监控数据稳定传输和汇聚；
（4）费用说明：包含点位所需设备与杆件运输、杆件施工、辅材配件采购、线缆线路敷设、设备及配件安装、绿化破坏补偿恢复等全部费用。</t>
  </si>
  <si>
    <t>引航道两处与船闸全域视频监控共杆</t>
  </si>
  <si>
    <t xml:space="preserve">运调系统GPU服务器 </t>
  </si>
  <si>
    <t>1.CPU：国产化芯片，≥1颗，主频≥2.0Ghz，CPU核心数≥32
2.内存：≥32GB
3.硬盘：≥2*600GB SAS 10K
4.GPU：国产算力卡1块，FP16 不低于32TFlops
5.网络：≥2个千兆网口。
6.标准机架式设备≤2U
7、五年原厂质保</t>
  </si>
  <si>
    <t>部署在杨林船闸</t>
  </si>
  <si>
    <t>待闸船舶异常行为识别现地查看</t>
  </si>
  <si>
    <t>（11）</t>
  </si>
  <si>
    <t>2.1.3.13</t>
  </si>
  <si>
    <t>配置：商用台式机，CPU不低于3.3G（四核），不低于16GB内存，不低于1TB固态硬盘.独立显卡不低于2G，板载10-100-1000M 网卡， USB3.0接口，音频输出接口；配套不低于24寸液晶显示器，含键盘鼠标和正版操作系统</t>
  </si>
  <si>
    <t>杨林船闸现地控制系统终端</t>
  </si>
  <si>
    <t>2.1.3.14</t>
  </si>
  <si>
    <t>2.2.1</t>
  </si>
  <si>
    <t>智慧服务区终端-望亭水上服务区</t>
  </si>
  <si>
    <t>2.2.1.1</t>
  </si>
  <si>
    <t>智能快递柜设施</t>
  </si>
  <si>
    <t>快递柜由控制主柜和功能副柜组成，主柜由液晶面板、触控面板、主控系统、条码扫描模块、摄像头、视频监控等设备组成。可实现无人快递投递和接收</t>
  </si>
  <si>
    <t>2.2.1.2</t>
  </si>
  <si>
    <t>视频监控设施更新</t>
  </si>
  <si>
    <t>具体参数要求：
（1）规格：8米立杆，包含定制杆件、杆件基础、悬臂支架、杆件安装施工、接网接电、防雷接地、所需配套辅材等
（2）防护：电源、信号防雷接地、防腐处理，防护等级不低于IP66；
（3）接线：监控点位网络采用运营商专线，电源接入采用就近取电，要求实现视频监控数据稳定传输和汇聚；
（4）费用说明：包含点位所需设备与杆件运输、杆件施工、辅材配件采购、线缆线路敷设、设备及配件安装、绿化破坏补偿恢复等全部费用。</t>
  </si>
  <si>
    <t>电源线（1.5㎡）</t>
  </si>
  <si>
    <t>电源线（2.5㎡）</t>
  </si>
  <si>
    <t>网线</t>
  </si>
  <si>
    <t>六类国标室外网线</t>
  </si>
  <si>
    <t>光纤</t>
  </si>
  <si>
    <t>4芯</t>
  </si>
  <si>
    <t>2.2.1.3</t>
  </si>
  <si>
    <t>智慧停泊管理终端感知设备</t>
  </si>
  <si>
    <t>船舶姿态感知计算单元</t>
  </si>
  <si>
    <t>补盲短距激光雷达</t>
  </si>
  <si>
    <t>具体技术要求：
1、单帧线束：不低于128线；
2、激光波长：不低于905nm；
3、探测范围：不弱于0.5~150m；
4、探测距离：最远探测距离150m ，在10%反射率条件下≥70m；
5、视场角：不低于(H*V) 120°× 40°;
6、角分辨率：不高于(H*V)0.13°× 0.55° ；
7、防水及防尘等级：IP67；
8、测距精度：不低于5cm(1σ)；
9、帧率： 10 FPS，可调节
10、工作温度： -40℃~65℃；
11、人眼安全等级：Class1(IEC-60825)；
12、额定电压：12/24V DC；
13、额定功率：≤29w；
14、数据传输接口：以太网；
15、点云扫描点频：不低于128万点/秒；
16、时间同步：具备网络时间同步功能；
17、五年原厂质保。</t>
  </si>
  <si>
    <t>定向广播</t>
  </si>
  <si>
    <t>（1）LC分频器：方形电感器和卧式电容器组成LC谐振有效分频；
（2）效能驱动器：150dB±3dB（最大声压级）；
（3）安装形式：配套支架；
（4）音量管理：支持对所有接入设备远程设置音量；支持设置默认音量和临时音量；支持音量记忆功能，自动恢复默认音量；
（5）设备组网：支持BS架构，网络化设计，支持广域网和局域网；支持自定义分区与权限管理；
（6）文字播报：支持TTS文字转语音功能，支持设置文本文件的语言种类（普通话男.普通话女）.语速；
（7）扩展兼容：支持与第三方平台对接联动，提供平台SDK调用接口和文档；
（8）设备日志：支持实时查看设备登录记录，包含设备登录类型，时间，用户名，状态，IP地址记录；
（9）离线管理：支持设置离线任务，平台服务器或网络故障时，终端自动执行离线定时任务；
（13）防护等级：不低于IP66；
（14）工作温度：-30°C~+70°C。
（15）五年原厂质保</t>
  </si>
  <si>
    <t>（12）</t>
  </si>
  <si>
    <t>网络接口：标准RJ45 输入
支持协议：TCP/IP，UDP
音频格式：MP3
采样率：8KHz~48KHz
传输速率：100Mbps
音频模式：16 位CD 音质
内接扬声器阻抗及额定功率：4Ω，2W
总偕波失真：≤1%
内置喇叭频率响应：317Hz~3.4KHz +1/-3dB
LIEN OUT 频率响应：80Hz~16KHz +1/-3dB
信噪比：&gt;65dB
PHONE OUT 输出阻抗及额定功率：32Ω，2mW
LINE OUT 输出电平：1000mV 工业标准压线接线端子
LINE OUT 输出阻抗：470Ω
LINE IN 输入灵敏度：350mV 工业标准压线接线端子
MIC 输入灵敏度（非平衡）：10mV
短路输入：干接点输入
短路输出：最大1A/30VDC 干接点
整机功耗：≤6W</t>
  </si>
  <si>
    <t>（13）</t>
  </si>
  <si>
    <t>（14）</t>
  </si>
  <si>
    <t>智慧停泊终端服务器</t>
  </si>
  <si>
    <t>具体技术要求：
1、CPU：国产化芯片，≥2颗，核心数≥20核、主频≥2.4GHz，支持国产替代和软件适配开发；
2、内存：≥128G；
3、硬盘：≥1TB NVME，≥10TB SAS；
4、网卡：≥2个千兆电口；
5、电源：≥2个800W电源；
6、含国产操作系统
7、含软件功能，软件功能见设计说明书
8、硬件5年原厂质保</t>
  </si>
  <si>
    <t>（15）</t>
  </si>
  <si>
    <t>（16）</t>
  </si>
  <si>
    <t>（17）</t>
  </si>
  <si>
    <t>（18）</t>
  </si>
  <si>
    <t>（19）</t>
  </si>
  <si>
    <t>（20）</t>
  </si>
  <si>
    <t>2.2.1.4</t>
  </si>
  <si>
    <t>智慧停泊管理软件</t>
  </si>
  <si>
    <t>具体技术要求：
1、智慧停泊管理终端将前端感知的结构化数据与服务区实际业务管理工作相结合，实现网上查询、停泊区泊位监控、船舶姿态监测、停泊区船舶智慧管控、区域统计分析等功能。
详见设计文件</t>
  </si>
  <si>
    <t>望亭、吴中数据统一接入该软件，苏州市级港航看板通过链接跳转进入查看</t>
  </si>
  <si>
    <t>2.2.2</t>
  </si>
  <si>
    <t>智慧服务区终端-吴中上服务区</t>
  </si>
  <si>
    <t>2.2.2.1</t>
  </si>
  <si>
    <t>配套支撑</t>
  </si>
  <si>
    <t>2.3.1</t>
  </si>
  <si>
    <t>主机及存储设备</t>
  </si>
  <si>
    <t>2.3.1.1</t>
  </si>
  <si>
    <t>地市高渲染工作站</t>
  </si>
  <si>
    <t>CPU：≥1颗，核心数≥24核、主频≥3.2GHz；
内存：≥128G DDR5；
硬盘：≥4TB NVME；
显卡：≥2块，FP32≥73TFLOPS，图形渲染专用显卡；
网卡：≥2个千兆电口；
电源：≥1500W电源；
含正版操作系统；
含云渲染虚拟化软件（≥4路并发）
五年原厂质保</t>
  </si>
  <si>
    <t>市中心部署1台</t>
  </si>
  <si>
    <t>2.3.1.2</t>
  </si>
  <si>
    <t>视频存储磁盘阵列</t>
  </si>
  <si>
    <t>1.性能参数
视频性能 接入路数768（网络输入带宽1536Mbps）
图片性能 最大支持不小于100张/S（单张图片500KB）
硬件规格：处理器 1颗64位多核处理器
 高速缓存 8GB
2.磁盘管理
磁盘类型 企业级硬盘
 磁盘接口类型 SATA
 磁盘容量 4TB/6TB/8TB/10TB/16TB
 磁盘接口数量不少于48
 热插拔磁盘 支持
 阵列类型 RAID5，RAID6，RAID0，RAID1，RAID10
3.存储管理 存储模式 标准模式，高冗余模式，高利用率模式
4.录像管理
 录像方式 定时录像，手动录像，主或子码流录像，报警录像等多种录像方式
 录像保护 支持断网补录，RAID 业务保护，录像丢失报警
 查询方式 按时间、事件类型查询
 下载方式 快速下载、批量下载
5.网络管理 网络协议 IPv4，HTTPS，SNMP，NTP
 接入协议 RTSP，ONVIF，SDK，GB/T28181
6.五年原厂质保</t>
  </si>
  <si>
    <t>其中张家港船闸1台，虞山船闸1台，杨林船闸1台，望亭水上服务区1台，吴中水上服务器1台</t>
  </si>
  <si>
    <t>2.3.1.3</t>
  </si>
  <si>
    <t>存储硬盘</t>
  </si>
  <si>
    <t>8T 企业级 SATA 硬盘</t>
  </si>
  <si>
    <t>块</t>
  </si>
  <si>
    <t>其中张家港船闸70块，虞山船闸70块，杨林船闸70块，望亭水上服务区70块，吴中水上服务器70块</t>
  </si>
  <si>
    <t>2.3.1.4</t>
  </si>
  <si>
    <t>标准机柜</t>
  </si>
  <si>
    <t>具体技术要求：
1、前后网孔门，机柜整体尺寸：600*1000*2000mm （宽*深*高），含2个8路PDU；42U标准机柜</t>
  </si>
  <si>
    <t>其中张家港船闸5套，虞山船闸9套，杨林船闸5套，望亭水上服务区1套，吴中水上服务器1套</t>
  </si>
  <si>
    <t>2.3.2</t>
  </si>
  <si>
    <t>通信网络系统</t>
  </si>
  <si>
    <t>2.3.2.1</t>
  </si>
  <si>
    <t>外场网段接入</t>
  </si>
  <si>
    <t>实现地市航道外场感知数据接入，包括汇聚交换机、转发服务器、路由、光纤收发器、运营商专线等设备。</t>
  </si>
  <si>
    <t>包括汇聚交换机、转发服务器、路由、光纤收发器、运营商专线等设备。</t>
  </si>
  <si>
    <t>汇聚交换机</t>
  </si>
  <si>
    <t>具体技术要求：
1.整机交换容量≥826Gbps；转发性能≥264Mpps；
2.单台端口：≥48个千兆电口，≥4个千兆SFP口，≥2个万兆SFP+口，含光模块；
3.支持SPAN/RSPAN镜像和多个镜像观察端口，可以对网络流量进行分析以采取相应管理维护措施;
4.MAC地址表≥32K，IPv4路由表容量≥8K，整机最大ARP地址表≥4K；
5.实现CPU保护功能，能限制非法报文对CPU的攻击，保护交换机在各种环境下稳定工作；
6.支持VRRP、OSPFv1/v2、OSPF v3、BGP、ISIS等增强三层路由协议；
7.支持ERPS以太环保护协议，切换时间≤50ms；
8.支持图形化操作的方式实现对网络的统一运维及管理
9.设备CPU等关键芯片为国产芯片；
含5年原厂质保</t>
  </si>
  <si>
    <t>望亭水上服务区1台，吴中水上服务器1台</t>
  </si>
  <si>
    <t>核心交换机</t>
  </si>
  <si>
    <t>具体技术要求：
1、硬件架构：主控槽位≥2个，业务槽位数≥4个
2、硬件性能：交换容量≥102.4Tbps，包转发率≥57600Mpps。
3、单台配置：主控≥2个，千兆光口≥48个，千兆电口≥48个
4、支持硬件BFD；
5、设备CPU等关键芯片为国产芯片；
含5年原厂质保</t>
  </si>
  <si>
    <t>其中张家港船闸1台，虞山船闸1台，杨林船闸1台</t>
  </si>
  <si>
    <t>船闸环网交换机</t>
  </si>
  <si>
    <r>
      <rPr>
        <sz val="10"/>
        <rFont val="宋体"/>
        <charset val="134"/>
      </rPr>
      <t>具体技术要求：
1、端口数量：至少支持24个千兆SFP光口，4个千兆光口，含24个千兆单模光模块（传输距离40公里）；
2、必须满足国产自主可控；
3、支持环网保护协议，自愈时间≤50ms；
4、支持RSTP/MSTP及VRRP等多种冗余组网机制；
5、支持VRRP, OSPF, RIP, IGMP, PIM, 静态路由；
6、支持HTTPS/SSL, SSH, TACACS+, IEEE802.1X, RADIUS；
7、交换容量：48Gbps，路由表 8K，MAC表 32K；
8、支持SNMPv1/v2c/v3,可通过网管软件集中管理；
9、支持管理方式：CLI、Telnet、中文Web界面和consle；
10、网络拓扑结构：支持总线/星型拓扑、环形结构；
11、支持IP/MAC冲突告警，失电告警，电源告警，端口LinkDown告警，环告警；
12、支持IEEE 802.1Q(VLAN)标准协议, 可创建VLAN数≥256个，VLAN ID 1</t>
    </r>
    <r>
      <rPr>
        <sz val="10"/>
        <rFont val="宋体"/>
        <charset val="134"/>
      </rPr>
      <t>〜</t>
    </r>
    <r>
      <rPr>
        <sz val="10"/>
        <rFont val="宋体"/>
        <charset val="134"/>
      </rPr>
      <t>4093；
13、支持端口聚合、端口流控、端口限速；
14、工作温度：-5℃～+50℃，储存温度：-40℃～+70℃，相对湿度：5～95%无凝露；
含5年原厂质保。</t>
    </r>
  </si>
  <si>
    <t>其中张家港船闸4台，虞山船闸8台，杨林船闸4台</t>
  </si>
  <si>
    <t>2.3.2.2</t>
  </si>
  <si>
    <t>控制网段接入</t>
  </si>
  <si>
    <t>实现对船闸现地控制系统数据采集</t>
  </si>
  <si>
    <t>防火墙</t>
  </si>
  <si>
    <t>国产化硬件，系统需配置，≥6个千兆GE电口，≥4个千兆SFP光口；≥4个万兆SFP+光口；配置≥64G SSD硬盘，冗余电源，整机吞吐量≥20Gbps；
支持策略风险调优，支持安全策略优化分析，支持策略数冗余及命中分析，支持基于应用风险的策略调优。
支持基于对包括但不限于操作系统、网络设备、办公软件、网页服务等保护对象的入侵防御策略，支持基于对漏洞、恶意文件、信息收集类攻击等的攻击分类的防护策略，支持基于服务器、客户端的防护策略。
支持基于文件协议、邮件协议、共享协议的病毒功能。
支持HTTPS加密流量的安全检测，支持TCP代理和SSL代理，且代理策略中可同时配置多类过滤条件，具体包括：源安全域、目的安全域、源地址、目的地址、用户和服务。
支持流量自学习功能，可设置自学习时间，并自动生成DDoS防范策略。
支持多用户共享上网行为管理。
包含原厂硬件质保期五年和五年入侵防御和防病毒特征库升级授权。</t>
  </si>
  <si>
    <t>网闸</t>
  </si>
  <si>
    <t>国产化硬件，内网接口：标配≥4个千兆电口，≥4个千兆SFP插槽，≥1个扩展槽；外网接口：标配标配≥4个千兆电口，≥4个千兆SFP插槽，≥1个扩展槽；
软件系统：默认包含全功能模块，标准配置包含安全浏览模块、文件传输模块、文件同步模块、邮件访问模块、数据库访问模块、数据库同步模块、自定义访问模块、数据中心模块等。
吞吐不小于500Mbps，并发不小于20万。
支持工控入侵防御特征库，涵盖：HTTP攻击类、拒绝服务类、木马类、蠕虫类、扫描类、网络访问类、系统漏洞类、溢出攻击类等。
采用国内外知名厂商病毒库，支持病毒库升级，并提供后续升级服务。
包含原厂硬件质保期五年。</t>
  </si>
  <si>
    <t>其中张家港船闸1台，虞山船闸2台，杨林船闸1台</t>
  </si>
  <si>
    <t>数采模块（干节点）</t>
  </si>
  <si>
    <t>32位及以上处理器，内存不低于16K，，不少于8个DI输入端口，4个DO输出端口，1个以太网口，通过干接点方式连接，设备应包含如下软件。
软件功能要求：实现信息网指令向控制网络传输，传输控制指令不少于20个，可采用自定义编码方式实现更多的数据传输，信息网侧设备提供标准的指令接口供软件程序调用。</t>
  </si>
  <si>
    <t>其中张家港船闸2台，虞山船闸4台，杨林船闸2台</t>
  </si>
  <si>
    <t>2.3.3</t>
  </si>
  <si>
    <t>网络安全、数据安全设备</t>
  </si>
  <si>
    <t>2.3.3.1</t>
  </si>
  <si>
    <t>中心工业防火墙</t>
  </si>
  <si>
    <t>国产化硬件，系统需配置，≥6个千兆GE电口，≥4个千兆SFP光口；≥4个万兆SFP+光口；配置≥64G SSD硬盘，冗余电源，整机吞吐量≥20Gbps；
支持基于应用的策略路由，可实现为不同的应用类型智能选择相应的链路；
支持显示系统状态信息，包括CPU、内存大小及使用率，磁盘大小及使用率、证书情况、系统版本、运行时长、主板温度等；
工业协议深度解析：支持至少20种工控协议的深度解析及协议合规检查，支持工业协议内部的指令、内部寄存器等信息进行深度检查，包括但不限于Modbus TCP、OPC Classic（DA、AE）、OPC UA、CIP、Ethernet/IP、S7 Comm、S7 Plus、IEC61850 MMS、Fins、DNP3、TRDP等；
支持资产识别、发现，并可对其资产信息进行管理；
内置独立的入侵防护特征库，支持不小于10000+入侵防护特征；
包含原厂硬件质保期五年和五年工业入侵防御和防病毒特征库升级授权。</t>
  </si>
  <si>
    <t>苏州市应急指挥中心部署2台</t>
  </si>
  <si>
    <t>2.3.3.2</t>
  </si>
  <si>
    <t>入侵防御系统（IPS）</t>
  </si>
  <si>
    <t>1.硬件规格与性能 
国产化硬件平台，标准2U机架设备，设备标配不低于4个具备BYPASS功能的10/100/1000Base-T接口，不低于4个千兆光口，不低于2个扩展插槽，不低于2个USB口，双电源；整机网络层吞吐量不低于30G，应用层吞吐量不低于14G，最大并发连接数不小于500万，每秒新建HTTP连接数不低于5万。此次包含五年入侵防御特征库免费升级。
2.此次包含五年硬件免费保修和技术支持服务。</t>
  </si>
  <si>
    <t>苏州市应急指挥中心部署1台</t>
  </si>
  <si>
    <t>2.3.3.3</t>
  </si>
  <si>
    <t>边界防火墙</t>
  </si>
  <si>
    <t>1.硬件规格与性能 
国产化硬件平台，标准1U机架设备，双电源，设备标配不低于6个千兆电口，不低于4个千兆光口；吞吐量不低于15G，并发连接数不低于500万，每秒新建不低于12万/秒；防火墙支持链路聚合；此次包含五年防病毒和防入侵特征库免费升级；
2.此次包含五年硬件免费保修和技术支持服务。</t>
  </si>
  <si>
    <t>2.3.3.4</t>
  </si>
  <si>
    <t>其望亭水上服务区1台，吴中水上服务器1台</t>
  </si>
  <si>
    <t>2.3.3.5</t>
  </si>
  <si>
    <t>主机杀毒</t>
  </si>
  <si>
    <t>支持中标麒麟、银河麒麟（V4/V10）、统信UOS等操作系统；
支持精准查杀勒索、木马、蠕虫等各类病毒，提供病毒防御、系统防御以及网络防御等主动防御功能；
支持资产管理、运维管理、病毒查杀、外设管理、网络管理、终端响应、日志管理、防病毒模块等基础功能；
包含原厂硬件质保期五年，五年病毒库升级服务。</t>
  </si>
  <si>
    <t>其中望亭水上服务区1套，吴中水上服务器1套</t>
  </si>
  <si>
    <t>软件第三方测评费</t>
  </si>
  <si>
    <t>安全等级测试费</t>
  </si>
  <si>
    <t>合计</t>
  </si>
  <si>
    <t>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</si>
</sst>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 [$€]_-;\-* #,##0.00\ [$€]_-;_-* &quot;-&quot;??\ [$€]_-;_-@_-"/>
    <numFmt numFmtId="177" formatCode="0.00_ "/>
  </numFmts>
  <fonts count="39">
    <font>
      <sz val="11"/>
      <color theme="1"/>
      <name val="等线"/>
      <charset val="134"/>
      <scheme val="minor"/>
    </font>
    <font>
      <sz val="10"/>
      <color theme="1"/>
      <name val="宋体"/>
      <charset val="134"/>
    </font>
    <font>
      <sz val="10"/>
      <name val="宋体"/>
      <charset val="134"/>
    </font>
    <font>
      <b/>
      <sz val="18"/>
      <name val="宋体"/>
      <charset val="134"/>
    </font>
    <font>
      <b/>
      <sz val="10"/>
      <name val="宋体"/>
      <charset val="134"/>
    </font>
    <font>
      <sz val="12"/>
      <name val="宋体"/>
      <charset val="134"/>
    </font>
    <font>
      <sz val="10"/>
      <name val="仿宋_GB2312"/>
      <charset val="134"/>
    </font>
    <font>
      <b/>
      <sz val="10"/>
      <color rgb="FF000000"/>
      <name val="宋体"/>
      <charset val="134"/>
    </font>
    <font>
      <sz val="12"/>
      <color rgb="FFFF0000"/>
      <name val="宋体"/>
      <charset val="134"/>
    </font>
    <font>
      <sz val="10.5"/>
      <name val="宋体"/>
      <charset val="134"/>
    </font>
    <font>
      <sz val="12"/>
      <color indexed="8"/>
      <name val="宋体"/>
      <charset val="134"/>
    </font>
    <font>
      <sz val="10"/>
      <name val="宋体"/>
      <charset val="0"/>
    </font>
    <font>
      <sz val="11"/>
      <color theme="1"/>
      <name val="宋体"/>
      <charset val="134"/>
    </font>
    <font>
      <b/>
      <sz val="22"/>
      <color indexed="8"/>
      <name val="宋体"/>
      <charset val="134"/>
    </font>
    <font>
      <b/>
      <sz val="32"/>
      <color rgb="FF000000"/>
      <name val="宋体"/>
      <charset val="134"/>
    </font>
    <font>
      <b/>
      <sz val="16"/>
      <name val="宋体"/>
      <charset val="134"/>
    </font>
    <font>
      <b/>
      <sz val="10"/>
      <name val="宋体"/>
      <charset val="0"/>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等线"/>
      <charset val="134"/>
    </font>
    <font>
      <sz val="11"/>
      <color indexed="8"/>
      <name val="宋体"/>
      <charset val="134"/>
    </font>
    <font>
      <sz val="10"/>
      <name val="Arial"/>
      <charset val="0"/>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3" borderId="1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3" applyNumberFormat="0" applyFill="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4" fillId="0" borderId="0" applyNumberFormat="0" applyFill="0" applyBorder="0" applyAlignment="0" applyProtection="0">
      <alignment vertical="center"/>
    </xf>
    <xf numFmtId="0" fontId="25" fillId="4" borderId="15" applyNumberFormat="0" applyAlignment="0" applyProtection="0">
      <alignment vertical="center"/>
    </xf>
    <xf numFmtId="0" fontId="26" fillId="5" borderId="16" applyNumberFormat="0" applyAlignment="0" applyProtection="0">
      <alignment vertical="center"/>
    </xf>
    <xf numFmtId="0" fontId="27" fillId="5" borderId="15" applyNumberFormat="0" applyAlignment="0" applyProtection="0">
      <alignment vertical="center"/>
    </xf>
    <xf numFmtId="0" fontId="28" fillId="6" borderId="17" applyNumberFormat="0" applyAlignment="0" applyProtection="0">
      <alignment vertical="center"/>
    </xf>
    <xf numFmtId="0" fontId="29" fillId="0" borderId="18" applyNumberFormat="0" applyFill="0" applyAlignment="0" applyProtection="0">
      <alignment vertical="center"/>
    </xf>
    <xf numFmtId="0" fontId="30" fillId="0" borderId="19"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10" fillId="0" borderId="0">
      <alignment vertical="center"/>
    </xf>
    <xf numFmtId="0" fontId="5" fillId="0" borderId="0"/>
    <xf numFmtId="0" fontId="5" fillId="0" borderId="0"/>
    <xf numFmtId="0" fontId="0" fillId="0" borderId="0">
      <alignment vertical="center"/>
    </xf>
    <xf numFmtId="176" fontId="36" fillId="0" borderId="0">
      <protection locked="0"/>
    </xf>
    <xf numFmtId="176" fontId="37" fillId="0" borderId="0">
      <protection locked="0"/>
    </xf>
  </cellStyleXfs>
  <cellXfs count="98">
    <xf numFmtId="0" fontId="0" fillId="0" borderId="0" xfId="0">
      <alignment vertical="center"/>
    </xf>
    <xf numFmtId="0" fontId="1" fillId="0" borderId="0" xfId="0" applyFont="1" applyFill="1" applyBorder="1" applyAlignment="1">
      <alignment vertical="center" wrapText="1"/>
    </xf>
    <xf numFmtId="0" fontId="2" fillId="0" borderId="0" xfId="52" applyFont="1" applyFill="1" applyAlignment="1">
      <alignment vertical="center"/>
    </xf>
    <xf numFmtId="0" fontId="2" fillId="0" borderId="0" xfId="52" applyFont="1" applyFill="1" applyAlignment="1">
      <alignment horizontal="center" vertical="center" wrapText="1"/>
    </xf>
    <xf numFmtId="0" fontId="2" fillId="0" borderId="0" xfId="52" applyFont="1" applyFill="1" applyAlignment="1">
      <alignment horizontal="left" vertical="center" wrapText="1"/>
    </xf>
    <xf numFmtId="0" fontId="2" fillId="0" borderId="0" xfId="52" applyFont="1" applyFill="1" applyAlignment="1">
      <alignment horizontal="center" vertical="center"/>
    </xf>
    <xf numFmtId="0" fontId="2" fillId="0" borderId="0" xfId="52" applyNumberFormat="1" applyFont="1" applyFill="1" applyAlignment="1">
      <alignment horizontal="center" vertical="center"/>
    </xf>
    <xf numFmtId="0" fontId="2" fillId="0" borderId="0" xfId="52" applyNumberFormat="1" applyFont="1" applyFill="1" applyAlignment="1">
      <alignment vertical="center"/>
    </xf>
    <xf numFmtId="177" fontId="2" fillId="0" borderId="0" xfId="52" applyNumberFormat="1" applyFont="1" applyFill="1" applyAlignment="1">
      <alignment horizontal="center" vertical="center" wrapText="1"/>
    </xf>
    <xf numFmtId="0" fontId="1" fillId="0" borderId="0" xfId="0" applyFont="1" applyFill="1">
      <alignment vertical="center"/>
    </xf>
    <xf numFmtId="0" fontId="3" fillId="0" borderId="0" xfId="52" applyFont="1" applyFill="1" applyBorder="1" applyAlignment="1">
      <alignment horizontal="center" vertical="center" wrapText="1"/>
    </xf>
    <xf numFmtId="0" fontId="3" fillId="0" borderId="0" xfId="52" applyFont="1" applyFill="1" applyBorder="1" applyAlignment="1">
      <alignment horizontal="left" vertical="center" wrapText="1"/>
    </xf>
    <xf numFmtId="0" fontId="3" fillId="0" borderId="0" xfId="52" applyNumberFormat="1" applyFont="1" applyFill="1" applyBorder="1" applyAlignment="1">
      <alignment horizontal="center" vertical="center" wrapText="1"/>
    </xf>
    <xf numFmtId="0" fontId="4" fillId="0" borderId="0" xfId="52" applyFont="1" applyFill="1" applyAlignment="1">
      <alignment horizontal="center" vertical="center" wrapText="1"/>
    </xf>
    <xf numFmtId="0" fontId="2" fillId="0" borderId="0" xfId="52" applyNumberFormat="1" applyFont="1" applyFill="1" applyAlignment="1">
      <alignment horizontal="left" vertical="center" wrapText="1"/>
    </xf>
    <xf numFmtId="0" fontId="4" fillId="0" borderId="0" xfId="52" applyFont="1" applyFill="1" applyAlignment="1">
      <alignment horizontal="right" vertical="center" wrapText="1"/>
    </xf>
    <xf numFmtId="0" fontId="4" fillId="0" borderId="1" xfId="52" applyFont="1" applyFill="1" applyBorder="1" applyAlignment="1">
      <alignment horizontal="center" vertical="center"/>
    </xf>
    <xf numFmtId="0" fontId="4" fillId="0" borderId="1" xfId="52" applyFont="1" applyFill="1" applyBorder="1" applyAlignment="1">
      <alignment horizontal="center" vertical="center" wrapText="1"/>
    </xf>
    <xf numFmtId="0" fontId="4" fillId="0" borderId="1" xfId="52" applyNumberFormat="1" applyFont="1" applyFill="1" applyBorder="1" applyAlignment="1">
      <alignment horizontal="center" vertical="center" wrapText="1"/>
    </xf>
    <xf numFmtId="177" fontId="4" fillId="0" borderId="1" xfId="52" applyNumberFormat="1" applyFont="1" applyFill="1" applyBorder="1" applyAlignment="1">
      <alignment horizontal="center" vertical="center" wrapText="1"/>
    </xf>
    <xf numFmtId="0" fontId="4" fillId="0" borderId="1" xfId="52" applyFont="1" applyFill="1" applyBorder="1" applyAlignment="1">
      <alignment horizontal="left" vertical="center" wrapText="1"/>
    </xf>
    <xf numFmtId="0" fontId="4" fillId="0" borderId="1" xfId="52" applyNumberFormat="1" applyFont="1" applyFill="1" applyBorder="1" applyAlignment="1">
      <alignment horizontal="center" vertical="center"/>
    </xf>
    <xf numFmtId="0" fontId="2" fillId="0" borderId="1" xfId="52" applyFont="1" applyFill="1" applyBorder="1" applyAlignment="1">
      <alignment horizontal="center" vertical="center"/>
    </xf>
    <xf numFmtId="0" fontId="2" fillId="0" borderId="1" xfId="52" applyFont="1" applyFill="1" applyBorder="1" applyAlignment="1">
      <alignment horizontal="center" vertical="center" wrapText="1"/>
    </xf>
    <xf numFmtId="0" fontId="2" fillId="0" borderId="1" xfId="52" applyFont="1" applyFill="1" applyBorder="1" applyAlignment="1">
      <alignment horizontal="left" vertical="center" wrapText="1"/>
    </xf>
    <xf numFmtId="0" fontId="2" fillId="0" borderId="1" xfId="52"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52" applyNumberFormat="1" applyFont="1" applyFill="1" applyBorder="1" applyAlignment="1" applyProtection="1">
      <alignment horizontal="center" vertical="center"/>
      <protection locked="0"/>
    </xf>
    <xf numFmtId="0" fontId="2" fillId="0" borderId="1" xfId="0" applyNumberFormat="1" applyFont="1" applyFill="1" applyBorder="1" applyAlignment="1">
      <alignment horizontal="center" vertical="center"/>
    </xf>
    <xf numFmtId="177" fontId="2" fillId="0" borderId="1" xfId="52" applyNumberFormat="1" applyFont="1" applyFill="1" applyBorder="1" applyAlignment="1">
      <alignment horizontal="center" vertical="center" wrapText="1"/>
    </xf>
    <xf numFmtId="0" fontId="4" fillId="0" borderId="1" xfId="52" applyNumberFormat="1" applyFont="1" applyFill="1" applyBorder="1" applyAlignment="1" applyProtection="1">
      <alignment horizontal="center" vertical="center"/>
      <protection locked="0"/>
    </xf>
    <xf numFmtId="0" fontId="2" fillId="0" borderId="1" xfId="0" applyNumberFormat="1" applyFont="1" applyFill="1" applyBorder="1" applyAlignment="1">
      <alignment horizontal="left" vertical="center" wrapText="1"/>
    </xf>
    <xf numFmtId="0" fontId="2" fillId="0" borderId="1" xfId="0" applyNumberFormat="1" applyFont="1" applyFill="1" applyBorder="1" applyAlignment="1" applyProtection="1">
      <alignment horizontal="center" vertical="center"/>
      <protection locked="0"/>
    </xf>
    <xf numFmtId="0"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0" fontId="2" fillId="0" borderId="1" xfId="53" applyNumberFormat="1" applyFont="1" applyFill="1" applyBorder="1" applyAlignment="1" applyProtection="1">
      <alignment horizontal="center" vertical="center" wrapText="1"/>
    </xf>
    <xf numFmtId="0" fontId="2" fillId="0" borderId="1" xfId="0" applyFont="1" applyFill="1" applyBorder="1" applyAlignment="1">
      <alignment horizontal="left" vertical="center" wrapText="1"/>
    </xf>
    <xf numFmtId="0" fontId="2" fillId="0" borderId="1" xfId="52" applyNumberFormat="1" applyFont="1" applyFill="1" applyBorder="1" applyAlignment="1">
      <alignment horizontal="center" vertical="center" wrapText="1"/>
    </xf>
    <xf numFmtId="0" fontId="2" fillId="0" borderId="1" xfId="54" applyNumberFormat="1" applyFont="1" applyFill="1" applyBorder="1" applyAlignment="1" applyProtection="1">
      <alignment horizontal="center" vertical="center" wrapText="1"/>
    </xf>
    <xf numFmtId="0" fontId="2" fillId="0" borderId="1" xfId="54" applyNumberFormat="1" applyFont="1" applyFill="1" applyBorder="1" applyAlignment="1" applyProtection="1">
      <alignment horizontal="center" vertical="center"/>
    </xf>
    <xf numFmtId="0" fontId="2" fillId="0" borderId="1" xfId="54" applyNumberFormat="1" applyFont="1" applyFill="1" applyBorder="1" applyAlignment="1" applyProtection="1">
      <alignment horizontal="center" vertical="center"/>
      <protection locked="0"/>
    </xf>
    <xf numFmtId="0" fontId="2" fillId="0" borderId="1" xfId="54" applyNumberFormat="1" applyFont="1" applyFill="1" applyBorder="1" applyAlignment="1" applyProtection="1">
      <alignment horizontal="left" vertical="center" wrapText="1"/>
    </xf>
    <xf numFmtId="0" fontId="2" fillId="0" borderId="1" xfId="53" applyNumberFormat="1" applyFont="1" applyFill="1" applyBorder="1" applyAlignment="1" applyProtection="1">
      <alignment horizontal="center" vertical="center"/>
    </xf>
    <xf numFmtId="0" fontId="2" fillId="0" borderId="1" xfId="53" applyNumberFormat="1" applyFont="1" applyFill="1" applyBorder="1" applyAlignment="1" applyProtection="1">
      <alignment horizontal="left" vertical="center" wrapText="1"/>
    </xf>
    <xf numFmtId="0" fontId="2" fillId="0" borderId="1" xfId="1" applyNumberFormat="1" applyFont="1" applyFill="1" applyBorder="1" applyAlignment="1" applyProtection="1">
      <alignment horizontal="center" vertical="center"/>
      <protection locked="0"/>
    </xf>
    <xf numFmtId="49"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52" applyNumberFormat="1" applyFont="1" applyFill="1" applyBorder="1" applyAlignment="1" applyProtection="1">
      <alignment horizontal="center" vertical="center" wrapText="1"/>
      <protection locked="0"/>
    </xf>
    <xf numFmtId="0" fontId="2" fillId="0" borderId="1" xfId="53" applyNumberFormat="1" applyFont="1" applyFill="1" applyBorder="1" applyAlignment="1" applyProtection="1">
      <alignment horizontal="center" vertical="center"/>
      <protection locked="0"/>
    </xf>
    <xf numFmtId="177" fontId="2" fillId="0" borderId="1" xfId="53" applyNumberFormat="1" applyFont="1" applyFill="1" applyBorder="1" applyAlignment="1" applyProtection="1">
      <alignment horizontal="center" vertical="center" wrapText="1"/>
    </xf>
    <xf numFmtId="0" fontId="2" fillId="0" borderId="1" xfId="52" applyFont="1" applyFill="1" applyBorder="1" applyAlignment="1">
      <alignment vertical="center"/>
    </xf>
    <xf numFmtId="0" fontId="2" fillId="0" borderId="1" xfId="52" applyNumberFormat="1" applyFont="1" applyFill="1" applyBorder="1" applyAlignment="1" applyProtection="1">
      <alignment vertical="center"/>
      <protection locked="0"/>
    </xf>
    <xf numFmtId="0" fontId="4" fillId="0" borderId="2" xfId="52" applyFont="1" applyFill="1" applyBorder="1" applyAlignment="1">
      <alignment horizontal="center" vertical="center"/>
    </xf>
    <xf numFmtId="0" fontId="4" fillId="0" borderId="3" xfId="52" applyFont="1" applyFill="1" applyBorder="1" applyAlignment="1">
      <alignment horizontal="center" vertical="center"/>
    </xf>
    <xf numFmtId="0" fontId="4" fillId="0" borderId="3" xfId="52" applyFont="1" applyFill="1" applyBorder="1" applyAlignment="1">
      <alignment horizontal="left" vertical="center"/>
    </xf>
    <xf numFmtId="0" fontId="4" fillId="0" borderId="4" xfId="52" applyFont="1" applyFill="1" applyBorder="1" applyAlignment="1">
      <alignment horizontal="center" vertical="center"/>
    </xf>
    <xf numFmtId="0" fontId="4" fillId="0" borderId="2" xfId="52" applyNumberFormat="1" applyFont="1" applyFill="1" applyBorder="1" applyAlignment="1">
      <alignment horizontal="center" vertical="center"/>
    </xf>
    <xf numFmtId="0" fontId="4" fillId="0" borderId="4" xfId="52" applyNumberFormat="1" applyFont="1" applyFill="1" applyBorder="1" applyAlignment="1">
      <alignment horizontal="center" vertical="center"/>
    </xf>
    <xf numFmtId="0" fontId="5" fillId="0" borderId="0" xfId="0" applyFont="1" applyFill="1" applyBorder="1" applyAlignment="1">
      <alignment vertical="center"/>
    </xf>
    <xf numFmtId="0" fontId="6" fillId="0" borderId="0" xfId="0" applyFont="1" applyFill="1" applyBorder="1" applyAlignment="1" applyProtection="1">
      <alignment horizontal="center" vertical="center"/>
    </xf>
    <xf numFmtId="0" fontId="6" fillId="0" borderId="0" xfId="0" applyFont="1" applyFill="1" applyBorder="1" applyAlignment="1"/>
    <xf numFmtId="0" fontId="0" fillId="0" borderId="0" xfId="0" applyFont="1" applyFill="1" applyBorder="1" applyAlignment="1">
      <alignment vertical="center"/>
    </xf>
    <xf numFmtId="0" fontId="3" fillId="0" borderId="0" xfId="0" applyFont="1" applyFill="1" applyBorder="1" applyAlignment="1">
      <alignment horizontal="center"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7" fillId="0" borderId="1" xfId="0" applyFont="1" applyFill="1" applyBorder="1" applyAlignment="1">
      <alignment horizontal="center" vertical="center" wrapText="1"/>
    </xf>
    <xf numFmtId="10" fontId="5" fillId="0" borderId="0" xfId="3" applyNumberFormat="1" applyFont="1" applyFill="1" applyBorder="1" applyAlignment="1">
      <alignment vertical="center"/>
    </xf>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3" xfId="0" applyFont="1" applyFill="1" applyBorder="1" applyAlignment="1">
      <alignment horizontal="center" vertical="center" wrapText="1"/>
    </xf>
    <xf numFmtId="177" fontId="5" fillId="0" borderId="0" xfId="0" applyNumberFormat="1" applyFont="1" applyFill="1" applyBorder="1" applyAlignment="1">
      <alignment vertical="center"/>
    </xf>
    <xf numFmtId="0" fontId="8" fillId="0" borderId="0" xfId="0" applyFont="1" applyFill="1" applyBorder="1" applyAlignment="1">
      <alignment horizontal="center" vertical="center"/>
    </xf>
    <xf numFmtId="10" fontId="5" fillId="0" borderId="0" xfId="0" applyNumberFormat="1" applyFont="1" applyFill="1" applyBorder="1" applyAlignment="1">
      <alignment vertical="center"/>
    </xf>
    <xf numFmtId="0" fontId="2" fillId="0" borderId="0" xfId="0" applyFont="1" applyFill="1" applyBorder="1" applyAlignment="1">
      <alignment horizontal="right" vertical="center"/>
    </xf>
    <xf numFmtId="0" fontId="2" fillId="0" borderId="5" xfId="0" applyFont="1" applyFill="1" applyBorder="1" applyAlignment="1" applyProtection="1">
      <alignment horizontal="center" vertical="center"/>
      <protection locked="0"/>
    </xf>
    <xf numFmtId="10" fontId="2" fillId="0" borderId="0" xfId="0" applyNumberFormat="1" applyFont="1" applyFill="1" applyBorder="1" applyAlignment="1">
      <alignment vertical="center"/>
    </xf>
    <xf numFmtId="0" fontId="2" fillId="0" borderId="0" xfId="0" applyFont="1" applyFill="1" applyBorder="1" applyAlignment="1">
      <alignment horizontal="center" vertical="center"/>
    </xf>
    <xf numFmtId="10" fontId="0" fillId="0" borderId="0" xfId="0" applyNumberFormat="1" applyFont="1" applyFill="1" applyBorder="1" applyAlignment="1">
      <alignment vertical="center"/>
    </xf>
    <xf numFmtId="0" fontId="9" fillId="0" borderId="0" xfId="0" applyFont="1" applyFill="1" applyBorder="1" applyAlignment="1">
      <alignment vertical="center"/>
    </xf>
    <xf numFmtId="0" fontId="3" fillId="0" borderId="0" xfId="0" applyFont="1" applyFill="1" applyBorder="1" applyAlignment="1" applyProtection="1">
      <alignment horizontal="center" vertical="center"/>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10" fillId="0" borderId="0" xfId="49" applyFont="1">
      <alignment vertical="center"/>
    </xf>
    <xf numFmtId="0" fontId="11" fillId="0" borderId="0" xfId="0" applyFont="1" applyFill="1" applyBorder="1" applyAlignment="1">
      <alignment vertical="center"/>
    </xf>
    <xf numFmtId="0" fontId="12" fillId="0" borderId="0" xfId="0" applyFont="1" applyFill="1" applyBorder="1" applyAlignment="1">
      <alignment vertical="center"/>
    </xf>
    <xf numFmtId="49" fontId="13" fillId="2" borderId="0" xfId="49" applyNumberFormat="1" applyFont="1" applyFill="1" applyAlignment="1">
      <alignment horizontal="center" vertical="center" wrapText="1"/>
    </xf>
    <xf numFmtId="49" fontId="14" fillId="0" borderId="0" xfId="49" applyNumberFormat="1" applyFont="1" applyFill="1" applyAlignment="1">
      <alignment horizontal="center" vertical="center" wrapText="1"/>
    </xf>
    <xf numFmtId="0" fontId="15" fillId="0" borderId="0" xfId="50" applyFont="1" applyAlignment="1">
      <alignment horizontal="right" vertical="center"/>
    </xf>
    <xf numFmtId="0" fontId="15" fillId="0" borderId="0" xfId="50" applyFont="1" applyAlignment="1">
      <alignment horizontal="center" vertical="center" wrapText="1"/>
    </xf>
    <xf numFmtId="0" fontId="15" fillId="0" borderId="0" xfId="50" applyFont="1" applyAlignment="1">
      <alignment horizontal="center" vertical="center"/>
    </xf>
    <xf numFmtId="0" fontId="15" fillId="0" borderId="0" xfId="51" applyFont="1" applyAlignment="1">
      <alignment horizontal="right" vertical="center"/>
    </xf>
    <xf numFmtId="0" fontId="16" fillId="0" borderId="0" xfId="0" applyFont="1" applyFill="1" applyBorder="1" applyAlignment="1">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船闸清单及编码-20160808" xfId="49"/>
    <cellStyle name="常规_QL1工程量清单（终稿，删航道）" xfId="50"/>
    <cellStyle name="常规_锡澄运河桥梁清单（二次复核，汇总）" xfId="51"/>
    <cellStyle name="常规 2" xfId="52"/>
    <cellStyle name="常规 9" xfId="53"/>
    <cellStyle name="常规 9 2"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view="pageBreakPreview" zoomScaleNormal="100" topLeftCell="A3" workbookViewId="0">
      <selection activeCell="B6" sqref="B6:C6"/>
    </sheetView>
  </sheetViews>
  <sheetFormatPr defaultColWidth="9" defaultRowHeight="14.25" outlineLevelRow="7" outlineLevelCol="3"/>
  <cols>
    <col min="1" max="1" width="20.125" style="88" customWidth="1"/>
    <col min="2" max="2" width="10.65" style="88" customWidth="1"/>
    <col min="3" max="3" width="46.25" style="88" customWidth="1"/>
    <col min="4" max="4" width="15.875" style="88" customWidth="1"/>
    <col min="5" max="5" width="10.65" style="88" customWidth="1"/>
    <col min="6" max="16384" width="9" style="90"/>
  </cols>
  <sheetData>
    <row r="1" s="88" customFormat="1" ht="63" customHeight="1" spans="1:4">
      <c r="A1" s="91" t="s">
        <v>0</v>
      </c>
      <c r="B1" s="91"/>
      <c r="C1" s="91"/>
      <c r="D1" s="91"/>
    </row>
    <row r="2" s="88" customFormat="1" ht="67" customHeight="1" spans="1:4">
      <c r="A2" s="91"/>
      <c r="B2" s="91"/>
      <c r="C2" s="91"/>
      <c r="D2" s="91"/>
    </row>
    <row r="3" s="88" customFormat="1" ht="200" customHeight="1"/>
    <row r="4" s="88" customFormat="1" ht="75" customHeight="1" spans="1:4">
      <c r="A4" s="92" t="s">
        <v>1</v>
      </c>
      <c r="B4" s="92"/>
      <c r="C4" s="92"/>
      <c r="D4" s="92"/>
    </row>
    <row r="5" s="88" customFormat="1" ht="250" customHeight="1"/>
    <row r="6" s="89" customFormat="1" ht="40" customHeight="1" spans="1:4">
      <c r="A6" s="93" t="s">
        <v>2</v>
      </c>
      <c r="B6" s="94" t="s">
        <v>3</v>
      </c>
      <c r="C6" s="95"/>
    </row>
    <row r="7" s="89" customFormat="1" ht="40" customHeight="1" spans="1:4">
      <c r="A7" s="96" t="s">
        <v>4</v>
      </c>
      <c r="B7" s="94" t="s">
        <v>5</v>
      </c>
      <c r="C7" s="95"/>
      <c r="D7" s="97" t="s">
        <v>6</v>
      </c>
    </row>
    <row r="8" s="89" customFormat="1" ht="40" customHeight="1" spans="1:4">
      <c r="A8" s="96" t="s">
        <v>7</v>
      </c>
      <c r="B8" s="94" t="s">
        <v>5</v>
      </c>
      <c r="C8" s="95"/>
    </row>
  </sheetData>
  <mergeCells count="5">
    <mergeCell ref="A4:D4"/>
    <mergeCell ref="B6:C6"/>
    <mergeCell ref="B7:C7"/>
    <mergeCell ref="B8:C8"/>
    <mergeCell ref="A1:D2"/>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tabSelected="1" view="pageBreakPreview" zoomScaleNormal="100" workbookViewId="0">
      <selection activeCell="H8" sqref="H8"/>
    </sheetView>
  </sheetViews>
  <sheetFormatPr defaultColWidth="7.875" defaultRowHeight="14.25" outlineLevelCol="1"/>
  <cols>
    <col min="1" max="1" width="34.875" style="58" customWidth="1"/>
    <col min="2" max="2" width="49.1333333333333" style="58" customWidth="1"/>
    <col min="3" max="16384" width="7.875" style="58"/>
  </cols>
  <sheetData>
    <row r="1" s="58" customFormat="1" ht="40" customHeight="1" spans="1:2">
      <c r="A1" s="79" t="s">
        <v>8</v>
      </c>
      <c r="B1" s="79"/>
    </row>
    <row r="2" s="58" customFormat="1" ht="25" customHeight="1" spans="1:2">
      <c r="A2" s="63" t="s">
        <v>9</v>
      </c>
      <c r="B2" s="63"/>
    </row>
    <row r="3" s="78" customFormat="1" ht="36" customHeight="1" spans="1:2">
      <c r="A3" s="80" t="s">
        <v>10</v>
      </c>
      <c r="B3" s="81"/>
    </row>
    <row r="4" s="78" customFormat="1" ht="36" customHeight="1" spans="1:2">
      <c r="A4" s="82" t="s">
        <v>11</v>
      </c>
      <c r="B4" s="83"/>
    </row>
    <row r="5" s="78" customFormat="1" ht="40" customHeight="1" spans="1:2">
      <c r="A5" s="82" t="s">
        <v>12</v>
      </c>
      <c r="B5" s="83"/>
    </row>
    <row r="6" s="78" customFormat="1" ht="62" customHeight="1" spans="1:2">
      <c r="A6" s="82" t="s">
        <v>13</v>
      </c>
      <c r="B6" s="83"/>
    </row>
    <row r="7" s="78" customFormat="1" ht="62" customHeight="1" spans="1:2">
      <c r="A7" s="82" t="s">
        <v>14</v>
      </c>
      <c r="B7" s="83"/>
    </row>
    <row r="8" s="78" customFormat="1" ht="53" customHeight="1" spans="1:2">
      <c r="A8" s="84" t="s">
        <v>15</v>
      </c>
      <c r="B8" s="85"/>
    </row>
    <row r="9" s="78" customFormat="1" ht="53" customHeight="1" spans="1:2">
      <c r="A9" s="84" t="s">
        <v>16</v>
      </c>
      <c r="B9" s="85"/>
    </row>
    <row r="10" s="78" customFormat="1" ht="36" customHeight="1" spans="1:2">
      <c r="A10" s="86" t="s">
        <v>17</v>
      </c>
      <c r="B10" s="87"/>
    </row>
  </sheetData>
  <sheetProtection algorithmName="SHA-512" hashValue="z5NUY7POO/O1gc4Qkn0sTZmzSU/zlT+vci05extkp86QfzZ4kXUDckXryaoUpj3L6C0NESp17UMjALrOjTiWMQ==" saltValue="MePUD5X/woH6swVXtUkwHg==" spinCount="100000" sheet="1" formatCells="0" formatColumns="0" formatRows="0" objects="1"/>
  <mergeCells count="10">
    <mergeCell ref="A1:B1"/>
    <mergeCell ref="A2:B2"/>
    <mergeCell ref="A3:B3"/>
    <mergeCell ref="A4:B4"/>
    <mergeCell ref="A5:B5"/>
    <mergeCell ref="A6:B6"/>
    <mergeCell ref="A7:B7"/>
    <mergeCell ref="A8:B8"/>
    <mergeCell ref="A9:B9"/>
    <mergeCell ref="A10:B10"/>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view="pageBreakPreview" zoomScaleNormal="100" workbookViewId="0">
      <selection activeCell="C13" sqref="C13"/>
    </sheetView>
  </sheetViews>
  <sheetFormatPr defaultColWidth="9" defaultRowHeight="14.25" outlineLevelCol="4"/>
  <cols>
    <col min="1" max="1" width="9.625" style="58" customWidth="1"/>
    <col min="2" max="2" width="55.25" style="58" customWidth="1"/>
    <col min="3" max="3" width="18.625" style="58" customWidth="1"/>
    <col min="4" max="5" width="14" style="61"/>
    <col min="6" max="16384" width="9" style="61"/>
  </cols>
  <sheetData>
    <row r="1" s="58" customFormat="1" ht="39" customHeight="1" spans="1:5">
      <c r="A1" s="62" t="s">
        <v>18</v>
      </c>
      <c r="B1" s="62"/>
      <c r="C1" s="62"/>
    </row>
    <row r="2" s="58" customFormat="1" ht="27" customHeight="1" spans="1:5">
      <c r="A2" s="63" t="str">
        <f>说明!A2</f>
        <v>项目名称：苏南运河干（支）线数字化转型升级项目施工项目（SZH-SNSG5标段）</v>
      </c>
      <c r="B2" s="64"/>
      <c r="C2" s="64"/>
    </row>
    <row r="3" s="58" customFormat="1" ht="29.5" customHeight="1" spans="1:5">
      <c r="A3" s="65" t="s">
        <v>19</v>
      </c>
      <c r="B3" s="65" t="s">
        <v>20</v>
      </c>
      <c r="C3" s="65" t="s">
        <v>21</v>
      </c>
    </row>
    <row r="4" s="58" customFormat="1" ht="32" customHeight="1" spans="1:5">
      <c r="A4" s="17" t="s">
        <v>22</v>
      </c>
      <c r="B4" s="17" t="s">
        <v>23</v>
      </c>
      <c r="C4" s="65">
        <f>SUM(工程量清单!G7:G10)</f>
        <v>0</v>
      </c>
      <c r="E4" s="66"/>
    </row>
    <row r="5" s="58" customFormat="1" ht="32" customHeight="1" spans="1:5">
      <c r="A5" s="17" t="s">
        <v>24</v>
      </c>
      <c r="B5" s="17" t="s">
        <v>25</v>
      </c>
      <c r="C5" s="65">
        <f>SUM(工程量清单!G15:G308)</f>
        <v>0</v>
      </c>
      <c r="E5" s="66"/>
    </row>
    <row r="6" s="58" customFormat="1" ht="32" customHeight="1" spans="1:5">
      <c r="A6" s="17" t="s">
        <v>26</v>
      </c>
      <c r="B6" s="17" t="s">
        <v>27</v>
      </c>
      <c r="C6" s="65">
        <f>SUM(工程量清单!G310:G311)</f>
        <v>0</v>
      </c>
    </row>
    <row r="7" s="58" customFormat="1" ht="32" customHeight="1" spans="1:5">
      <c r="A7" s="17" t="s">
        <v>28</v>
      </c>
      <c r="B7" s="67" t="s">
        <v>29</v>
      </c>
      <c r="C7" s="65">
        <f>ROUND(SUM(C4:C6),0)</f>
        <v>0</v>
      </c>
    </row>
    <row r="8" s="58" customFormat="1" ht="32" customHeight="1" spans="1:5">
      <c r="A8" s="17" t="s">
        <v>30</v>
      </c>
      <c r="B8" s="67" t="s">
        <v>31</v>
      </c>
      <c r="C8" s="65">
        <f>ROUND(C7*3%,0)</f>
        <v>0</v>
      </c>
    </row>
    <row r="9" s="58" customFormat="1" ht="32" customHeight="1" spans="1:5">
      <c r="A9" s="17" t="s">
        <v>32</v>
      </c>
      <c r="B9" s="67" t="s">
        <v>33</v>
      </c>
      <c r="C9" s="65">
        <f>ROUND(19190000*1.5%,0)</f>
        <v>287850</v>
      </c>
    </row>
    <row r="10" s="58" customFormat="1" ht="32" customHeight="1" spans="1:5">
      <c r="A10" s="17" t="s">
        <v>34</v>
      </c>
      <c r="B10" s="67" t="s">
        <v>35</v>
      </c>
      <c r="C10" s="68">
        <f>ROUND(19190000*0.3%,0)</f>
        <v>57570</v>
      </c>
    </row>
    <row r="11" s="58" customFormat="1" ht="32" customHeight="1" spans="1:5">
      <c r="A11" s="67" t="s">
        <v>36</v>
      </c>
      <c r="B11" s="69"/>
      <c r="C11" s="68">
        <f>SUM(C7:C10)</f>
        <v>345420</v>
      </c>
      <c r="D11" s="70"/>
    </row>
    <row r="12" s="58" customFormat="1" ht="20" customHeight="1" spans="1:5">
      <c r="C12" s="71"/>
      <c r="D12" s="58"/>
      <c r="E12" s="72"/>
    </row>
    <row r="13" s="58" customFormat="1" ht="20" customHeight="1" spans="1:5">
      <c r="B13" s="73" t="s">
        <v>37</v>
      </c>
      <c r="C13" s="74" t="s">
        <v>6</v>
      </c>
      <c r="D13" s="75"/>
    </row>
    <row r="14" s="59" customFormat="1" ht="20" customHeight="1" spans="1:5">
      <c r="A14" s="58"/>
      <c r="B14" s="73"/>
      <c r="C14" s="76"/>
    </row>
    <row r="15" s="59" customFormat="1" ht="20" customHeight="1" spans="1:5">
      <c r="A15" s="58"/>
      <c r="B15" s="73" t="s">
        <v>38</v>
      </c>
      <c r="C15" s="74" t="s">
        <v>6</v>
      </c>
    </row>
    <row r="16" s="59" customFormat="1" ht="20" customHeight="1" spans="1:5">
      <c r="A16" s="58"/>
      <c r="B16" s="73"/>
      <c r="C16" s="76"/>
    </row>
    <row r="17" s="59" customFormat="1" ht="20" customHeight="1" spans="1:4">
      <c r="A17" s="58"/>
      <c r="B17" s="73" t="s">
        <v>39</v>
      </c>
      <c r="C17" s="74"/>
    </row>
    <row r="18" s="60" customFormat="1" ht="20" customHeight="1" spans="1:4">
      <c r="A18" s="58"/>
      <c r="B18" s="58"/>
      <c r="C18" s="58"/>
    </row>
    <row r="19" s="58" customFormat="1"/>
    <row r="20" s="61" customFormat="1" spans="1:4">
      <c r="A20" s="58"/>
      <c r="B20" s="58"/>
      <c r="C20" s="71"/>
    </row>
    <row r="21" s="61" customFormat="1" spans="1:4">
      <c r="A21" s="58"/>
      <c r="B21" s="58"/>
      <c r="C21" s="58"/>
      <c r="D21" s="77"/>
    </row>
  </sheetData>
  <sheetProtection algorithmName="SHA-512" hashValue="E2Jh7OmrXX+8HwMbFVNOL0VQk+P6vT+v0RcxBLuMQkWZKE5loMqqDosQMfsTCZXCoGcWkZ3x0swii2kNqP00fA==" saltValue="3t2rhOWudbUr+Dnh4/nVUg==" spinCount="100000" sheet="1" formatCells="0" formatColumns="0" formatRows="0" objects="1"/>
  <mergeCells count="3">
    <mergeCell ref="A1:C1"/>
    <mergeCell ref="A2:C2"/>
    <mergeCell ref="A11:B11"/>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2"/>
  <sheetViews>
    <sheetView view="pageBreakPreview" zoomScaleNormal="100" topLeftCell="A37" workbookViewId="0">
      <selection activeCell="A37" sqref="$A37:$XFD37"/>
    </sheetView>
  </sheetViews>
  <sheetFormatPr defaultColWidth="14.125" defaultRowHeight="12"/>
  <cols>
    <col min="1" max="1" width="9.125" style="2" customWidth="1"/>
    <col min="2" max="2" width="18.375" style="3" customWidth="1"/>
    <col min="3" max="3" width="61.25" style="4" customWidth="1"/>
    <col min="4" max="4" width="5.875" style="5" customWidth="1"/>
    <col min="5" max="5" width="6.375" style="5" customWidth="1"/>
    <col min="6" max="6" width="8.125" style="6" customWidth="1"/>
    <col min="7" max="7" width="8" style="7" customWidth="1"/>
    <col min="8" max="8" width="12.25" style="8" customWidth="1"/>
    <col min="9" max="16383" width="14.125" style="9" customWidth="1"/>
    <col min="16384" max="16384" width="14.125" style="9"/>
  </cols>
  <sheetData>
    <row r="1" s="1" customFormat="1" ht="45" customHeight="1" spans="1:9">
      <c r="A1" s="10" t="s">
        <v>1</v>
      </c>
      <c r="B1" s="10"/>
      <c r="C1" s="11"/>
      <c r="D1" s="10"/>
      <c r="E1" s="10"/>
      <c r="F1" s="12"/>
      <c r="G1" s="12"/>
      <c r="H1" s="10"/>
      <c r="I1" s="13"/>
    </row>
    <row r="2" s="1" customFormat="1" ht="24" customHeight="1" spans="1:9">
      <c r="A2" s="4" t="str">
        <f>说明!A2</f>
        <v>项目名称：苏南运河干（支）线数字化转型升级项目施工项目（SZH-SNSG5标段）</v>
      </c>
      <c r="B2" s="3"/>
      <c r="C2" s="4"/>
      <c r="D2" s="4"/>
      <c r="E2" s="4"/>
      <c r="F2" s="14"/>
      <c r="G2" s="14"/>
      <c r="H2" s="3"/>
      <c r="I2" s="15"/>
    </row>
    <row r="3" ht="36" customHeight="1" spans="1:9">
      <c r="A3" s="16" t="s">
        <v>19</v>
      </c>
      <c r="B3" s="17" t="s">
        <v>20</v>
      </c>
      <c r="C3" s="17" t="s">
        <v>40</v>
      </c>
      <c r="D3" s="16" t="s">
        <v>41</v>
      </c>
      <c r="E3" s="16" t="s">
        <v>42</v>
      </c>
      <c r="F3" s="18" t="s">
        <v>43</v>
      </c>
      <c r="G3" s="18" t="s">
        <v>44</v>
      </c>
      <c r="H3" s="19" t="s">
        <v>45</v>
      </c>
    </row>
    <row r="4" ht="23" customHeight="1" spans="1:9">
      <c r="A4" s="16" t="s">
        <v>22</v>
      </c>
      <c r="B4" s="17" t="s">
        <v>23</v>
      </c>
      <c r="C4" s="20"/>
      <c r="D4" s="16"/>
      <c r="E4" s="16"/>
      <c r="F4" s="21"/>
      <c r="G4" s="21"/>
      <c r="H4" s="19"/>
    </row>
    <row r="5" ht="23" customHeight="1" spans="1:9">
      <c r="A5" s="22">
        <v>1.1</v>
      </c>
      <c r="B5" s="23" t="s">
        <v>46</v>
      </c>
      <c r="C5" s="24"/>
      <c r="D5" s="22"/>
      <c r="E5" s="22"/>
      <c r="F5" s="25"/>
      <c r="G5" s="25"/>
      <c r="H5" s="19"/>
    </row>
    <row r="6" ht="23" customHeight="1" spans="1:9">
      <c r="A6" s="22" t="s">
        <v>47</v>
      </c>
      <c r="B6" s="23" t="s">
        <v>48</v>
      </c>
      <c r="C6" s="24"/>
      <c r="D6" s="22"/>
      <c r="E6" s="22"/>
      <c r="F6" s="25"/>
      <c r="G6" s="25"/>
      <c r="H6" s="19"/>
    </row>
    <row r="7" ht="60" customHeight="1" spans="1:9">
      <c r="A7" s="22" t="s">
        <v>49</v>
      </c>
      <c r="B7" s="23" t="s">
        <v>50</v>
      </c>
      <c r="C7" s="24" t="s">
        <v>51</v>
      </c>
      <c r="D7" s="26" t="s">
        <v>52</v>
      </c>
      <c r="E7" s="22">
        <v>82</v>
      </c>
      <c r="F7" s="27"/>
      <c r="G7" s="28">
        <f>ROUND(E7*F7,2)</f>
        <v>0</v>
      </c>
      <c r="H7" s="29"/>
    </row>
    <row r="8" ht="21" customHeight="1" spans="1:9">
      <c r="A8" s="22" t="s">
        <v>53</v>
      </c>
      <c r="B8" s="23" t="s">
        <v>54</v>
      </c>
      <c r="C8" s="24"/>
      <c r="D8" s="22" t="s">
        <v>55</v>
      </c>
      <c r="E8" s="22">
        <v>1</v>
      </c>
      <c r="F8" s="27"/>
      <c r="G8" s="28">
        <f t="shared" ref="G8:G39" si="0">ROUND(E8*F8,2)</f>
        <v>0</v>
      </c>
      <c r="H8" s="17"/>
    </row>
    <row r="9" ht="21" customHeight="1" spans="1:9">
      <c r="A9" s="22">
        <v>1.2</v>
      </c>
      <c r="B9" s="23" t="s">
        <v>56</v>
      </c>
      <c r="C9" s="24"/>
      <c r="D9" s="22"/>
      <c r="E9" s="22"/>
      <c r="F9" s="27"/>
      <c r="G9" s="28"/>
      <c r="H9" s="17"/>
    </row>
    <row r="10" ht="21" customHeight="1" spans="1:9">
      <c r="A10" s="22" t="s">
        <v>57</v>
      </c>
      <c r="B10" s="23" t="s">
        <v>54</v>
      </c>
      <c r="C10" s="24"/>
      <c r="D10" s="22" t="s">
        <v>55</v>
      </c>
      <c r="E10" s="22">
        <v>1</v>
      </c>
      <c r="F10" s="27"/>
      <c r="G10" s="28">
        <f t="shared" si="0"/>
        <v>0</v>
      </c>
      <c r="H10" s="17"/>
    </row>
    <row r="11" ht="21" customHeight="1" spans="1:9">
      <c r="A11" s="16" t="s">
        <v>24</v>
      </c>
      <c r="B11" s="17" t="s">
        <v>58</v>
      </c>
      <c r="C11" s="20"/>
      <c r="D11" s="16"/>
      <c r="E11" s="16"/>
      <c r="F11" s="30"/>
      <c r="G11" s="28"/>
      <c r="H11" s="19"/>
    </row>
    <row r="12" ht="21" customHeight="1" spans="1:9">
      <c r="A12" s="22">
        <v>2.1</v>
      </c>
      <c r="B12" s="23" t="s">
        <v>46</v>
      </c>
      <c r="C12" s="24"/>
      <c r="D12" s="22"/>
      <c r="E12" s="22"/>
      <c r="F12" s="27"/>
      <c r="G12" s="28"/>
      <c r="H12" s="19"/>
    </row>
    <row r="13" ht="21" customHeight="1" spans="1:9">
      <c r="A13" s="22" t="s">
        <v>59</v>
      </c>
      <c r="B13" s="23" t="s">
        <v>60</v>
      </c>
      <c r="C13" s="24"/>
      <c r="D13" s="22"/>
      <c r="E13" s="22"/>
      <c r="F13" s="27"/>
      <c r="G13" s="28"/>
      <c r="H13" s="19"/>
    </row>
    <row r="14" ht="39" customHeight="1" spans="1:9">
      <c r="A14" s="22" t="s">
        <v>61</v>
      </c>
      <c r="B14" s="23" t="s">
        <v>62</v>
      </c>
      <c r="C14" s="31"/>
      <c r="D14" s="28"/>
      <c r="E14" s="28"/>
      <c r="F14" s="32"/>
      <c r="G14" s="28"/>
      <c r="H14" s="29"/>
    </row>
    <row r="15" ht="290" customHeight="1" spans="1:9">
      <c r="A15" s="28" t="s">
        <v>63</v>
      </c>
      <c r="B15" s="33" t="s">
        <v>64</v>
      </c>
      <c r="C15" s="31" t="s">
        <v>65</v>
      </c>
      <c r="D15" s="28" t="s">
        <v>66</v>
      </c>
      <c r="E15" s="28">
        <v>2</v>
      </c>
      <c r="F15" s="27"/>
      <c r="G15" s="28">
        <f t="shared" si="0"/>
        <v>0</v>
      </c>
      <c r="H15" s="29"/>
    </row>
    <row r="16" ht="295" customHeight="1" spans="1:9">
      <c r="A16" s="28" t="s">
        <v>67</v>
      </c>
      <c r="B16" s="33" t="s">
        <v>68</v>
      </c>
      <c r="C16" s="31" t="s">
        <v>69</v>
      </c>
      <c r="D16" s="28" t="s">
        <v>66</v>
      </c>
      <c r="E16" s="28">
        <v>2</v>
      </c>
      <c r="F16" s="27"/>
      <c r="G16" s="28">
        <f t="shared" si="0"/>
        <v>0</v>
      </c>
      <c r="H16" s="29"/>
    </row>
    <row r="17" ht="264" customHeight="1" spans="1:8">
      <c r="A17" s="28" t="s">
        <v>70</v>
      </c>
      <c r="B17" s="33" t="s">
        <v>71</v>
      </c>
      <c r="C17" s="31" t="s">
        <v>72</v>
      </c>
      <c r="D17" s="28" t="s">
        <v>66</v>
      </c>
      <c r="E17" s="28">
        <v>2</v>
      </c>
      <c r="F17" s="32"/>
      <c r="G17" s="28">
        <f t="shared" si="0"/>
        <v>0</v>
      </c>
      <c r="H17" s="29"/>
    </row>
    <row r="18" ht="185" customHeight="1" spans="1:8">
      <c r="A18" s="28" t="s">
        <v>73</v>
      </c>
      <c r="B18" s="33" t="s">
        <v>74</v>
      </c>
      <c r="C18" s="31" t="s">
        <v>75</v>
      </c>
      <c r="D18" s="28" t="s">
        <v>66</v>
      </c>
      <c r="E18" s="28">
        <v>2</v>
      </c>
      <c r="F18" s="32"/>
      <c r="G18" s="28">
        <f t="shared" si="0"/>
        <v>0</v>
      </c>
      <c r="H18" s="29"/>
    </row>
    <row r="19" ht="82" customHeight="1" spans="1:8">
      <c r="A19" s="28" t="s">
        <v>76</v>
      </c>
      <c r="B19" s="33" t="s">
        <v>77</v>
      </c>
      <c r="C19" s="31" t="s">
        <v>78</v>
      </c>
      <c r="D19" s="28" t="s">
        <v>66</v>
      </c>
      <c r="E19" s="28">
        <v>2</v>
      </c>
      <c r="F19" s="32"/>
      <c r="G19" s="28">
        <f t="shared" si="0"/>
        <v>0</v>
      </c>
      <c r="H19" s="29"/>
    </row>
    <row r="20" ht="142" customHeight="1" spans="1:8">
      <c r="A20" s="28" t="s">
        <v>79</v>
      </c>
      <c r="B20" s="33" t="s">
        <v>80</v>
      </c>
      <c r="C20" s="31" t="s">
        <v>81</v>
      </c>
      <c r="D20" s="28" t="s">
        <v>66</v>
      </c>
      <c r="E20" s="28">
        <v>2</v>
      </c>
      <c r="F20" s="32"/>
      <c r="G20" s="28">
        <f t="shared" si="0"/>
        <v>0</v>
      </c>
      <c r="H20" s="29"/>
    </row>
    <row r="21" ht="33" customHeight="1" spans="1:8">
      <c r="A21" s="28" t="s">
        <v>82</v>
      </c>
      <c r="B21" s="33" t="s">
        <v>83</v>
      </c>
      <c r="C21" s="31" t="s">
        <v>84</v>
      </c>
      <c r="D21" s="28" t="s">
        <v>85</v>
      </c>
      <c r="E21" s="28">
        <v>2</v>
      </c>
      <c r="F21" s="32"/>
      <c r="G21" s="28">
        <f t="shared" si="0"/>
        <v>0</v>
      </c>
      <c r="H21" s="29"/>
    </row>
    <row r="22" ht="309" customHeight="1" spans="1:8">
      <c r="A22" s="28" t="s">
        <v>86</v>
      </c>
      <c r="B22" s="33" t="s">
        <v>87</v>
      </c>
      <c r="C22" s="31" t="s">
        <v>88</v>
      </c>
      <c r="D22" s="25" t="s">
        <v>89</v>
      </c>
      <c r="E22" s="28">
        <v>2</v>
      </c>
      <c r="F22" s="32"/>
      <c r="G22" s="28">
        <f t="shared" si="0"/>
        <v>0</v>
      </c>
      <c r="H22" s="29"/>
    </row>
    <row r="23" ht="119" customHeight="1" spans="1:8">
      <c r="A23" s="28" t="s">
        <v>90</v>
      </c>
      <c r="B23" s="23" t="s">
        <v>91</v>
      </c>
      <c r="C23" s="31" t="s">
        <v>92</v>
      </c>
      <c r="D23" s="22" t="s">
        <v>66</v>
      </c>
      <c r="E23" s="28">
        <v>4</v>
      </c>
      <c r="F23" s="27"/>
      <c r="G23" s="28">
        <f t="shared" si="0"/>
        <v>0</v>
      </c>
      <c r="H23" s="29"/>
    </row>
    <row r="24" ht="26" customHeight="1" spans="1:8">
      <c r="A24" s="28" t="s">
        <v>93</v>
      </c>
      <c r="B24" s="23" t="s">
        <v>94</v>
      </c>
      <c r="C24" s="24" t="s">
        <v>95</v>
      </c>
      <c r="D24" s="28" t="s">
        <v>55</v>
      </c>
      <c r="E24" s="28">
        <v>1</v>
      </c>
      <c r="F24" s="32"/>
      <c r="G24" s="28">
        <f t="shared" si="0"/>
        <v>0</v>
      </c>
      <c r="H24" s="29"/>
    </row>
    <row r="25" ht="32" customHeight="1" spans="1:8">
      <c r="A25" s="22" t="s">
        <v>96</v>
      </c>
      <c r="B25" s="23" t="s">
        <v>97</v>
      </c>
      <c r="C25" s="24"/>
      <c r="D25" s="22"/>
      <c r="E25" s="22"/>
      <c r="F25" s="27"/>
      <c r="G25" s="28"/>
      <c r="H25" s="29"/>
    </row>
    <row r="26" ht="276" customHeight="1" spans="1:8">
      <c r="A26" s="28" t="s">
        <v>63</v>
      </c>
      <c r="B26" s="33" t="s">
        <v>64</v>
      </c>
      <c r="C26" s="31" t="s">
        <v>65</v>
      </c>
      <c r="D26" s="28" t="s">
        <v>66</v>
      </c>
      <c r="E26" s="28">
        <v>2</v>
      </c>
      <c r="F26" s="27"/>
      <c r="G26" s="28">
        <f t="shared" si="0"/>
        <v>0</v>
      </c>
      <c r="H26" s="29"/>
    </row>
    <row r="27" ht="282" customHeight="1" spans="1:8">
      <c r="A27" s="28" t="s">
        <v>67</v>
      </c>
      <c r="B27" s="33" t="s">
        <v>68</v>
      </c>
      <c r="C27" s="31" t="s">
        <v>69</v>
      </c>
      <c r="D27" s="28" t="s">
        <v>66</v>
      </c>
      <c r="E27" s="28">
        <v>4</v>
      </c>
      <c r="F27" s="27"/>
      <c r="G27" s="28">
        <f t="shared" si="0"/>
        <v>0</v>
      </c>
      <c r="H27" s="29"/>
    </row>
    <row r="28" ht="158" customHeight="1" spans="1:8">
      <c r="A28" s="28" t="s">
        <v>70</v>
      </c>
      <c r="B28" s="33" t="s">
        <v>98</v>
      </c>
      <c r="C28" s="31" t="s">
        <v>99</v>
      </c>
      <c r="D28" s="28" t="s">
        <v>89</v>
      </c>
      <c r="E28" s="28">
        <v>1</v>
      </c>
      <c r="F28" s="32"/>
      <c r="G28" s="28">
        <f t="shared" si="0"/>
        <v>0</v>
      </c>
      <c r="H28" s="29"/>
    </row>
    <row r="29" ht="175" customHeight="1" spans="1:8">
      <c r="A29" s="28" t="s">
        <v>73</v>
      </c>
      <c r="B29" s="33" t="s">
        <v>74</v>
      </c>
      <c r="C29" s="31" t="s">
        <v>75</v>
      </c>
      <c r="D29" s="28" t="s">
        <v>66</v>
      </c>
      <c r="E29" s="28">
        <v>4</v>
      </c>
      <c r="F29" s="32"/>
      <c r="G29" s="28">
        <f t="shared" si="0"/>
        <v>0</v>
      </c>
      <c r="H29" s="29"/>
    </row>
    <row r="30" ht="81" customHeight="1" spans="1:8">
      <c r="A30" s="28" t="s">
        <v>76</v>
      </c>
      <c r="B30" s="33" t="s">
        <v>77</v>
      </c>
      <c r="C30" s="31" t="s">
        <v>78</v>
      </c>
      <c r="D30" s="28" t="s">
        <v>66</v>
      </c>
      <c r="E30" s="28">
        <v>1</v>
      </c>
      <c r="F30" s="32"/>
      <c r="G30" s="28">
        <f t="shared" si="0"/>
        <v>0</v>
      </c>
      <c r="H30" s="29"/>
    </row>
    <row r="31" ht="114" customHeight="1" spans="1:8">
      <c r="A31" s="28" t="s">
        <v>79</v>
      </c>
      <c r="B31" s="23" t="s">
        <v>91</v>
      </c>
      <c r="C31" s="31" t="s">
        <v>92</v>
      </c>
      <c r="D31" s="22" t="s">
        <v>66</v>
      </c>
      <c r="E31" s="28">
        <v>8</v>
      </c>
      <c r="F31" s="27"/>
      <c r="G31" s="28">
        <f t="shared" si="0"/>
        <v>0</v>
      </c>
      <c r="H31" s="29"/>
    </row>
    <row r="32" ht="33" customHeight="1" spans="1:8">
      <c r="A32" s="28" t="s">
        <v>82</v>
      </c>
      <c r="B32" s="33" t="s">
        <v>100</v>
      </c>
      <c r="C32" s="31" t="s">
        <v>84</v>
      </c>
      <c r="D32" s="28" t="s">
        <v>85</v>
      </c>
      <c r="E32" s="28">
        <v>2</v>
      </c>
      <c r="F32" s="32"/>
      <c r="G32" s="28">
        <f t="shared" si="0"/>
        <v>0</v>
      </c>
      <c r="H32" s="29"/>
    </row>
    <row r="33" ht="33" customHeight="1" spans="1:8">
      <c r="A33" s="28" t="s">
        <v>86</v>
      </c>
      <c r="B33" s="33" t="s">
        <v>83</v>
      </c>
      <c r="C33" s="31" t="s">
        <v>84</v>
      </c>
      <c r="D33" s="28" t="s">
        <v>85</v>
      </c>
      <c r="E33" s="28">
        <v>2</v>
      </c>
      <c r="F33" s="32"/>
      <c r="G33" s="28">
        <f t="shared" si="0"/>
        <v>0</v>
      </c>
      <c r="H33" s="29"/>
    </row>
    <row r="34" ht="316" customHeight="1" spans="1:8">
      <c r="A34" s="28" t="s">
        <v>90</v>
      </c>
      <c r="B34" s="33" t="s">
        <v>87</v>
      </c>
      <c r="C34" s="31" t="s">
        <v>88</v>
      </c>
      <c r="D34" s="28" t="s">
        <v>89</v>
      </c>
      <c r="E34" s="28">
        <v>4</v>
      </c>
      <c r="F34" s="32"/>
      <c r="G34" s="28">
        <f t="shared" si="0"/>
        <v>0</v>
      </c>
      <c r="H34" s="29"/>
    </row>
    <row r="35" ht="28" customHeight="1" spans="1:8">
      <c r="A35" s="28" t="s">
        <v>93</v>
      </c>
      <c r="B35" s="23" t="s">
        <v>94</v>
      </c>
      <c r="C35" s="24" t="s">
        <v>95</v>
      </c>
      <c r="D35" s="28" t="s">
        <v>55</v>
      </c>
      <c r="E35" s="28">
        <v>1</v>
      </c>
      <c r="F35" s="32"/>
      <c r="G35" s="28">
        <f t="shared" si="0"/>
        <v>0</v>
      </c>
      <c r="H35" s="29"/>
    </row>
    <row r="36" ht="27" customHeight="1" spans="1:8">
      <c r="A36" s="22" t="s">
        <v>101</v>
      </c>
      <c r="B36" s="23" t="s">
        <v>102</v>
      </c>
      <c r="C36" s="24" t="s">
        <v>103</v>
      </c>
      <c r="D36" s="22"/>
      <c r="E36" s="22"/>
      <c r="F36" s="27"/>
      <c r="G36" s="28"/>
      <c r="H36" s="29"/>
    </row>
    <row r="37" ht="280" customHeight="1" spans="1:8">
      <c r="A37" s="28" t="s">
        <v>63</v>
      </c>
      <c r="B37" s="33" t="s">
        <v>104</v>
      </c>
      <c r="C37" s="24" t="s">
        <v>105</v>
      </c>
      <c r="D37" s="22" t="s">
        <v>66</v>
      </c>
      <c r="E37" s="22">
        <v>4</v>
      </c>
      <c r="F37" s="27"/>
      <c r="G37" s="28">
        <f t="shared" si="0"/>
        <v>0</v>
      </c>
      <c r="H37" s="29"/>
    </row>
    <row r="38" ht="36" customHeight="1" spans="1:8">
      <c r="A38" s="28" t="s">
        <v>67</v>
      </c>
      <c r="B38" s="33" t="s">
        <v>100</v>
      </c>
      <c r="C38" s="31" t="s">
        <v>84</v>
      </c>
      <c r="D38" s="28" t="s">
        <v>85</v>
      </c>
      <c r="E38" s="28">
        <v>4</v>
      </c>
      <c r="F38" s="32"/>
      <c r="G38" s="28">
        <f t="shared" si="0"/>
        <v>0</v>
      </c>
      <c r="H38" s="29"/>
    </row>
    <row r="39" ht="154" customHeight="1" spans="1:8">
      <c r="A39" s="28" t="s">
        <v>70</v>
      </c>
      <c r="B39" s="33" t="s">
        <v>106</v>
      </c>
      <c r="C39" s="31" t="s">
        <v>99</v>
      </c>
      <c r="D39" s="22" t="s">
        <v>89</v>
      </c>
      <c r="E39" s="22">
        <v>1</v>
      </c>
      <c r="F39" s="27"/>
      <c r="G39" s="28">
        <f t="shared" si="0"/>
        <v>0</v>
      </c>
      <c r="H39" s="29"/>
    </row>
    <row r="40" ht="37" customHeight="1" spans="1:8">
      <c r="A40" s="28" t="s">
        <v>73</v>
      </c>
      <c r="B40" s="23" t="s">
        <v>94</v>
      </c>
      <c r="C40" s="24" t="s">
        <v>95</v>
      </c>
      <c r="D40" s="22" t="s">
        <v>55</v>
      </c>
      <c r="E40" s="22">
        <v>1</v>
      </c>
      <c r="F40" s="27"/>
      <c r="G40" s="28">
        <f t="shared" ref="G40:G58" si="1">ROUND(E40*F40,2)</f>
        <v>0</v>
      </c>
      <c r="H40" s="29"/>
    </row>
    <row r="41" ht="40" customHeight="1" spans="1:8">
      <c r="A41" s="22" t="s">
        <v>107</v>
      </c>
      <c r="B41" s="23" t="s">
        <v>108</v>
      </c>
      <c r="C41" s="24" t="s">
        <v>109</v>
      </c>
      <c r="D41" s="22"/>
      <c r="E41" s="22"/>
      <c r="F41" s="27"/>
      <c r="G41" s="28"/>
      <c r="H41" s="29"/>
    </row>
    <row r="42" ht="251" customHeight="1" spans="1:8">
      <c r="A42" s="28" t="s">
        <v>63</v>
      </c>
      <c r="B42" s="33" t="s">
        <v>71</v>
      </c>
      <c r="C42" s="31" t="s">
        <v>72</v>
      </c>
      <c r="D42" s="28" t="s">
        <v>89</v>
      </c>
      <c r="E42" s="28">
        <v>6</v>
      </c>
      <c r="F42" s="32"/>
      <c r="G42" s="28">
        <f t="shared" si="1"/>
        <v>0</v>
      </c>
      <c r="H42" s="34" t="s">
        <v>110</v>
      </c>
    </row>
    <row r="43" ht="282" customHeight="1" spans="1:8">
      <c r="A43" s="28" t="s">
        <v>67</v>
      </c>
      <c r="B43" s="33" t="s">
        <v>64</v>
      </c>
      <c r="C43" s="31" t="s">
        <v>65</v>
      </c>
      <c r="D43" s="28" t="s">
        <v>89</v>
      </c>
      <c r="E43" s="28">
        <v>2</v>
      </c>
      <c r="F43" s="32"/>
      <c r="G43" s="28">
        <f t="shared" si="1"/>
        <v>0</v>
      </c>
      <c r="H43" s="34" t="s">
        <v>111</v>
      </c>
    </row>
    <row r="44" ht="144" customHeight="1" spans="1:8">
      <c r="A44" s="28" t="s">
        <v>70</v>
      </c>
      <c r="B44" s="33" t="s">
        <v>112</v>
      </c>
      <c r="C44" s="31" t="s">
        <v>81</v>
      </c>
      <c r="D44" s="28" t="s">
        <v>89</v>
      </c>
      <c r="E44" s="28">
        <v>1</v>
      </c>
      <c r="F44" s="32"/>
      <c r="G44" s="28">
        <f t="shared" si="1"/>
        <v>0</v>
      </c>
      <c r="H44" s="34"/>
    </row>
    <row r="45" ht="33" customHeight="1" spans="1:8">
      <c r="A45" s="28" t="s">
        <v>73</v>
      </c>
      <c r="B45" s="33" t="s">
        <v>100</v>
      </c>
      <c r="C45" s="31" t="s">
        <v>84</v>
      </c>
      <c r="D45" s="28" t="s">
        <v>85</v>
      </c>
      <c r="E45" s="28">
        <v>2</v>
      </c>
      <c r="F45" s="32"/>
      <c r="G45" s="28">
        <f t="shared" si="1"/>
        <v>0</v>
      </c>
      <c r="H45" s="34"/>
    </row>
    <row r="46" ht="310" customHeight="1" spans="1:8">
      <c r="A46" s="28" t="s">
        <v>76</v>
      </c>
      <c r="B46" s="33" t="s">
        <v>87</v>
      </c>
      <c r="C46" s="31" t="s">
        <v>88</v>
      </c>
      <c r="D46" s="25" t="s">
        <v>89</v>
      </c>
      <c r="E46" s="28">
        <v>2</v>
      </c>
      <c r="F46" s="32"/>
      <c r="G46" s="28">
        <f t="shared" si="1"/>
        <v>0</v>
      </c>
      <c r="H46" s="34"/>
    </row>
    <row r="47" ht="123" customHeight="1" spans="1:8">
      <c r="A47" s="28" t="s">
        <v>79</v>
      </c>
      <c r="B47" s="23" t="s">
        <v>91</v>
      </c>
      <c r="C47" s="24" t="s">
        <v>113</v>
      </c>
      <c r="D47" s="22" t="s">
        <v>66</v>
      </c>
      <c r="E47" s="28">
        <v>2</v>
      </c>
      <c r="F47" s="27"/>
      <c r="G47" s="28">
        <f t="shared" si="1"/>
        <v>0</v>
      </c>
      <c r="H47" s="34"/>
    </row>
    <row r="48" ht="28" customHeight="1" spans="1:8">
      <c r="A48" s="28" t="s">
        <v>82</v>
      </c>
      <c r="B48" s="23" t="s">
        <v>94</v>
      </c>
      <c r="C48" s="24" t="s">
        <v>95</v>
      </c>
      <c r="D48" s="28" t="s">
        <v>55</v>
      </c>
      <c r="E48" s="28">
        <v>1</v>
      </c>
      <c r="F48" s="32"/>
      <c r="G48" s="28">
        <f t="shared" si="1"/>
        <v>0</v>
      </c>
      <c r="H48" s="34"/>
    </row>
    <row r="49" ht="28" customHeight="1" spans="1:8">
      <c r="A49" s="22" t="s">
        <v>114</v>
      </c>
      <c r="B49" s="23" t="s">
        <v>115</v>
      </c>
      <c r="C49" s="24"/>
      <c r="D49" s="22"/>
      <c r="E49" s="22"/>
      <c r="F49" s="27"/>
      <c r="G49" s="28"/>
      <c r="H49" s="29"/>
    </row>
    <row r="50" ht="268" customHeight="1" spans="1:8">
      <c r="A50" s="25" t="s">
        <v>116</v>
      </c>
      <c r="B50" s="35" t="s">
        <v>64</v>
      </c>
      <c r="C50" s="31" t="s">
        <v>65</v>
      </c>
      <c r="D50" s="28" t="s">
        <v>89</v>
      </c>
      <c r="E50" s="28">
        <v>2</v>
      </c>
      <c r="F50" s="32"/>
      <c r="G50" s="28">
        <f t="shared" si="1"/>
        <v>0</v>
      </c>
      <c r="H50" s="29"/>
    </row>
    <row r="51" ht="152" customHeight="1" spans="1:8">
      <c r="A51" s="25" t="s">
        <v>117</v>
      </c>
      <c r="B51" s="35" t="s">
        <v>118</v>
      </c>
      <c r="C51" s="31" t="s">
        <v>99</v>
      </c>
      <c r="D51" s="28" t="s">
        <v>89</v>
      </c>
      <c r="E51" s="28">
        <v>1</v>
      </c>
      <c r="F51" s="32"/>
      <c r="G51" s="28">
        <f t="shared" si="1"/>
        <v>0</v>
      </c>
      <c r="H51" s="29"/>
    </row>
    <row r="52" ht="29" customHeight="1" spans="1:8">
      <c r="A52" s="25" t="s">
        <v>119</v>
      </c>
      <c r="B52" s="23" t="s">
        <v>94</v>
      </c>
      <c r="C52" s="24" t="s">
        <v>95</v>
      </c>
      <c r="D52" s="28" t="s">
        <v>55</v>
      </c>
      <c r="E52" s="28">
        <v>1</v>
      </c>
      <c r="F52" s="32"/>
      <c r="G52" s="28">
        <f t="shared" si="1"/>
        <v>0</v>
      </c>
      <c r="H52" s="29"/>
    </row>
    <row r="53" ht="29" customHeight="1" spans="1:8">
      <c r="A53" s="22" t="s">
        <v>120</v>
      </c>
      <c r="B53" s="23" t="s">
        <v>121</v>
      </c>
      <c r="C53" s="31"/>
      <c r="D53" s="28"/>
      <c r="E53" s="28"/>
      <c r="F53" s="32"/>
      <c r="G53" s="28"/>
      <c r="H53" s="34"/>
    </row>
    <row r="54" ht="399" customHeight="1" spans="1:8">
      <c r="A54" s="28" t="s">
        <v>63</v>
      </c>
      <c r="B54" s="33" t="s">
        <v>122</v>
      </c>
      <c r="C54" s="36" t="s">
        <v>123</v>
      </c>
      <c r="D54" s="28" t="s">
        <v>89</v>
      </c>
      <c r="E54" s="28">
        <v>2</v>
      </c>
      <c r="F54" s="32"/>
      <c r="G54" s="28">
        <f t="shared" si="1"/>
        <v>0</v>
      </c>
      <c r="H54" s="34"/>
    </row>
    <row r="55" ht="309" customHeight="1" spans="1:8">
      <c r="A55" s="28" t="s">
        <v>67</v>
      </c>
      <c r="B55" s="33" t="s">
        <v>124</v>
      </c>
      <c r="C55" s="36" t="s">
        <v>125</v>
      </c>
      <c r="D55" s="28" t="s">
        <v>89</v>
      </c>
      <c r="E55" s="28">
        <v>2</v>
      </c>
      <c r="F55" s="32"/>
      <c r="G55" s="28">
        <f t="shared" si="1"/>
        <v>0</v>
      </c>
      <c r="H55" s="34"/>
    </row>
    <row r="56" ht="27" customHeight="1" spans="1:8">
      <c r="A56" s="28" t="s">
        <v>70</v>
      </c>
      <c r="B56" s="33" t="s">
        <v>126</v>
      </c>
      <c r="C56" s="31" t="s">
        <v>127</v>
      </c>
      <c r="D56" s="28" t="s">
        <v>85</v>
      </c>
      <c r="E56" s="28">
        <v>2</v>
      </c>
      <c r="F56" s="32"/>
      <c r="G56" s="28">
        <f t="shared" si="1"/>
        <v>0</v>
      </c>
      <c r="H56" s="34"/>
    </row>
    <row r="57" ht="313" customHeight="1" spans="1:8">
      <c r="A57" s="28" t="s">
        <v>73</v>
      </c>
      <c r="B57" s="33" t="s">
        <v>87</v>
      </c>
      <c r="C57" s="31" t="s">
        <v>88</v>
      </c>
      <c r="D57" s="22" t="s">
        <v>66</v>
      </c>
      <c r="E57" s="22">
        <v>2</v>
      </c>
      <c r="F57" s="32"/>
      <c r="G57" s="28">
        <f t="shared" si="1"/>
        <v>0</v>
      </c>
      <c r="H57" s="34"/>
    </row>
    <row r="58" ht="119" customHeight="1" spans="1:8">
      <c r="A58" s="28" t="s">
        <v>76</v>
      </c>
      <c r="B58" s="23" t="s">
        <v>91</v>
      </c>
      <c r="C58" s="24" t="s">
        <v>128</v>
      </c>
      <c r="D58" s="22" t="s">
        <v>66</v>
      </c>
      <c r="E58" s="28">
        <v>4</v>
      </c>
      <c r="F58" s="27"/>
      <c r="G58" s="28">
        <f t="shared" si="1"/>
        <v>0</v>
      </c>
      <c r="H58" s="34"/>
    </row>
    <row r="59" ht="151" customHeight="1" spans="1:8">
      <c r="A59" s="28" t="s">
        <v>79</v>
      </c>
      <c r="B59" s="33" t="s">
        <v>129</v>
      </c>
      <c r="C59" s="31" t="s">
        <v>99</v>
      </c>
      <c r="D59" s="28" t="s">
        <v>55</v>
      </c>
      <c r="E59" s="28">
        <v>1</v>
      </c>
      <c r="F59" s="32"/>
      <c r="G59" s="28">
        <f t="shared" ref="G59:G90" si="2">ROUND(E59*F59,2)</f>
        <v>0</v>
      </c>
      <c r="H59" s="34"/>
    </row>
    <row r="60" ht="27" customHeight="1" spans="1:8">
      <c r="A60" s="28" t="s">
        <v>82</v>
      </c>
      <c r="B60" s="23" t="s">
        <v>94</v>
      </c>
      <c r="C60" s="24" t="s">
        <v>95</v>
      </c>
      <c r="D60" s="28" t="s">
        <v>55</v>
      </c>
      <c r="E60" s="28">
        <v>1</v>
      </c>
      <c r="F60" s="32"/>
      <c r="G60" s="28">
        <f t="shared" si="2"/>
        <v>0</v>
      </c>
      <c r="H60" s="34"/>
    </row>
    <row r="61" ht="27" customHeight="1" spans="1:8">
      <c r="A61" s="25" t="s">
        <v>130</v>
      </c>
      <c r="B61" s="37" t="s">
        <v>131</v>
      </c>
      <c r="C61" s="31"/>
      <c r="D61" s="28"/>
      <c r="E61" s="28"/>
      <c r="F61" s="32"/>
      <c r="G61" s="28"/>
      <c r="H61" s="29"/>
    </row>
    <row r="62" ht="126" customHeight="1" spans="1:8">
      <c r="A62" s="28" t="s">
        <v>63</v>
      </c>
      <c r="B62" s="33" t="s">
        <v>132</v>
      </c>
      <c r="C62" s="24" t="s">
        <v>133</v>
      </c>
      <c r="D62" s="28" t="s">
        <v>89</v>
      </c>
      <c r="E62" s="28">
        <v>1</v>
      </c>
      <c r="F62" s="32"/>
      <c r="G62" s="28">
        <f t="shared" si="2"/>
        <v>0</v>
      </c>
      <c r="H62" s="29"/>
    </row>
    <row r="63" ht="93" customHeight="1" spans="1:8">
      <c r="A63" s="28" t="s">
        <v>67</v>
      </c>
      <c r="B63" s="23" t="s">
        <v>134</v>
      </c>
      <c r="C63" s="24" t="s">
        <v>135</v>
      </c>
      <c r="D63" s="28" t="s">
        <v>89</v>
      </c>
      <c r="E63" s="28">
        <v>1</v>
      </c>
      <c r="F63" s="32"/>
      <c r="G63" s="28">
        <f t="shared" si="2"/>
        <v>0</v>
      </c>
      <c r="H63" s="29"/>
    </row>
    <row r="64" ht="28" customHeight="1" spans="1:8">
      <c r="A64" s="28" t="s">
        <v>70</v>
      </c>
      <c r="B64" s="23" t="s">
        <v>94</v>
      </c>
      <c r="C64" s="24" t="s">
        <v>95</v>
      </c>
      <c r="D64" s="28" t="s">
        <v>89</v>
      </c>
      <c r="E64" s="28">
        <v>1</v>
      </c>
      <c r="F64" s="32"/>
      <c r="G64" s="28">
        <f t="shared" si="2"/>
        <v>0</v>
      </c>
      <c r="H64" s="29"/>
    </row>
    <row r="65" ht="28" customHeight="1" spans="1:8">
      <c r="A65" s="25" t="s">
        <v>136</v>
      </c>
      <c r="B65" s="37" t="s">
        <v>137</v>
      </c>
      <c r="C65" s="31"/>
      <c r="D65" s="28"/>
      <c r="E65" s="28"/>
      <c r="F65" s="32"/>
      <c r="G65" s="28"/>
      <c r="H65" s="29"/>
    </row>
    <row r="66" ht="121" customHeight="1" spans="1:8">
      <c r="A66" s="28" t="s">
        <v>63</v>
      </c>
      <c r="B66" s="38" t="s">
        <v>138</v>
      </c>
      <c r="C66" s="24" t="s">
        <v>139</v>
      </c>
      <c r="D66" s="39" t="s">
        <v>66</v>
      </c>
      <c r="E66" s="39">
        <v>1</v>
      </c>
      <c r="F66" s="40"/>
      <c r="G66" s="28">
        <f t="shared" si="2"/>
        <v>0</v>
      </c>
      <c r="H66" s="29"/>
    </row>
    <row r="67" ht="26" customHeight="1" spans="1:8">
      <c r="A67" s="28" t="s">
        <v>67</v>
      </c>
      <c r="B67" s="38" t="s">
        <v>140</v>
      </c>
      <c r="C67" s="41" t="s">
        <v>141</v>
      </c>
      <c r="D67" s="39" t="s">
        <v>55</v>
      </c>
      <c r="E67" s="39">
        <v>1</v>
      </c>
      <c r="F67" s="40"/>
      <c r="G67" s="28">
        <f t="shared" si="2"/>
        <v>0</v>
      </c>
      <c r="H67" s="29"/>
    </row>
    <row r="68" ht="52" customHeight="1" spans="1:8">
      <c r="A68" s="28" t="s">
        <v>70</v>
      </c>
      <c r="B68" s="33" t="s">
        <v>142</v>
      </c>
      <c r="C68" s="41" t="s">
        <v>143</v>
      </c>
      <c r="D68" s="28" t="s">
        <v>66</v>
      </c>
      <c r="E68" s="28">
        <v>1</v>
      </c>
      <c r="F68" s="32"/>
      <c r="G68" s="28">
        <f t="shared" si="2"/>
        <v>0</v>
      </c>
      <c r="H68" s="29"/>
    </row>
    <row r="69" ht="26" customHeight="1" spans="1:8">
      <c r="A69" s="25" t="s">
        <v>144</v>
      </c>
      <c r="B69" s="23" t="s">
        <v>145</v>
      </c>
      <c r="C69" s="24"/>
      <c r="D69" s="22"/>
      <c r="E69" s="22"/>
      <c r="F69" s="27"/>
      <c r="G69" s="28"/>
      <c r="H69" s="29"/>
    </row>
    <row r="70" ht="385" customHeight="1" spans="1:8">
      <c r="A70" s="25" t="s">
        <v>116</v>
      </c>
      <c r="B70" s="23" t="s">
        <v>122</v>
      </c>
      <c r="C70" s="36" t="s">
        <v>123</v>
      </c>
      <c r="D70" s="22" t="s">
        <v>66</v>
      </c>
      <c r="E70" s="22">
        <v>2</v>
      </c>
      <c r="F70" s="27"/>
      <c r="G70" s="28">
        <f t="shared" si="2"/>
        <v>0</v>
      </c>
      <c r="H70" s="29"/>
    </row>
    <row r="71" ht="28" customHeight="1" spans="1:8">
      <c r="A71" s="25" t="s">
        <v>117</v>
      </c>
      <c r="B71" s="23" t="s">
        <v>126</v>
      </c>
      <c r="C71" s="24" t="s">
        <v>146</v>
      </c>
      <c r="D71" s="22" t="s">
        <v>89</v>
      </c>
      <c r="E71" s="22">
        <v>2</v>
      </c>
      <c r="F71" s="27"/>
      <c r="G71" s="28">
        <f t="shared" si="2"/>
        <v>0</v>
      </c>
      <c r="H71" s="29"/>
    </row>
    <row r="72" ht="120" customHeight="1" spans="1:8">
      <c r="A72" s="25" t="s">
        <v>119</v>
      </c>
      <c r="B72" s="23" t="s">
        <v>91</v>
      </c>
      <c r="C72" s="24" t="s">
        <v>128</v>
      </c>
      <c r="D72" s="22" t="s">
        <v>66</v>
      </c>
      <c r="E72" s="22">
        <v>4</v>
      </c>
      <c r="F72" s="27"/>
      <c r="G72" s="28">
        <f t="shared" si="2"/>
        <v>0</v>
      </c>
      <c r="H72" s="29"/>
    </row>
    <row r="73" ht="313" customHeight="1" spans="1:8">
      <c r="A73" s="25" t="s">
        <v>147</v>
      </c>
      <c r="B73" s="33" t="s">
        <v>87</v>
      </c>
      <c r="C73" s="31" t="s">
        <v>88</v>
      </c>
      <c r="D73" s="22" t="s">
        <v>66</v>
      </c>
      <c r="E73" s="22">
        <v>2</v>
      </c>
      <c r="F73" s="32"/>
      <c r="G73" s="28">
        <f t="shared" si="2"/>
        <v>0</v>
      </c>
      <c r="H73" s="29"/>
    </row>
    <row r="74" ht="27" customHeight="1" spans="1:8">
      <c r="A74" s="25" t="s">
        <v>148</v>
      </c>
      <c r="B74" s="23" t="s">
        <v>94</v>
      </c>
      <c r="C74" s="24" t="s">
        <v>95</v>
      </c>
      <c r="D74" s="22" t="s">
        <v>55</v>
      </c>
      <c r="E74" s="22">
        <v>1</v>
      </c>
      <c r="F74" s="27"/>
      <c r="G74" s="28">
        <f t="shared" si="2"/>
        <v>0</v>
      </c>
      <c r="H74" s="29"/>
    </row>
    <row r="75" ht="39" customHeight="1" spans="1:8">
      <c r="A75" s="25" t="s">
        <v>149</v>
      </c>
      <c r="B75" s="23" t="s">
        <v>150</v>
      </c>
      <c r="C75" s="24"/>
      <c r="D75" s="22"/>
      <c r="E75" s="22"/>
      <c r="F75" s="27"/>
      <c r="G75" s="28"/>
      <c r="H75" s="29"/>
    </row>
    <row r="76" ht="196" customHeight="1" spans="1:8">
      <c r="A76" s="25" t="s">
        <v>116</v>
      </c>
      <c r="B76" s="23" t="s">
        <v>151</v>
      </c>
      <c r="C76" s="24" t="s">
        <v>152</v>
      </c>
      <c r="D76" s="22" t="s">
        <v>66</v>
      </c>
      <c r="E76" s="22">
        <v>21</v>
      </c>
      <c r="F76" s="27"/>
      <c r="G76" s="28">
        <f t="shared" si="2"/>
        <v>0</v>
      </c>
      <c r="H76" s="29"/>
    </row>
    <row r="77" ht="135" customHeight="1" spans="1:8">
      <c r="A77" s="25" t="s">
        <v>117</v>
      </c>
      <c r="B77" s="23" t="s">
        <v>153</v>
      </c>
      <c r="C77" s="24" t="s">
        <v>154</v>
      </c>
      <c r="D77" s="22" t="s">
        <v>89</v>
      </c>
      <c r="E77" s="22">
        <v>1</v>
      </c>
      <c r="F77" s="27"/>
      <c r="G77" s="28">
        <f t="shared" si="2"/>
        <v>0</v>
      </c>
      <c r="H77" s="29"/>
    </row>
    <row r="78" ht="204" customHeight="1" spans="1:8">
      <c r="A78" s="25" t="s">
        <v>119</v>
      </c>
      <c r="B78" s="23" t="s">
        <v>155</v>
      </c>
      <c r="C78" s="24" t="s">
        <v>156</v>
      </c>
      <c r="D78" s="22" t="s">
        <v>66</v>
      </c>
      <c r="E78" s="22">
        <v>1</v>
      </c>
      <c r="F78" s="27"/>
      <c r="G78" s="28">
        <f t="shared" si="2"/>
        <v>0</v>
      </c>
      <c r="H78" s="29"/>
    </row>
    <row r="79" ht="112" customHeight="1" spans="1:8">
      <c r="A79" s="25" t="s">
        <v>147</v>
      </c>
      <c r="B79" s="23" t="s">
        <v>157</v>
      </c>
      <c r="C79" s="24" t="s">
        <v>158</v>
      </c>
      <c r="D79" s="22" t="s">
        <v>89</v>
      </c>
      <c r="E79" s="22">
        <v>1</v>
      </c>
      <c r="F79" s="27"/>
      <c r="G79" s="28">
        <f t="shared" si="2"/>
        <v>0</v>
      </c>
      <c r="H79" s="29"/>
    </row>
    <row r="80" ht="87" customHeight="1" spans="1:8">
      <c r="A80" s="25" t="s">
        <v>148</v>
      </c>
      <c r="B80" s="23" t="s">
        <v>159</v>
      </c>
      <c r="C80" s="24" t="s">
        <v>160</v>
      </c>
      <c r="D80" s="22" t="s">
        <v>66</v>
      </c>
      <c r="E80" s="22">
        <v>1</v>
      </c>
      <c r="F80" s="27"/>
      <c r="G80" s="28">
        <f t="shared" si="2"/>
        <v>0</v>
      </c>
      <c r="H80" s="29"/>
    </row>
    <row r="81" ht="26" customHeight="1" spans="1:8">
      <c r="A81" s="25" t="s">
        <v>161</v>
      </c>
      <c r="B81" s="23" t="s">
        <v>94</v>
      </c>
      <c r="C81" s="24" t="s">
        <v>95</v>
      </c>
      <c r="D81" s="22" t="s">
        <v>55</v>
      </c>
      <c r="E81" s="22">
        <v>1</v>
      </c>
      <c r="F81" s="27"/>
      <c r="G81" s="28">
        <f t="shared" si="2"/>
        <v>0</v>
      </c>
      <c r="H81" s="29"/>
    </row>
    <row r="82" ht="26" customHeight="1" spans="1:8">
      <c r="A82" s="25" t="s">
        <v>162</v>
      </c>
      <c r="B82" s="33" t="s">
        <v>163</v>
      </c>
      <c r="C82" s="31"/>
      <c r="D82" s="28"/>
      <c r="E82" s="28"/>
      <c r="F82" s="32"/>
      <c r="G82" s="28"/>
      <c r="H82" s="29"/>
    </row>
    <row r="83" ht="245" customHeight="1" spans="1:8">
      <c r="A83" s="25" t="s">
        <v>116</v>
      </c>
      <c r="B83" s="23" t="s">
        <v>164</v>
      </c>
      <c r="C83" s="24" t="s">
        <v>165</v>
      </c>
      <c r="D83" s="42" t="s">
        <v>66</v>
      </c>
      <c r="E83" s="42">
        <v>1</v>
      </c>
      <c r="F83" s="32"/>
      <c r="G83" s="28">
        <f t="shared" si="2"/>
        <v>0</v>
      </c>
      <c r="H83" s="29"/>
    </row>
    <row r="84" ht="117" customHeight="1" spans="1:8">
      <c r="A84" s="25" t="s">
        <v>117</v>
      </c>
      <c r="B84" s="23" t="s">
        <v>166</v>
      </c>
      <c r="C84" s="24" t="s">
        <v>167</v>
      </c>
      <c r="D84" s="42" t="s">
        <v>89</v>
      </c>
      <c r="E84" s="42">
        <v>1</v>
      </c>
      <c r="F84" s="32"/>
      <c r="G84" s="28">
        <f t="shared" si="2"/>
        <v>0</v>
      </c>
      <c r="H84" s="29"/>
    </row>
    <row r="85" ht="117" customHeight="1" spans="1:8">
      <c r="A85" s="25" t="s">
        <v>119</v>
      </c>
      <c r="B85" s="23" t="s">
        <v>168</v>
      </c>
      <c r="C85" s="24" t="s">
        <v>169</v>
      </c>
      <c r="D85" s="42" t="s">
        <v>89</v>
      </c>
      <c r="E85" s="42">
        <v>1</v>
      </c>
      <c r="F85" s="32"/>
      <c r="G85" s="28">
        <f t="shared" si="2"/>
        <v>0</v>
      </c>
      <c r="H85" s="29"/>
    </row>
    <row r="86" ht="25" customHeight="1" spans="1:8">
      <c r="A86" s="25" t="s">
        <v>147</v>
      </c>
      <c r="B86" s="23" t="s">
        <v>94</v>
      </c>
      <c r="C86" s="24" t="s">
        <v>95</v>
      </c>
      <c r="D86" s="22" t="s">
        <v>55</v>
      </c>
      <c r="E86" s="22">
        <v>1</v>
      </c>
      <c r="F86" s="32"/>
      <c r="G86" s="28">
        <f t="shared" si="2"/>
        <v>0</v>
      </c>
      <c r="H86" s="29"/>
    </row>
    <row r="87" ht="40" customHeight="1" spans="1:8">
      <c r="A87" s="25" t="s">
        <v>170</v>
      </c>
      <c r="B87" s="33" t="s">
        <v>171</v>
      </c>
      <c r="C87" s="43" t="s">
        <v>172</v>
      </c>
      <c r="D87" s="28" t="s">
        <v>55</v>
      </c>
      <c r="E87" s="28">
        <v>1</v>
      </c>
      <c r="F87" s="32"/>
      <c r="G87" s="28">
        <f t="shared" si="2"/>
        <v>0</v>
      </c>
      <c r="H87" s="29"/>
    </row>
    <row r="88" ht="29" customHeight="1" spans="1:8">
      <c r="A88" s="25" t="s">
        <v>173</v>
      </c>
      <c r="B88" s="33" t="s">
        <v>174</v>
      </c>
      <c r="C88" s="43" t="s">
        <v>175</v>
      </c>
      <c r="D88" s="28" t="s">
        <v>55</v>
      </c>
      <c r="E88" s="28">
        <v>1</v>
      </c>
      <c r="F88" s="32"/>
      <c r="G88" s="28">
        <f t="shared" si="2"/>
        <v>0</v>
      </c>
      <c r="H88" s="29"/>
    </row>
    <row r="89" ht="112" customHeight="1" spans="1:8">
      <c r="A89" s="25" t="s">
        <v>176</v>
      </c>
      <c r="B89" s="23" t="s">
        <v>177</v>
      </c>
      <c r="C89" s="24" t="s">
        <v>178</v>
      </c>
      <c r="D89" s="39" t="s">
        <v>55</v>
      </c>
      <c r="E89" s="28">
        <v>1</v>
      </c>
      <c r="F89" s="32"/>
      <c r="G89" s="28">
        <f t="shared" si="2"/>
        <v>0</v>
      </c>
      <c r="H89" s="29" t="s">
        <v>179</v>
      </c>
    </row>
    <row r="90" ht="24" customHeight="1" spans="1:8">
      <c r="A90" s="22" t="s">
        <v>180</v>
      </c>
      <c r="B90" s="23" t="s">
        <v>181</v>
      </c>
      <c r="C90" s="24"/>
      <c r="D90" s="22"/>
      <c r="E90" s="22"/>
      <c r="F90" s="27"/>
      <c r="G90" s="28"/>
      <c r="H90" s="29"/>
    </row>
    <row r="91" ht="37" customHeight="1" spans="1:8">
      <c r="A91" s="22" t="s">
        <v>182</v>
      </c>
      <c r="B91" s="23" t="s">
        <v>62</v>
      </c>
      <c r="C91" s="31"/>
      <c r="D91" s="28"/>
      <c r="E91" s="28"/>
      <c r="F91" s="32"/>
      <c r="G91" s="28"/>
      <c r="H91" s="29"/>
    </row>
    <row r="92" ht="270" customHeight="1" spans="1:8">
      <c r="A92" s="28" t="s">
        <v>63</v>
      </c>
      <c r="B92" s="33" t="s">
        <v>64</v>
      </c>
      <c r="C92" s="31" t="s">
        <v>65</v>
      </c>
      <c r="D92" s="28" t="s">
        <v>66</v>
      </c>
      <c r="E92" s="28">
        <v>2</v>
      </c>
      <c r="F92" s="27"/>
      <c r="G92" s="28">
        <f t="shared" ref="G91:G119" si="3">ROUND(E92*F92,2)</f>
        <v>0</v>
      </c>
      <c r="H92" s="29"/>
    </row>
    <row r="93" ht="288" customHeight="1" spans="1:8">
      <c r="A93" s="28" t="s">
        <v>67</v>
      </c>
      <c r="B93" s="33" t="s">
        <v>68</v>
      </c>
      <c r="C93" s="31" t="s">
        <v>69</v>
      </c>
      <c r="D93" s="28" t="s">
        <v>66</v>
      </c>
      <c r="E93" s="28">
        <v>2</v>
      </c>
      <c r="F93" s="27"/>
      <c r="G93" s="28">
        <f t="shared" si="3"/>
        <v>0</v>
      </c>
      <c r="H93" s="29"/>
    </row>
    <row r="94" ht="257" customHeight="1" spans="1:8">
      <c r="A94" s="28" t="s">
        <v>70</v>
      </c>
      <c r="B94" s="33" t="s">
        <v>71</v>
      </c>
      <c r="C94" s="31" t="s">
        <v>72</v>
      </c>
      <c r="D94" s="28" t="s">
        <v>66</v>
      </c>
      <c r="E94" s="28">
        <v>2</v>
      </c>
      <c r="F94" s="32"/>
      <c r="G94" s="28">
        <f t="shared" si="3"/>
        <v>0</v>
      </c>
      <c r="H94" s="29"/>
    </row>
    <row r="95" ht="177" customHeight="1" spans="1:8">
      <c r="A95" s="28" t="s">
        <v>73</v>
      </c>
      <c r="B95" s="33" t="s">
        <v>74</v>
      </c>
      <c r="C95" s="31" t="s">
        <v>75</v>
      </c>
      <c r="D95" s="28" t="s">
        <v>66</v>
      </c>
      <c r="E95" s="28">
        <v>2</v>
      </c>
      <c r="F95" s="32"/>
      <c r="G95" s="28">
        <f t="shared" si="3"/>
        <v>0</v>
      </c>
      <c r="H95" s="29"/>
    </row>
    <row r="96" ht="82" customHeight="1" spans="1:8">
      <c r="A96" s="28" t="s">
        <v>76</v>
      </c>
      <c r="B96" s="33" t="s">
        <v>77</v>
      </c>
      <c r="C96" s="31" t="s">
        <v>78</v>
      </c>
      <c r="D96" s="28" t="s">
        <v>66</v>
      </c>
      <c r="E96" s="28">
        <v>2</v>
      </c>
      <c r="F96" s="32"/>
      <c r="G96" s="28">
        <f t="shared" si="3"/>
        <v>0</v>
      </c>
      <c r="H96" s="29"/>
    </row>
    <row r="97" ht="142" customHeight="1" spans="1:8">
      <c r="A97" s="28" t="s">
        <v>79</v>
      </c>
      <c r="B97" s="33" t="s">
        <v>183</v>
      </c>
      <c r="C97" s="31" t="s">
        <v>184</v>
      </c>
      <c r="D97" s="28" t="s">
        <v>66</v>
      </c>
      <c r="E97" s="28">
        <v>2</v>
      </c>
      <c r="F97" s="32"/>
      <c r="G97" s="28">
        <f t="shared" si="3"/>
        <v>0</v>
      </c>
      <c r="H97" s="29"/>
    </row>
    <row r="98" ht="31" customHeight="1" spans="1:8">
      <c r="A98" s="28" t="s">
        <v>82</v>
      </c>
      <c r="B98" s="33" t="s">
        <v>83</v>
      </c>
      <c r="C98" s="31" t="s">
        <v>84</v>
      </c>
      <c r="D98" s="28" t="s">
        <v>85</v>
      </c>
      <c r="E98" s="28">
        <v>2</v>
      </c>
      <c r="F98" s="32"/>
      <c r="G98" s="28">
        <f t="shared" si="3"/>
        <v>0</v>
      </c>
      <c r="H98" s="29"/>
    </row>
    <row r="99" ht="314" customHeight="1" spans="1:8">
      <c r="A99" s="28" t="s">
        <v>86</v>
      </c>
      <c r="B99" s="33" t="s">
        <v>87</v>
      </c>
      <c r="C99" s="31" t="s">
        <v>88</v>
      </c>
      <c r="D99" s="25" t="s">
        <v>89</v>
      </c>
      <c r="E99" s="28">
        <v>2</v>
      </c>
      <c r="F99" s="32"/>
      <c r="G99" s="28">
        <f t="shared" si="3"/>
        <v>0</v>
      </c>
      <c r="H99" s="29"/>
    </row>
    <row r="100" ht="111" customHeight="1" spans="1:8">
      <c r="A100" s="28" t="s">
        <v>90</v>
      </c>
      <c r="B100" s="23" t="s">
        <v>91</v>
      </c>
      <c r="C100" s="24" t="s">
        <v>128</v>
      </c>
      <c r="D100" s="22" t="s">
        <v>66</v>
      </c>
      <c r="E100" s="28">
        <v>4</v>
      </c>
      <c r="F100" s="27"/>
      <c r="G100" s="28">
        <f t="shared" si="3"/>
        <v>0</v>
      </c>
      <c r="H100" s="29"/>
    </row>
    <row r="101" ht="35" customHeight="1" spans="1:8">
      <c r="A101" s="28" t="s">
        <v>93</v>
      </c>
      <c r="B101" s="23" t="s">
        <v>94</v>
      </c>
      <c r="C101" s="24" t="s">
        <v>95</v>
      </c>
      <c r="D101" s="28" t="s">
        <v>55</v>
      </c>
      <c r="E101" s="28">
        <v>1</v>
      </c>
      <c r="F101" s="32"/>
      <c r="G101" s="28">
        <f t="shared" si="3"/>
        <v>0</v>
      </c>
      <c r="H101" s="29"/>
    </row>
    <row r="102" ht="36" customHeight="1" spans="1:8">
      <c r="A102" s="22" t="s">
        <v>185</v>
      </c>
      <c r="B102" s="23" t="s">
        <v>97</v>
      </c>
      <c r="C102" s="24"/>
      <c r="D102" s="22"/>
      <c r="E102" s="22"/>
      <c r="F102" s="27"/>
      <c r="G102" s="28"/>
      <c r="H102" s="29"/>
    </row>
    <row r="103" ht="281" customHeight="1" spans="1:8">
      <c r="A103" s="28" t="s">
        <v>63</v>
      </c>
      <c r="B103" s="33" t="s">
        <v>64</v>
      </c>
      <c r="C103" s="31" t="s">
        <v>65</v>
      </c>
      <c r="D103" s="28" t="s">
        <v>66</v>
      </c>
      <c r="E103" s="28">
        <v>4</v>
      </c>
      <c r="F103" s="27"/>
      <c r="G103" s="28">
        <f t="shared" si="3"/>
        <v>0</v>
      </c>
      <c r="H103" s="29"/>
    </row>
    <row r="104" ht="277" customHeight="1" spans="1:8">
      <c r="A104" s="28" t="s">
        <v>67</v>
      </c>
      <c r="B104" s="33" t="s">
        <v>68</v>
      </c>
      <c r="C104" s="31" t="s">
        <v>69</v>
      </c>
      <c r="D104" s="28" t="s">
        <v>66</v>
      </c>
      <c r="E104" s="28">
        <v>8</v>
      </c>
      <c r="F104" s="27"/>
      <c r="G104" s="28">
        <f t="shared" si="3"/>
        <v>0</v>
      </c>
      <c r="H104" s="29"/>
    </row>
    <row r="105" ht="153" customHeight="1" spans="1:8">
      <c r="A105" s="28" t="s">
        <v>70</v>
      </c>
      <c r="B105" s="33" t="s">
        <v>98</v>
      </c>
      <c r="C105" s="31" t="s">
        <v>99</v>
      </c>
      <c r="D105" s="28" t="s">
        <v>89</v>
      </c>
      <c r="E105" s="28">
        <v>2</v>
      </c>
      <c r="F105" s="32"/>
      <c r="G105" s="28">
        <f t="shared" si="3"/>
        <v>0</v>
      </c>
      <c r="H105" s="29"/>
    </row>
    <row r="106" ht="186" customHeight="1" spans="1:8">
      <c r="A106" s="28" t="s">
        <v>73</v>
      </c>
      <c r="B106" s="33" t="s">
        <v>74</v>
      </c>
      <c r="C106" s="31" t="s">
        <v>75</v>
      </c>
      <c r="D106" s="28" t="s">
        <v>66</v>
      </c>
      <c r="E106" s="28">
        <v>8</v>
      </c>
      <c r="F106" s="32"/>
      <c r="G106" s="28">
        <f t="shared" si="3"/>
        <v>0</v>
      </c>
      <c r="H106" s="29"/>
    </row>
    <row r="107" ht="78" customHeight="1" spans="1:8">
      <c r="A107" s="28" t="s">
        <v>76</v>
      </c>
      <c r="B107" s="33" t="s">
        <v>77</v>
      </c>
      <c r="C107" s="31" t="s">
        <v>78</v>
      </c>
      <c r="D107" s="28" t="s">
        <v>66</v>
      </c>
      <c r="E107" s="28">
        <v>2</v>
      </c>
      <c r="F107" s="32"/>
      <c r="G107" s="28">
        <f t="shared" si="3"/>
        <v>0</v>
      </c>
      <c r="H107" s="29"/>
    </row>
    <row r="108" ht="116" customHeight="1" spans="1:8">
      <c r="A108" s="28" t="s">
        <v>79</v>
      </c>
      <c r="B108" s="23" t="s">
        <v>91</v>
      </c>
      <c r="C108" s="31" t="s">
        <v>92</v>
      </c>
      <c r="D108" s="22" t="s">
        <v>66</v>
      </c>
      <c r="E108" s="28">
        <v>16</v>
      </c>
      <c r="F108" s="27"/>
      <c r="G108" s="28">
        <f t="shared" si="3"/>
        <v>0</v>
      </c>
      <c r="H108" s="29"/>
    </row>
    <row r="109" ht="26" customHeight="1" spans="1:8">
      <c r="A109" s="28" t="s">
        <v>82</v>
      </c>
      <c r="B109" s="33" t="s">
        <v>100</v>
      </c>
      <c r="C109" s="31" t="s">
        <v>84</v>
      </c>
      <c r="D109" s="28" t="s">
        <v>85</v>
      </c>
      <c r="E109" s="28">
        <v>4</v>
      </c>
      <c r="F109" s="32"/>
      <c r="G109" s="28">
        <f t="shared" si="3"/>
        <v>0</v>
      </c>
      <c r="H109" s="29"/>
    </row>
    <row r="110" ht="26" customHeight="1" spans="1:8">
      <c r="A110" s="28" t="s">
        <v>86</v>
      </c>
      <c r="B110" s="33" t="s">
        <v>83</v>
      </c>
      <c r="C110" s="31" t="s">
        <v>84</v>
      </c>
      <c r="D110" s="28" t="s">
        <v>85</v>
      </c>
      <c r="E110" s="28">
        <v>4</v>
      </c>
      <c r="F110" s="32"/>
      <c r="G110" s="28">
        <f t="shared" si="3"/>
        <v>0</v>
      </c>
      <c r="H110" s="29"/>
    </row>
    <row r="111" ht="312" customHeight="1" spans="1:8">
      <c r="A111" s="28" t="s">
        <v>90</v>
      </c>
      <c r="B111" s="33" t="s">
        <v>87</v>
      </c>
      <c r="C111" s="31" t="s">
        <v>88</v>
      </c>
      <c r="D111" s="28" t="s">
        <v>89</v>
      </c>
      <c r="E111" s="28">
        <v>8</v>
      </c>
      <c r="F111" s="32"/>
      <c r="G111" s="28">
        <f t="shared" si="3"/>
        <v>0</v>
      </c>
      <c r="H111" s="29"/>
    </row>
    <row r="112" ht="30" customHeight="1" spans="1:8">
      <c r="A112" s="28" t="s">
        <v>93</v>
      </c>
      <c r="B112" s="23" t="s">
        <v>94</v>
      </c>
      <c r="C112" s="24" t="s">
        <v>95</v>
      </c>
      <c r="D112" s="28" t="s">
        <v>55</v>
      </c>
      <c r="E112" s="28">
        <v>1</v>
      </c>
      <c r="F112" s="32"/>
      <c r="G112" s="28">
        <f t="shared" si="3"/>
        <v>0</v>
      </c>
      <c r="H112" s="29"/>
    </row>
    <row r="113" ht="30" customHeight="1" spans="1:8">
      <c r="A113" s="22" t="s">
        <v>186</v>
      </c>
      <c r="B113" s="23" t="s">
        <v>102</v>
      </c>
      <c r="C113" s="24" t="s">
        <v>103</v>
      </c>
      <c r="D113" s="22"/>
      <c r="E113" s="22"/>
      <c r="F113" s="27"/>
      <c r="G113" s="28"/>
      <c r="H113" s="29"/>
    </row>
    <row r="114" ht="270" customHeight="1" spans="1:8">
      <c r="A114" s="28" t="s">
        <v>63</v>
      </c>
      <c r="B114" s="33" t="s">
        <v>104</v>
      </c>
      <c r="C114" s="24" t="s">
        <v>105</v>
      </c>
      <c r="D114" s="22" t="s">
        <v>66</v>
      </c>
      <c r="E114" s="22">
        <v>8</v>
      </c>
      <c r="F114" s="27"/>
      <c r="G114" s="28">
        <f t="shared" si="3"/>
        <v>0</v>
      </c>
      <c r="H114" s="29"/>
    </row>
    <row r="115" ht="32" customHeight="1" spans="1:8">
      <c r="A115" s="28" t="s">
        <v>67</v>
      </c>
      <c r="B115" s="33" t="s">
        <v>100</v>
      </c>
      <c r="C115" s="31" t="s">
        <v>84</v>
      </c>
      <c r="D115" s="28" t="s">
        <v>85</v>
      </c>
      <c r="E115" s="22">
        <v>8</v>
      </c>
      <c r="F115" s="32"/>
      <c r="G115" s="28">
        <f t="shared" si="3"/>
        <v>0</v>
      </c>
      <c r="H115" s="29"/>
    </row>
    <row r="116" ht="153" customHeight="1" spans="1:8">
      <c r="A116" s="28" t="s">
        <v>70</v>
      </c>
      <c r="B116" s="33" t="s">
        <v>106</v>
      </c>
      <c r="C116" s="31" t="s">
        <v>99</v>
      </c>
      <c r="D116" s="22" t="s">
        <v>89</v>
      </c>
      <c r="E116" s="22">
        <v>2</v>
      </c>
      <c r="F116" s="27"/>
      <c r="G116" s="28">
        <f t="shared" si="3"/>
        <v>0</v>
      </c>
      <c r="H116" s="29"/>
    </row>
    <row r="117" ht="27" customHeight="1" spans="1:8">
      <c r="A117" s="28" t="s">
        <v>73</v>
      </c>
      <c r="B117" s="23" t="s">
        <v>94</v>
      </c>
      <c r="C117" s="24" t="s">
        <v>95</v>
      </c>
      <c r="D117" s="22" t="s">
        <v>55</v>
      </c>
      <c r="E117" s="22">
        <v>1</v>
      </c>
      <c r="F117" s="27"/>
      <c r="G117" s="28">
        <f t="shared" si="3"/>
        <v>0</v>
      </c>
      <c r="H117" s="29"/>
    </row>
    <row r="118" ht="27" customHeight="1" spans="1:8">
      <c r="A118" s="22" t="s">
        <v>187</v>
      </c>
      <c r="B118" s="23" t="s">
        <v>115</v>
      </c>
      <c r="C118" s="24"/>
      <c r="D118" s="22"/>
      <c r="E118" s="22"/>
      <c r="F118" s="27"/>
      <c r="G118" s="28"/>
      <c r="H118" s="29"/>
    </row>
    <row r="119" ht="279" customHeight="1" spans="1:8">
      <c r="A119" s="25" t="s">
        <v>116</v>
      </c>
      <c r="B119" s="35" t="s">
        <v>64</v>
      </c>
      <c r="C119" s="31" t="s">
        <v>65</v>
      </c>
      <c r="D119" s="28" t="s">
        <v>89</v>
      </c>
      <c r="E119" s="28">
        <v>4</v>
      </c>
      <c r="F119" s="32"/>
      <c r="G119" s="28">
        <f t="shared" si="3"/>
        <v>0</v>
      </c>
      <c r="H119" s="29"/>
    </row>
    <row r="120" ht="148" customHeight="1" spans="1:8">
      <c r="A120" s="25" t="s">
        <v>117</v>
      </c>
      <c r="B120" s="35" t="s">
        <v>118</v>
      </c>
      <c r="C120" s="31" t="s">
        <v>99</v>
      </c>
      <c r="D120" s="28" t="s">
        <v>89</v>
      </c>
      <c r="E120" s="28">
        <v>2</v>
      </c>
      <c r="F120" s="32"/>
      <c r="G120" s="28">
        <f t="shared" ref="G120:G151" si="4">ROUND(E120*F120,2)</f>
        <v>0</v>
      </c>
      <c r="H120" s="29"/>
    </row>
    <row r="121" ht="30" customHeight="1" spans="1:8">
      <c r="A121" s="25" t="s">
        <v>119</v>
      </c>
      <c r="B121" s="23" t="s">
        <v>94</v>
      </c>
      <c r="C121" s="24" t="s">
        <v>95</v>
      </c>
      <c r="D121" s="28" t="s">
        <v>55</v>
      </c>
      <c r="E121" s="28">
        <v>1</v>
      </c>
      <c r="F121" s="32"/>
      <c r="G121" s="28">
        <f t="shared" si="4"/>
        <v>0</v>
      </c>
      <c r="H121" s="29"/>
    </row>
    <row r="122" ht="45" customHeight="1" spans="1:8">
      <c r="A122" s="22" t="s">
        <v>188</v>
      </c>
      <c r="B122" s="23" t="s">
        <v>108</v>
      </c>
      <c r="C122" s="24" t="s">
        <v>109</v>
      </c>
      <c r="D122" s="22"/>
      <c r="E122" s="22"/>
      <c r="F122" s="27"/>
      <c r="G122" s="28"/>
      <c r="H122" s="29"/>
    </row>
    <row r="123" ht="254" customHeight="1" spans="1:8">
      <c r="A123" s="28" t="s">
        <v>63</v>
      </c>
      <c r="B123" s="33" t="s">
        <v>71</v>
      </c>
      <c r="C123" s="31" t="s">
        <v>72</v>
      </c>
      <c r="D123" s="28" t="s">
        <v>89</v>
      </c>
      <c r="E123" s="28">
        <v>12</v>
      </c>
      <c r="F123" s="32"/>
      <c r="G123" s="28">
        <f t="shared" si="4"/>
        <v>0</v>
      </c>
      <c r="H123" s="34" t="s">
        <v>110</v>
      </c>
    </row>
    <row r="124" ht="276" customHeight="1" spans="1:8">
      <c r="A124" s="28" t="s">
        <v>67</v>
      </c>
      <c r="B124" s="33" t="s">
        <v>64</v>
      </c>
      <c r="C124" s="31" t="s">
        <v>65</v>
      </c>
      <c r="D124" s="28" t="s">
        <v>89</v>
      </c>
      <c r="E124" s="28">
        <v>4</v>
      </c>
      <c r="F124" s="32"/>
      <c r="G124" s="28">
        <f t="shared" si="4"/>
        <v>0</v>
      </c>
      <c r="H124" s="34" t="s">
        <v>111</v>
      </c>
    </row>
    <row r="125" ht="137" customHeight="1" spans="1:8">
      <c r="A125" s="28" t="s">
        <v>70</v>
      </c>
      <c r="B125" s="33" t="s">
        <v>112</v>
      </c>
      <c r="C125" s="31" t="s">
        <v>81</v>
      </c>
      <c r="D125" s="28" t="s">
        <v>89</v>
      </c>
      <c r="E125" s="28">
        <v>2</v>
      </c>
      <c r="F125" s="32"/>
      <c r="G125" s="28">
        <f t="shared" si="4"/>
        <v>0</v>
      </c>
      <c r="H125" s="34"/>
    </row>
    <row r="126" ht="27" customHeight="1" spans="1:8">
      <c r="A126" s="28" t="s">
        <v>73</v>
      </c>
      <c r="B126" s="33" t="s">
        <v>100</v>
      </c>
      <c r="C126" s="31" t="s">
        <v>84</v>
      </c>
      <c r="D126" s="28" t="s">
        <v>85</v>
      </c>
      <c r="E126" s="28">
        <v>4</v>
      </c>
      <c r="F126" s="32"/>
      <c r="G126" s="28">
        <f t="shared" si="4"/>
        <v>0</v>
      </c>
      <c r="H126" s="34"/>
    </row>
    <row r="127" ht="313" customHeight="1" spans="1:8">
      <c r="A127" s="28" t="s">
        <v>76</v>
      </c>
      <c r="B127" s="33" t="s">
        <v>87</v>
      </c>
      <c r="C127" s="31" t="s">
        <v>88</v>
      </c>
      <c r="D127" s="25" t="s">
        <v>89</v>
      </c>
      <c r="E127" s="28">
        <v>4</v>
      </c>
      <c r="F127" s="32"/>
      <c r="G127" s="28">
        <f t="shared" si="4"/>
        <v>0</v>
      </c>
      <c r="H127" s="34"/>
    </row>
    <row r="128" ht="114" customHeight="1" spans="1:8">
      <c r="A128" s="28" t="s">
        <v>79</v>
      </c>
      <c r="B128" s="23" t="s">
        <v>91</v>
      </c>
      <c r="C128" s="24" t="s">
        <v>128</v>
      </c>
      <c r="D128" s="22" t="s">
        <v>66</v>
      </c>
      <c r="E128" s="28">
        <v>4</v>
      </c>
      <c r="F128" s="27"/>
      <c r="G128" s="28">
        <f t="shared" si="4"/>
        <v>0</v>
      </c>
      <c r="H128" s="34"/>
    </row>
    <row r="129" ht="33" customHeight="1" spans="1:8">
      <c r="A129" s="28" t="s">
        <v>82</v>
      </c>
      <c r="B129" s="23" t="s">
        <v>94</v>
      </c>
      <c r="C129" s="24" t="s">
        <v>95</v>
      </c>
      <c r="D129" s="28" t="s">
        <v>55</v>
      </c>
      <c r="E129" s="28">
        <v>1</v>
      </c>
      <c r="F129" s="32"/>
      <c r="G129" s="28">
        <f t="shared" si="4"/>
        <v>0</v>
      </c>
      <c r="H129" s="34"/>
    </row>
    <row r="130" ht="40" customHeight="1" spans="1:8">
      <c r="A130" s="22" t="s">
        <v>189</v>
      </c>
      <c r="B130" s="23" t="s">
        <v>190</v>
      </c>
      <c r="C130" s="24" t="s">
        <v>191</v>
      </c>
      <c r="D130" s="28"/>
      <c r="E130" s="28"/>
      <c r="F130" s="32"/>
      <c r="G130" s="28"/>
      <c r="H130" s="29"/>
    </row>
    <row r="131" ht="270" customHeight="1" spans="1:8">
      <c r="A131" s="28" t="s">
        <v>63</v>
      </c>
      <c r="B131" s="33" t="s">
        <v>64</v>
      </c>
      <c r="C131" s="31" t="s">
        <v>65</v>
      </c>
      <c r="D131" s="28" t="s">
        <v>66</v>
      </c>
      <c r="E131" s="28">
        <v>4</v>
      </c>
      <c r="F131" s="32"/>
      <c r="G131" s="28">
        <f t="shared" si="4"/>
        <v>0</v>
      </c>
      <c r="H131" s="29"/>
    </row>
    <row r="132" ht="238" customHeight="1" spans="1:8">
      <c r="A132" s="28" t="s">
        <v>67</v>
      </c>
      <c r="B132" s="33" t="s">
        <v>192</v>
      </c>
      <c r="C132" s="31" t="s">
        <v>193</v>
      </c>
      <c r="D132" s="28" t="s">
        <v>66</v>
      </c>
      <c r="E132" s="28">
        <v>4</v>
      </c>
      <c r="F132" s="32"/>
      <c r="G132" s="28">
        <f t="shared" si="4"/>
        <v>0</v>
      </c>
      <c r="H132" s="29"/>
    </row>
    <row r="133" ht="151" customHeight="1" spans="1:8">
      <c r="A133" s="28" t="s">
        <v>70</v>
      </c>
      <c r="B133" s="33" t="s">
        <v>194</v>
      </c>
      <c r="C133" s="36" t="s">
        <v>195</v>
      </c>
      <c r="D133" s="26" t="s">
        <v>89</v>
      </c>
      <c r="E133" s="22">
        <v>4</v>
      </c>
      <c r="F133" s="27"/>
      <c r="G133" s="28">
        <f t="shared" si="4"/>
        <v>0</v>
      </c>
      <c r="H133" s="29"/>
    </row>
    <row r="134" ht="27" customHeight="1" spans="1:8">
      <c r="A134" s="28" t="s">
        <v>73</v>
      </c>
      <c r="B134" s="33" t="s">
        <v>196</v>
      </c>
      <c r="C134" s="31" t="s">
        <v>84</v>
      </c>
      <c r="D134" s="28" t="s">
        <v>85</v>
      </c>
      <c r="E134" s="22">
        <v>4</v>
      </c>
      <c r="F134" s="27"/>
      <c r="G134" s="28">
        <f t="shared" si="4"/>
        <v>0</v>
      </c>
      <c r="H134" s="29"/>
    </row>
    <row r="135" ht="154" customHeight="1" spans="1:8">
      <c r="A135" s="28" t="s">
        <v>76</v>
      </c>
      <c r="B135" s="33" t="s">
        <v>197</v>
      </c>
      <c r="C135" s="31" t="s">
        <v>99</v>
      </c>
      <c r="D135" s="28" t="s">
        <v>89</v>
      </c>
      <c r="E135" s="28">
        <v>2</v>
      </c>
      <c r="F135" s="32"/>
      <c r="G135" s="28">
        <f t="shared" si="4"/>
        <v>0</v>
      </c>
      <c r="H135" s="29"/>
    </row>
    <row r="136" ht="28" customHeight="1" spans="1:8">
      <c r="A136" s="28" t="s">
        <v>79</v>
      </c>
      <c r="B136" s="23" t="s">
        <v>94</v>
      </c>
      <c r="C136" s="24" t="s">
        <v>95</v>
      </c>
      <c r="D136" s="28" t="s">
        <v>55</v>
      </c>
      <c r="E136" s="28">
        <v>1</v>
      </c>
      <c r="F136" s="32"/>
      <c r="G136" s="28">
        <f t="shared" si="4"/>
        <v>0</v>
      </c>
      <c r="H136" s="29"/>
    </row>
    <row r="137" ht="28" customHeight="1" spans="1:8">
      <c r="A137" s="25" t="s">
        <v>198</v>
      </c>
      <c r="B137" s="37" t="s">
        <v>137</v>
      </c>
      <c r="C137" s="31"/>
      <c r="D137" s="28"/>
      <c r="E137" s="28"/>
      <c r="F137" s="32"/>
      <c r="G137" s="28"/>
      <c r="H137" s="29"/>
    </row>
    <row r="138" ht="108" customHeight="1" spans="1:8">
      <c r="A138" s="28" t="s">
        <v>63</v>
      </c>
      <c r="B138" s="38" t="s">
        <v>138</v>
      </c>
      <c r="C138" s="24" t="s">
        <v>139</v>
      </c>
      <c r="D138" s="39" t="s">
        <v>66</v>
      </c>
      <c r="E138" s="39">
        <v>2</v>
      </c>
      <c r="F138" s="40"/>
      <c r="G138" s="28">
        <f t="shared" si="4"/>
        <v>0</v>
      </c>
      <c r="H138" s="29"/>
    </row>
    <row r="139" ht="29" customHeight="1" spans="1:8">
      <c r="A139" s="28" t="s">
        <v>67</v>
      </c>
      <c r="B139" s="38" t="s">
        <v>140</v>
      </c>
      <c r="C139" s="41" t="s">
        <v>141</v>
      </c>
      <c r="D139" s="39" t="s">
        <v>55</v>
      </c>
      <c r="E139" s="39">
        <v>2</v>
      </c>
      <c r="F139" s="40"/>
      <c r="G139" s="28">
        <f t="shared" si="4"/>
        <v>0</v>
      </c>
      <c r="H139" s="29"/>
    </row>
    <row r="140" ht="53" customHeight="1" spans="1:8">
      <c r="A140" s="28" t="s">
        <v>70</v>
      </c>
      <c r="B140" s="33" t="s">
        <v>142</v>
      </c>
      <c r="C140" s="41" t="s">
        <v>143</v>
      </c>
      <c r="D140" s="28" t="s">
        <v>66</v>
      </c>
      <c r="E140" s="28">
        <v>2</v>
      </c>
      <c r="F140" s="32"/>
      <c r="G140" s="28">
        <f t="shared" si="4"/>
        <v>0</v>
      </c>
      <c r="H140" s="29"/>
    </row>
    <row r="141" ht="33" customHeight="1" spans="1:8">
      <c r="A141" s="25" t="s">
        <v>199</v>
      </c>
      <c r="B141" s="23" t="s">
        <v>145</v>
      </c>
      <c r="C141" s="24"/>
      <c r="D141" s="22"/>
      <c r="E141" s="22"/>
      <c r="F141" s="27"/>
      <c r="G141" s="28"/>
      <c r="H141" s="29"/>
    </row>
    <row r="142" ht="393" customHeight="1" spans="1:8">
      <c r="A142" s="25" t="s">
        <v>116</v>
      </c>
      <c r="B142" s="23" t="s">
        <v>122</v>
      </c>
      <c r="C142" s="36" t="s">
        <v>123</v>
      </c>
      <c r="D142" s="22" t="s">
        <v>66</v>
      </c>
      <c r="E142" s="22">
        <v>13</v>
      </c>
      <c r="F142" s="27"/>
      <c r="G142" s="28">
        <f t="shared" si="4"/>
        <v>0</v>
      </c>
      <c r="H142" s="29"/>
    </row>
    <row r="143" ht="34" customHeight="1" spans="1:8">
      <c r="A143" s="25" t="s">
        <v>117</v>
      </c>
      <c r="B143" s="23" t="s">
        <v>126</v>
      </c>
      <c r="C143" s="24" t="s">
        <v>146</v>
      </c>
      <c r="D143" s="22" t="s">
        <v>89</v>
      </c>
      <c r="E143" s="22">
        <v>1</v>
      </c>
      <c r="F143" s="27"/>
      <c r="G143" s="28">
        <f t="shared" si="4"/>
        <v>0</v>
      </c>
      <c r="H143" s="29"/>
    </row>
    <row r="144" ht="120" customHeight="1" spans="1:8">
      <c r="A144" s="25" t="s">
        <v>119</v>
      </c>
      <c r="B144" s="23" t="s">
        <v>91</v>
      </c>
      <c r="C144" s="24" t="s">
        <v>128</v>
      </c>
      <c r="D144" s="22" t="s">
        <v>66</v>
      </c>
      <c r="E144" s="28">
        <v>2</v>
      </c>
      <c r="F144" s="27"/>
      <c r="G144" s="28">
        <f t="shared" si="4"/>
        <v>0</v>
      </c>
      <c r="H144" s="29"/>
    </row>
    <row r="145" ht="310" customHeight="1" spans="1:8">
      <c r="A145" s="25" t="s">
        <v>147</v>
      </c>
      <c r="B145" s="33" t="s">
        <v>87</v>
      </c>
      <c r="C145" s="31" t="s">
        <v>88</v>
      </c>
      <c r="D145" s="22" t="s">
        <v>66</v>
      </c>
      <c r="E145" s="22">
        <v>1</v>
      </c>
      <c r="F145" s="32"/>
      <c r="G145" s="28">
        <f t="shared" si="4"/>
        <v>0</v>
      </c>
      <c r="H145" s="29"/>
    </row>
    <row r="146" ht="30" customHeight="1" spans="1:8">
      <c r="A146" s="25" t="s">
        <v>148</v>
      </c>
      <c r="B146" s="23" t="s">
        <v>94</v>
      </c>
      <c r="C146" s="24" t="s">
        <v>95</v>
      </c>
      <c r="D146" s="28" t="s">
        <v>55</v>
      </c>
      <c r="E146" s="28">
        <v>1</v>
      </c>
      <c r="F146" s="27"/>
      <c r="G146" s="28">
        <f t="shared" si="4"/>
        <v>0</v>
      </c>
      <c r="H146" s="29"/>
    </row>
    <row r="147" ht="30" customHeight="1" spans="1:8">
      <c r="A147" s="25" t="s">
        <v>200</v>
      </c>
      <c r="B147" s="33" t="s">
        <v>163</v>
      </c>
      <c r="C147" s="31"/>
      <c r="D147" s="28"/>
      <c r="E147" s="28"/>
      <c r="F147" s="32"/>
      <c r="G147" s="28"/>
      <c r="H147" s="29"/>
    </row>
    <row r="148" ht="241" customHeight="1" spans="1:8">
      <c r="A148" s="25" t="s">
        <v>116</v>
      </c>
      <c r="B148" s="23" t="s">
        <v>164</v>
      </c>
      <c r="C148" s="24" t="s">
        <v>165</v>
      </c>
      <c r="D148" s="42" t="s">
        <v>66</v>
      </c>
      <c r="E148" s="42">
        <v>1</v>
      </c>
      <c r="F148" s="32"/>
      <c r="G148" s="28">
        <f t="shared" si="4"/>
        <v>0</v>
      </c>
      <c r="H148" s="29"/>
    </row>
    <row r="149" ht="123" customHeight="1" spans="1:8">
      <c r="A149" s="25" t="s">
        <v>117</v>
      </c>
      <c r="B149" s="23" t="s">
        <v>166</v>
      </c>
      <c r="C149" s="24" t="s">
        <v>167</v>
      </c>
      <c r="D149" s="42" t="s">
        <v>89</v>
      </c>
      <c r="E149" s="42">
        <v>1</v>
      </c>
      <c r="F149" s="32"/>
      <c r="G149" s="28">
        <f t="shared" si="4"/>
        <v>0</v>
      </c>
      <c r="H149" s="29"/>
    </row>
    <row r="150" ht="123" customHeight="1" spans="1:8">
      <c r="A150" s="25" t="s">
        <v>119</v>
      </c>
      <c r="B150" s="23" t="s">
        <v>168</v>
      </c>
      <c r="C150" s="24" t="s">
        <v>169</v>
      </c>
      <c r="D150" s="42" t="s">
        <v>89</v>
      </c>
      <c r="E150" s="42">
        <v>1</v>
      </c>
      <c r="F150" s="32"/>
      <c r="G150" s="28">
        <f t="shared" si="4"/>
        <v>0</v>
      </c>
      <c r="H150" s="29"/>
    </row>
    <row r="151" ht="28" customHeight="1" spans="1:8">
      <c r="A151" s="25" t="s">
        <v>147</v>
      </c>
      <c r="B151" s="23" t="s">
        <v>94</v>
      </c>
      <c r="C151" s="24" t="s">
        <v>95</v>
      </c>
      <c r="D151" s="22" t="s">
        <v>55</v>
      </c>
      <c r="E151" s="22">
        <v>1</v>
      </c>
      <c r="F151" s="27"/>
      <c r="G151" s="28">
        <f t="shared" si="4"/>
        <v>0</v>
      </c>
      <c r="H151" s="29"/>
    </row>
    <row r="152" ht="42" customHeight="1" spans="1:8">
      <c r="A152" s="25" t="s">
        <v>201</v>
      </c>
      <c r="B152" s="33" t="s">
        <v>171</v>
      </c>
      <c r="C152" s="43" t="s">
        <v>172</v>
      </c>
      <c r="D152" s="28" t="s">
        <v>55</v>
      </c>
      <c r="E152" s="28">
        <v>1</v>
      </c>
      <c r="F152" s="32"/>
      <c r="G152" s="28">
        <f t="shared" ref="G152:G176" si="5">ROUND(E152*F152,2)</f>
        <v>0</v>
      </c>
      <c r="H152" s="29"/>
    </row>
    <row r="153" ht="107" customHeight="1" spans="1:8">
      <c r="A153" s="25" t="s">
        <v>202</v>
      </c>
      <c r="B153" s="23" t="s">
        <v>177</v>
      </c>
      <c r="C153" s="24" t="s">
        <v>178</v>
      </c>
      <c r="D153" s="39" t="s">
        <v>55</v>
      </c>
      <c r="E153" s="28">
        <v>1</v>
      </c>
      <c r="F153" s="32"/>
      <c r="G153" s="28">
        <f t="shared" si="5"/>
        <v>0</v>
      </c>
      <c r="H153" s="29" t="s">
        <v>179</v>
      </c>
    </row>
    <row r="154" ht="27" customHeight="1" spans="1:8">
      <c r="A154" s="22" t="s">
        <v>203</v>
      </c>
      <c r="B154" s="23" t="s">
        <v>204</v>
      </c>
      <c r="C154" s="24"/>
      <c r="D154" s="22"/>
      <c r="E154" s="22"/>
      <c r="F154" s="27"/>
      <c r="G154" s="28"/>
      <c r="H154" s="29" t="s">
        <v>5</v>
      </c>
    </row>
    <row r="155" ht="35" customHeight="1" spans="1:8">
      <c r="A155" s="22" t="s">
        <v>205</v>
      </c>
      <c r="B155" s="23" t="s">
        <v>97</v>
      </c>
      <c r="C155" s="24" t="s">
        <v>206</v>
      </c>
      <c r="D155" s="22"/>
      <c r="E155" s="22"/>
      <c r="F155" s="27"/>
      <c r="G155" s="28"/>
      <c r="H155" s="29"/>
    </row>
    <row r="156" ht="280" customHeight="1" spans="1:8">
      <c r="A156" s="28" t="s">
        <v>63</v>
      </c>
      <c r="B156" s="33" t="s">
        <v>64</v>
      </c>
      <c r="C156" s="31" t="s">
        <v>65</v>
      </c>
      <c r="D156" s="28" t="s">
        <v>66</v>
      </c>
      <c r="E156" s="28">
        <v>2</v>
      </c>
      <c r="F156" s="27"/>
      <c r="G156" s="28">
        <f t="shared" si="5"/>
        <v>0</v>
      </c>
      <c r="H156" s="29"/>
    </row>
    <row r="157" ht="297" customHeight="1" spans="1:8">
      <c r="A157" s="28" t="s">
        <v>67</v>
      </c>
      <c r="B157" s="33" t="s">
        <v>68</v>
      </c>
      <c r="C157" s="31" t="s">
        <v>69</v>
      </c>
      <c r="D157" s="28" t="s">
        <v>66</v>
      </c>
      <c r="E157" s="28">
        <v>4</v>
      </c>
      <c r="F157" s="27"/>
      <c r="G157" s="28">
        <f t="shared" si="5"/>
        <v>0</v>
      </c>
      <c r="H157" s="29"/>
    </row>
    <row r="158" ht="158" customHeight="1" spans="1:8">
      <c r="A158" s="28" t="s">
        <v>70</v>
      </c>
      <c r="B158" s="33" t="s">
        <v>98</v>
      </c>
      <c r="C158" s="31" t="s">
        <v>99</v>
      </c>
      <c r="D158" s="28" t="s">
        <v>89</v>
      </c>
      <c r="E158" s="28">
        <v>1</v>
      </c>
      <c r="F158" s="32"/>
      <c r="G158" s="28">
        <f t="shared" si="5"/>
        <v>0</v>
      </c>
      <c r="H158" s="29"/>
    </row>
    <row r="159" ht="183" customHeight="1" spans="1:8">
      <c r="A159" s="28" t="s">
        <v>73</v>
      </c>
      <c r="B159" s="33" t="s">
        <v>74</v>
      </c>
      <c r="C159" s="31" t="s">
        <v>75</v>
      </c>
      <c r="D159" s="28" t="s">
        <v>66</v>
      </c>
      <c r="E159" s="28">
        <v>4</v>
      </c>
      <c r="F159" s="32"/>
      <c r="G159" s="28">
        <f t="shared" si="5"/>
        <v>0</v>
      </c>
      <c r="H159" s="29"/>
    </row>
    <row r="160" ht="87" customHeight="1" spans="1:8">
      <c r="A160" s="28" t="s">
        <v>76</v>
      </c>
      <c r="B160" s="33" t="s">
        <v>77</v>
      </c>
      <c r="C160" s="31" t="s">
        <v>78</v>
      </c>
      <c r="D160" s="28" t="s">
        <v>66</v>
      </c>
      <c r="E160" s="28">
        <v>1</v>
      </c>
      <c r="F160" s="32"/>
      <c r="G160" s="28">
        <f t="shared" si="5"/>
        <v>0</v>
      </c>
      <c r="H160" s="29"/>
    </row>
    <row r="161" ht="116" customHeight="1" spans="1:8">
      <c r="A161" s="28" t="s">
        <v>79</v>
      </c>
      <c r="B161" s="23" t="s">
        <v>91</v>
      </c>
      <c r="C161" s="31" t="s">
        <v>92</v>
      </c>
      <c r="D161" s="22" t="s">
        <v>66</v>
      </c>
      <c r="E161" s="28">
        <v>8</v>
      </c>
      <c r="F161" s="27"/>
      <c r="G161" s="28">
        <f t="shared" si="5"/>
        <v>0</v>
      </c>
      <c r="H161" s="29"/>
    </row>
    <row r="162" ht="33" customHeight="1" spans="1:8">
      <c r="A162" s="28" t="s">
        <v>82</v>
      </c>
      <c r="B162" s="33" t="s">
        <v>100</v>
      </c>
      <c r="C162" s="31" t="s">
        <v>84</v>
      </c>
      <c r="D162" s="28" t="s">
        <v>85</v>
      </c>
      <c r="E162" s="28">
        <v>2</v>
      </c>
      <c r="F162" s="32"/>
      <c r="G162" s="28">
        <f t="shared" si="5"/>
        <v>0</v>
      </c>
      <c r="H162" s="29"/>
    </row>
    <row r="163" ht="33" customHeight="1" spans="1:8">
      <c r="A163" s="28" t="s">
        <v>86</v>
      </c>
      <c r="B163" s="33" t="s">
        <v>83</v>
      </c>
      <c r="C163" s="31" t="s">
        <v>84</v>
      </c>
      <c r="D163" s="28" t="s">
        <v>85</v>
      </c>
      <c r="E163" s="28">
        <v>2</v>
      </c>
      <c r="F163" s="32"/>
      <c r="G163" s="28">
        <f t="shared" si="5"/>
        <v>0</v>
      </c>
      <c r="H163" s="29"/>
    </row>
    <row r="164" ht="318" customHeight="1" spans="1:8">
      <c r="A164" s="28" t="s">
        <v>90</v>
      </c>
      <c r="B164" s="33" t="s">
        <v>87</v>
      </c>
      <c r="C164" s="31" t="s">
        <v>88</v>
      </c>
      <c r="D164" s="28" t="s">
        <v>89</v>
      </c>
      <c r="E164" s="28">
        <v>4</v>
      </c>
      <c r="F164" s="32"/>
      <c r="G164" s="28">
        <f t="shared" si="5"/>
        <v>0</v>
      </c>
      <c r="H164" s="29"/>
    </row>
    <row r="165" ht="28" customHeight="1" spans="1:8">
      <c r="A165" s="28" t="s">
        <v>93</v>
      </c>
      <c r="B165" s="23" t="s">
        <v>94</v>
      </c>
      <c r="C165" s="24" t="s">
        <v>95</v>
      </c>
      <c r="D165" s="28" t="s">
        <v>55</v>
      </c>
      <c r="E165" s="28">
        <v>1</v>
      </c>
      <c r="F165" s="32"/>
      <c r="G165" s="28">
        <f t="shared" si="5"/>
        <v>0</v>
      </c>
      <c r="H165" s="29"/>
    </row>
    <row r="166" ht="28" customHeight="1" spans="1:8">
      <c r="A166" s="22" t="s">
        <v>207</v>
      </c>
      <c r="B166" s="23" t="s">
        <v>102</v>
      </c>
      <c r="C166" s="24" t="s">
        <v>103</v>
      </c>
      <c r="D166" s="22"/>
      <c r="E166" s="22"/>
      <c r="F166" s="27"/>
      <c r="G166" s="28"/>
      <c r="H166" s="29"/>
    </row>
    <row r="167" ht="274" customHeight="1" spans="1:8">
      <c r="A167" s="28" t="s">
        <v>63</v>
      </c>
      <c r="B167" s="33" t="s">
        <v>104</v>
      </c>
      <c r="C167" s="24" t="s">
        <v>105</v>
      </c>
      <c r="D167" s="22" t="s">
        <v>66</v>
      </c>
      <c r="E167" s="22">
        <v>4</v>
      </c>
      <c r="F167" s="27"/>
      <c r="G167" s="28">
        <f t="shared" si="5"/>
        <v>0</v>
      </c>
      <c r="H167" s="29"/>
    </row>
    <row r="168" ht="29" customHeight="1" spans="1:8">
      <c r="A168" s="28" t="s">
        <v>67</v>
      </c>
      <c r="B168" s="33" t="s">
        <v>100</v>
      </c>
      <c r="C168" s="31" t="s">
        <v>84</v>
      </c>
      <c r="D168" s="28" t="s">
        <v>85</v>
      </c>
      <c r="E168" s="22">
        <v>4</v>
      </c>
      <c r="F168" s="32"/>
      <c r="G168" s="28">
        <f t="shared" si="5"/>
        <v>0</v>
      </c>
      <c r="H168" s="29"/>
    </row>
    <row r="169" ht="149" customHeight="1" spans="1:8">
      <c r="A169" s="28" t="s">
        <v>70</v>
      </c>
      <c r="B169" s="33" t="s">
        <v>106</v>
      </c>
      <c r="C169" s="31" t="s">
        <v>99</v>
      </c>
      <c r="D169" s="22" t="s">
        <v>89</v>
      </c>
      <c r="E169" s="22">
        <v>1</v>
      </c>
      <c r="F169" s="27"/>
      <c r="G169" s="28">
        <f t="shared" si="5"/>
        <v>0</v>
      </c>
      <c r="H169" s="29"/>
    </row>
    <row r="170" ht="32" customHeight="1" spans="1:8">
      <c r="A170" s="28" t="s">
        <v>73</v>
      </c>
      <c r="B170" s="23" t="s">
        <v>94</v>
      </c>
      <c r="C170" s="24" t="s">
        <v>95</v>
      </c>
      <c r="D170" s="22" t="s">
        <v>55</v>
      </c>
      <c r="E170" s="22">
        <v>1</v>
      </c>
      <c r="F170" s="27"/>
      <c r="G170" s="28">
        <f t="shared" si="5"/>
        <v>0</v>
      </c>
      <c r="H170" s="29"/>
    </row>
    <row r="171" ht="42" customHeight="1" spans="1:8">
      <c r="A171" s="22" t="s">
        <v>208</v>
      </c>
      <c r="B171" s="23" t="s">
        <v>108</v>
      </c>
      <c r="C171" s="24" t="s">
        <v>109</v>
      </c>
      <c r="D171" s="22"/>
      <c r="E171" s="22"/>
      <c r="F171" s="27"/>
      <c r="G171" s="28"/>
      <c r="H171" s="29"/>
    </row>
    <row r="172" ht="250" customHeight="1" spans="1:8">
      <c r="A172" s="28" t="s">
        <v>63</v>
      </c>
      <c r="B172" s="33" t="s">
        <v>71</v>
      </c>
      <c r="C172" s="31" t="s">
        <v>72</v>
      </c>
      <c r="D172" s="28" t="s">
        <v>89</v>
      </c>
      <c r="E172" s="28">
        <v>6</v>
      </c>
      <c r="F172" s="32"/>
      <c r="G172" s="28">
        <f t="shared" si="5"/>
        <v>0</v>
      </c>
      <c r="H172" s="29"/>
    </row>
    <row r="173" ht="274" customHeight="1" spans="1:8">
      <c r="A173" s="28" t="s">
        <v>67</v>
      </c>
      <c r="B173" s="33" t="s">
        <v>64</v>
      </c>
      <c r="C173" s="31" t="s">
        <v>65</v>
      </c>
      <c r="D173" s="28" t="s">
        <v>89</v>
      </c>
      <c r="E173" s="28">
        <v>2</v>
      </c>
      <c r="F173" s="32"/>
      <c r="G173" s="28">
        <f t="shared" si="5"/>
        <v>0</v>
      </c>
      <c r="H173" s="29"/>
    </row>
    <row r="174" ht="139" customHeight="1" spans="1:8">
      <c r="A174" s="28" t="s">
        <v>70</v>
      </c>
      <c r="B174" s="33" t="s">
        <v>112</v>
      </c>
      <c r="C174" s="31" t="s">
        <v>81</v>
      </c>
      <c r="D174" s="28" t="s">
        <v>85</v>
      </c>
      <c r="E174" s="28">
        <v>1</v>
      </c>
      <c r="F174" s="32"/>
      <c r="G174" s="28">
        <f t="shared" si="5"/>
        <v>0</v>
      </c>
      <c r="H174" s="29"/>
    </row>
    <row r="175" ht="33" customHeight="1" spans="1:8">
      <c r="A175" s="28" t="s">
        <v>73</v>
      </c>
      <c r="B175" s="33" t="s">
        <v>100</v>
      </c>
      <c r="C175" s="31" t="s">
        <v>84</v>
      </c>
      <c r="D175" s="25" t="s">
        <v>89</v>
      </c>
      <c r="E175" s="28">
        <v>2</v>
      </c>
      <c r="F175" s="32"/>
      <c r="G175" s="28">
        <f t="shared" si="5"/>
        <v>0</v>
      </c>
      <c r="H175" s="29"/>
    </row>
    <row r="176" ht="312" customHeight="1" spans="1:8">
      <c r="A176" s="28" t="s">
        <v>76</v>
      </c>
      <c r="B176" s="33" t="s">
        <v>87</v>
      </c>
      <c r="C176" s="31" t="s">
        <v>88</v>
      </c>
      <c r="D176" s="22" t="s">
        <v>66</v>
      </c>
      <c r="E176" s="28">
        <v>2</v>
      </c>
      <c r="F176" s="32"/>
      <c r="G176" s="28">
        <f t="shared" si="5"/>
        <v>0</v>
      </c>
      <c r="H176" s="29"/>
    </row>
    <row r="177" ht="117" customHeight="1" spans="1:8">
      <c r="A177" s="28" t="s">
        <v>79</v>
      </c>
      <c r="B177" s="23" t="s">
        <v>91</v>
      </c>
      <c r="C177" s="24" t="s">
        <v>128</v>
      </c>
      <c r="D177" s="28" t="s">
        <v>89</v>
      </c>
      <c r="E177" s="28">
        <v>2</v>
      </c>
      <c r="F177" s="27"/>
      <c r="G177" s="28">
        <f t="shared" ref="G177:G208" si="6">ROUND(E177*F177,2)</f>
        <v>0</v>
      </c>
      <c r="H177" s="29"/>
    </row>
    <row r="178" ht="30" customHeight="1" spans="1:8">
      <c r="A178" s="28" t="s">
        <v>82</v>
      </c>
      <c r="B178" s="23" t="s">
        <v>94</v>
      </c>
      <c r="C178" s="24" t="s">
        <v>95</v>
      </c>
      <c r="D178" s="28" t="s">
        <v>55</v>
      </c>
      <c r="E178" s="28">
        <v>1</v>
      </c>
      <c r="F178" s="32"/>
      <c r="G178" s="28">
        <f t="shared" si="6"/>
        <v>0</v>
      </c>
      <c r="H178" s="29"/>
    </row>
    <row r="179" ht="30" customHeight="1" spans="1:8">
      <c r="A179" s="22" t="s">
        <v>209</v>
      </c>
      <c r="B179" s="23" t="s">
        <v>115</v>
      </c>
      <c r="C179" s="24"/>
      <c r="D179" s="22"/>
      <c r="E179" s="22"/>
      <c r="F179" s="27"/>
      <c r="G179" s="28"/>
      <c r="H179" s="29"/>
    </row>
    <row r="180" ht="272" customHeight="1" spans="1:8">
      <c r="A180" s="25" t="s">
        <v>116</v>
      </c>
      <c r="B180" s="35" t="s">
        <v>64</v>
      </c>
      <c r="C180" s="31" t="s">
        <v>65</v>
      </c>
      <c r="D180" s="28" t="s">
        <v>89</v>
      </c>
      <c r="E180" s="28">
        <v>2</v>
      </c>
      <c r="F180" s="32"/>
      <c r="G180" s="28">
        <f t="shared" si="6"/>
        <v>0</v>
      </c>
      <c r="H180" s="29"/>
    </row>
    <row r="181" ht="147" customHeight="1" spans="1:8">
      <c r="A181" s="25" t="s">
        <v>117</v>
      </c>
      <c r="B181" s="35" t="s">
        <v>118</v>
      </c>
      <c r="C181" s="31" t="s">
        <v>99</v>
      </c>
      <c r="D181" s="28" t="s">
        <v>89</v>
      </c>
      <c r="E181" s="28">
        <v>1</v>
      </c>
      <c r="F181" s="32"/>
      <c r="G181" s="28">
        <f t="shared" si="6"/>
        <v>0</v>
      </c>
      <c r="H181" s="29"/>
    </row>
    <row r="182" ht="36" customHeight="1" spans="1:8">
      <c r="A182" s="25" t="s">
        <v>119</v>
      </c>
      <c r="B182" s="23" t="s">
        <v>94</v>
      </c>
      <c r="C182" s="24" t="s">
        <v>95</v>
      </c>
      <c r="D182" s="28" t="s">
        <v>55</v>
      </c>
      <c r="E182" s="28">
        <v>1</v>
      </c>
      <c r="F182" s="32"/>
      <c r="G182" s="28">
        <f t="shared" si="6"/>
        <v>0</v>
      </c>
      <c r="H182" s="29"/>
    </row>
    <row r="183" ht="48" customHeight="1" spans="1:8">
      <c r="A183" s="22" t="s">
        <v>210</v>
      </c>
      <c r="B183" s="23" t="s">
        <v>121</v>
      </c>
      <c r="C183" s="31"/>
      <c r="D183" s="28"/>
      <c r="E183" s="28"/>
      <c r="F183" s="32"/>
      <c r="G183" s="28"/>
      <c r="H183" s="29" t="s">
        <v>211</v>
      </c>
    </row>
    <row r="184" ht="393" customHeight="1" spans="1:8">
      <c r="A184" s="28" t="s">
        <v>63</v>
      </c>
      <c r="B184" s="33" t="s">
        <v>122</v>
      </c>
      <c r="C184" s="36" t="s">
        <v>123</v>
      </c>
      <c r="D184" s="28" t="s">
        <v>89</v>
      </c>
      <c r="E184" s="28">
        <v>2</v>
      </c>
      <c r="F184" s="32"/>
      <c r="G184" s="28">
        <f t="shared" si="6"/>
        <v>0</v>
      </c>
      <c r="H184" s="29"/>
    </row>
    <row r="185" ht="306" customHeight="1" spans="1:8">
      <c r="A185" s="28" t="s">
        <v>67</v>
      </c>
      <c r="B185" s="33" t="s">
        <v>124</v>
      </c>
      <c r="C185" s="36" t="s">
        <v>125</v>
      </c>
      <c r="D185" s="28" t="s">
        <v>89</v>
      </c>
      <c r="E185" s="28">
        <v>2</v>
      </c>
      <c r="F185" s="32"/>
      <c r="G185" s="28">
        <f t="shared" si="6"/>
        <v>0</v>
      </c>
      <c r="H185" s="29"/>
    </row>
    <row r="186" ht="144" customHeight="1" spans="1:8">
      <c r="A186" s="28" t="s">
        <v>70</v>
      </c>
      <c r="B186" s="33" t="s">
        <v>129</v>
      </c>
      <c r="C186" s="31" t="s">
        <v>99</v>
      </c>
      <c r="D186" s="28" t="s">
        <v>55</v>
      </c>
      <c r="E186" s="28">
        <v>1</v>
      </c>
      <c r="F186" s="32"/>
      <c r="G186" s="28">
        <f t="shared" si="6"/>
        <v>0</v>
      </c>
      <c r="H186" s="29"/>
    </row>
    <row r="187" ht="27" customHeight="1" spans="1:8">
      <c r="A187" s="28" t="s">
        <v>73</v>
      </c>
      <c r="B187" s="23" t="s">
        <v>94</v>
      </c>
      <c r="C187" s="24" t="s">
        <v>95</v>
      </c>
      <c r="D187" s="28" t="s">
        <v>55</v>
      </c>
      <c r="E187" s="28">
        <v>4</v>
      </c>
      <c r="F187" s="32"/>
      <c r="G187" s="28">
        <f t="shared" si="6"/>
        <v>0</v>
      </c>
      <c r="H187" s="29"/>
    </row>
    <row r="188" ht="33" customHeight="1" spans="1:8">
      <c r="A188" s="22" t="s">
        <v>212</v>
      </c>
      <c r="B188" s="23" t="s">
        <v>190</v>
      </c>
      <c r="C188" s="24" t="s">
        <v>191</v>
      </c>
      <c r="D188" s="28"/>
      <c r="E188" s="28"/>
      <c r="F188" s="32"/>
      <c r="G188" s="28"/>
      <c r="H188" s="29"/>
    </row>
    <row r="189" ht="282" customHeight="1" spans="1:8">
      <c r="A189" s="28" t="s">
        <v>63</v>
      </c>
      <c r="B189" s="33" t="s">
        <v>64</v>
      </c>
      <c r="C189" s="31" t="s">
        <v>65</v>
      </c>
      <c r="D189" s="28" t="s">
        <v>66</v>
      </c>
      <c r="E189" s="28">
        <v>2</v>
      </c>
      <c r="F189" s="32"/>
      <c r="G189" s="28">
        <f t="shared" si="6"/>
        <v>0</v>
      </c>
      <c r="H189" s="29"/>
    </row>
    <row r="190" ht="243" customHeight="1" spans="1:8">
      <c r="A190" s="28" t="s">
        <v>67</v>
      </c>
      <c r="B190" s="33" t="s">
        <v>192</v>
      </c>
      <c r="C190" s="31" t="s">
        <v>193</v>
      </c>
      <c r="D190" s="28" t="s">
        <v>66</v>
      </c>
      <c r="E190" s="28">
        <v>2</v>
      </c>
      <c r="F190" s="32"/>
      <c r="G190" s="28">
        <f t="shared" si="6"/>
        <v>0</v>
      </c>
      <c r="H190" s="29"/>
    </row>
    <row r="191" ht="155" customHeight="1" spans="1:8">
      <c r="A191" s="28" t="s">
        <v>70</v>
      </c>
      <c r="B191" s="33" t="s">
        <v>194</v>
      </c>
      <c r="C191" s="36" t="s">
        <v>195</v>
      </c>
      <c r="D191" s="26" t="s">
        <v>89</v>
      </c>
      <c r="E191" s="22">
        <v>2</v>
      </c>
      <c r="F191" s="27"/>
      <c r="G191" s="28">
        <f t="shared" si="6"/>
        <v>0</v>
      </c>
      <c r="H191" s="29"/>
    </row>
    <row r="192" ht="30" customHeight="1" spans="1:8">
      <c r="A192" s="28" t="s">
        <v>73</v>
      </c>
      <c r="B192" s="33" t="s">
        <v>196</v>
      </c>
      <c r="C192" s="31" t="s">
        <v>84</v>
      </c>
      <c r="D192" s="28" t="s">
        <v>85</v>
      </c>
      <c r="E192" s="22">
        <v>2</v>
      </c>
      <c r="F192" s="27"/>
      <c r="G192" s="28">
        <f t="shared" si="6"/>
        <v>0</v>
      </c>
      <c r="H192" s="29"/>
    </row>
    <row r="193" ht="156" customHeight="1" spans="1:8">
      <c r="A193" s="28" t="s">
        <v>76</v>
      </c>
      <c r="B193" s="33" t="s">
        <v>197</v>
      </c>
      <c r="C193" s="31" t="s">
        <v>99</v>
      </c>
      <c r="D193" s="28" t="s">
        <v>89</v>
      </c>
      <c r="E193" s="28">
        <v>1</v>
      </c>
      <c r="F193" s="32"/>
      <c r="G193" s="28">
        <f t="shared" si="6"/>
        <v>0</v>
      </c>
      <c r="H193" s="29"/>
    </row>
    <row r="194" ht="31" customHeight="1" spans="1:8">
      <c r="A194" s="28" t="s">
        <v>79</v>
      </c>
      <c r="B194" s="23" t="s">
        <v>94</v>
      </c>
      <c r="C194" s="24" t="s">
        <v>95</v>
      </c>
      <c r="D194" s="28" t="s">
        <v>55</v>
      </c>
      <c r="E194" s="28">
        <v>1</v>
      </c>
      <c r="F194" s="32"/>
      <c r="G194" s="28">
        <f t="shared" si="6"/>
        <v>0</v>
      </c>
      <c r="H194" s="29"/>
    </row>
    <row r="195" ht="31" customHeight="1" spans="1:8">
      <c r="A195" s="25" t="s">
        <v>213</v>
      </c>
      <c r="B195" s="37" t="s">
        <v>131</v>
      </c>
      <c r="C195" s="31"/>
      <c r="D195" s="28"/>
      <c r="E195" s="28"/>
      <c r="F195" s="32"/>
      <c r="G195" s="28"/>
      <c r="H195" s="29"/>
    </row>
    <row r="196" ht="121" customHeight="1" spans="1:8">
      <c r="A196" s="28" t="s">
        <v>63</v>
      </c>
      <c r="B196" s="33" t="s">
        <v>132</v>
      </c>
      <c r="C196" s="24" t="s">
        <v>133</v>
      </c>
      <c r="D196" s="28" t="s">
        <v>89</v>
      </c>
      <c r="E196" s="28">
        <v>1</v>
      </c>
      <c r="F196" s="32"/>
      <c r="G196" s="28">
        <f t="shared" si="6"/>
        <v>0</v>
      </c>
      <c r="H196" s="29"/>
    </row>
    <row r="197" ht="99" customHeight="1" spans="1:8">
      <c r="A197" s="28" t="s">
        <v>67</v>
      </c>
      <c r="B197" s="23" t="s">
        <v>134</v>
      </c>
      <c r="C197" s="24" t="s">
        <v>135</v>
      </c>
      <c r="D197" s="28" t="s">
        <v>89</v>
      </c>
      <c r="E197" s="28">
        <v>1</v>
      </c>
      <c r="F197" s="32"/>
      <c r="G197" s="28">
        <f t="shared" si="6"/>
        <v>0</v>
      </c>
      <c r="H197" s="29"/>
    </row>
    <row r="198" ht="32" customHeight="1" spans="1:8">
      <c r="A198" s="28" t="s">
        <v>70</v>
      </c>
      <c r="B198" s="23" t="s">
        <v>94</v>
      </c>
      <c r="C198" s="24" t="s">
        <v>95</v>
      </c>
      <c r="D198" s="28" t="s">
        <v>89</v>
      </c>
      <c r="E198" s="28">
        <v>1</v>
      </c>
      <c r="F198" s="32"/>
      <c r="G198" s="28">
        <f t="shared" si="6"/>
        <v>0</v>
      </c>
      <c r="H198" s="29"/>
    </row>
    <row r="199" ht="32" customHeight="1" spans="1:8">
      <c r="A199" s="25" t="s">
        <v>214</v>
      </c>
      <c r="B199" s="37" t="s">
        <v>137</v>
      </c>
      <c r="C199" s="31"/>
      <c r="D199" s="28"/>
      <c r="E199" s="28"/>
      <c r="F199" s="32"/>
      <c r="G199" s="28"/>
      <c r="H199" s="29"/>
    </row>
    <row r="200" ht="110" customHeight="1" spans="1:8">
      <c r="A200" s="28" t="s">
        <v>63</v>
      </c>
      <c r="B200" s="38" t="s">
        <v>138</v>
      </c>
      <c r="C200" s="24" t="s">
        <v>139</v>
      </c>
      <c r="D200" s="39" t="s">
        <v>66</v>
      </c>
      <c r="E200" s="39">
        <v>1</v>
      </c>
      <c r="F200" s="40"/>
      <c r="G200" s="28">
        <f t="shared" si="6"/>
        <v>0</v>
      </c>
      <c r="H200" s="29"/>
    </row>
    <row r="201" ht="27" customHeight="1" spans="1:8">
      <c r="A201" s="28" t="s">
        <v>67</v>
      </c>
      <c r="B201" s="38" t="s">
        <v>140</v>
      </c>
      <c r="C201" s="41" t="s">
        <v>141</v>
      </c>
      <c r="D201" s="39" t="s">
        <v>55</v>
      </c>
      <c r="E201" s="39">
        <v>1</v>
      </c>
      <c r="F201" s="40"/>
      <c r="G201" s="28">
        <f t="shared" si="6"/>
        <v>0</v>
      </c>
      <c r="H201" s="29"/>
    </row>
    <row r="202" ht="60" customHeight="1" spans="1:8">
      <c r="A202" s="28" t="s">
        <v>70</v>
      </c>
      <c r="B202" s="33" t="s">
        <v>142</v>
      </c>
      <c r="C202" s="41" t="s">
        <v>143</v>
      </c>
      <c r="D202" s="28" t="s">
        <v>66</v>
      </c>
      <c r="E202" s="28">
        <v>1</v>
      </c>
      <c r="F202" s="32"/>
      <c r="G202" s="28">
        <f t="shared" si="6"/>
        <v>0</v>
      </c>
      <c r="H202" s="29"/>
    </row>
    <row r="203" ht="27" customHeight="1" spans="1:8">
      <c r="A203" s="25" t="s">
        <v>215</v>
      </c>
      <c r="B203" s="23" t="s">
        <v>216</v>
      </c>
      <c r="C203" s="24"/>
      <c r="D203" s="22"/>
      <c r="E203" s="22"/>
      <c r="F203" s="27"/>
      <c r="G203" s="28"/>
      <c r="H203" s="29"/>
    </row>
    <row r="204" ht="153" customHeight="1" spans="1:8">
      <c r="A204" s="25" t="s">
        <v>116</v>
      </c>
      <c r="B204" s="23" t="s">
        <v>217</v>
      </c>
      <c r="C204" s="24" t="s">
        <v>218</v>
      </c>
      <c r="D204" s="22" t="s">
        <v>66</v>
      </c>
      <c r="E204" s="22">
        <v>1</v>
      </c>
      <c r="F204" s="27"/>
      <c r="G204" s="28">
        <f t="shared" si="6"/>
        <v>0</v>
      </c>
      <c r="H204" s="29"/>
    </row>
    <row r="205" ht="133" customHeight="1" spans="1:8">
      <c r="A205" s="25" t="s">
        <v>117</v>
      </c>
      <c r="B205" s="23" t="s">
        <v>219</v>
      </c>
      <c r="C205" s="24" t="s">
        <v>220</v>
      </c>
      <c r="D205" s="22" t="s">
        <v>89</v>
      </c>
      <c r="E205" s="22">
        <v>1</v>
      </c>
      <c r="F205" s="27"/>
      <c r="G205" s="28">
        <f t="shared" si="6"/>
        <v>0</v>
      </c>
      <c r="H205" s="29"/>
    </row>
    <row r="206" ht="227" customHeight="1" spans="1:8">
      <c r="A206" s="25" t="s">
        <v>119</v>
      </c>
      <c r="B206" s="23" t="s">
        <v>221</v>
      </c>
      <c r="C206" s="24" t="s">
        <v>222</v>
      </c>
      <c r="D206" s="22" t="s">
        <v>66</v>
      </c>
      <c r="E206" s="22">
        <v>1</v>
      </c>
      <c r="F206" s="27"/>
      <c r="G206" s="28">
        <f t="shared" si="6"/>
        <v>0</v>
      </c>
      <c r="H206" s="29"/>
    </row>
    <row r="207" ht="212" customHeight="1" spans="1:8">
      <c r="A207" s="25" t="s">
        <v>73</v>
      </c>
      <c r="B207" s="23" t="s">
        <v>223</v>
      </c>
      <c r="C207" s="24" t="s">
        <v>224</v>
      </c>
      <c r="D207" s="22" t="s">
        <v>89</v>
      </c>
      <c r="E207" s="22">
        <v>1</v>
      </c>
      <c r="F207" s="27"/>
      <c r="G207" s="28">
        <f t="shared" si="6"/>
        <v>0</v>
      </c>
      <c r="H207" s="29"/>
    </row>
    <row r="208" ht="138" customHeight="1" spans="1:8">
      <c r="A208" s="25" t="s">
        <v>76</v>
      </c>
      <c r="B208" s="23" t="s">
        <v>225</v>
      </c>
      <c r="C208" s="24" t="s">
        <v>226</v>
      </c>
      <c r="D208" s="22" t="s">
        <v>89</v>
      </c>
      <c r="E208" s="22">
        <v>2</v>
      </c>
      <c r="F208" s="27"/>
      <c r="G208" s="28">
        <f t="shared" si="6"/>
        <v>0</v>
      </c>
      <c r="H208" s="29"/>
    </row>
    <row r="209" ht="77" customHeight="1" spans="1:8">
      <c r="A209" s="25" t="s">
        <v>79</v>
      </c>
      <c r="B209" s="23" t="s">
        <v>227</v>
      </c>
      <c r="C209" s="24" t="s">
        <v>228</v>
      </c>
      <c r="D209" s="22" t="s">
        <v>229</v>
      </c>
      <c r="E209" s="22">
        <v>18</v>
      </c>
      <c r="F209" s="27"/>
      <c r="G209" s="28">
        <f t="shared" ref="G209:G225" si="7">ROUND(E209*F209,2)</f>
        <v>0</v>
      </c>
      <c r="H209" s="29"/>
    </row>
    <row r="210" ht="33" customHeight="1" spans="1:8">
      <c r="A210" s="25" t="s">
        <v>82</v>
      </c>
      <c r="B210" s="23" t="s">
        <v>94</v>
      </c>
      <c r="C210" s="24" t="s">
        <v>95</v>
      </c>
      <c r="D210" s="22" t="s">
        <v>55</v>
      </c>
      <c r="E210" s="22">
        <v>1</v>
      </c>
      <c r="F210" s="27"/>
      <c r="G210" s="28">
        <f t="shared" si="7"/>
        <v>0</v>
      </c>
      <c r="H210" s="29"/>
    </row>
    <row r="211" ht="33" customHeight="1" spans="1:8">
      <c r="A211" s="25" t="s">
        <v>230</v>
      </c>
      <c r="B211" s="33" t="s">
        <v>163</v>
      </c>
      <c r="C211" s="31"/>
      <c r="D211" s="28"/>
      <c r="E211" s="28"/>
      <c r="F211" s="32"/>
      <c r="G211" s="28"/>
      <c r="H211" s="29"/>
    </row>
    <row r="212" ht="249" customHeight="1" spans="1:8">
      <c r="A212" s="25" t="s">
        <v>116</v>
      </c>
      <c r="B212" s="23" t="s">
        <v>164</v>
      </c>
      <c r="C212" s="24" t="s">
        <v>165</v>
      </c>
      <c r="D212" s="42" t="s">
        <v>66</v>
      </c>
      <c r="E212" s="42">
        <v>1</v>
      </c>
      <c r="F212" s="32"/>
      <c r="G212" s="28">
        <f t="shared" si="7"/>
        <v>0</v>
      </c>
      <c r="H212" s="29"/>
    </row>
    <row r="213" ht="120" customHeight="1" spans="1:8">
      <c r="A213" s="25" t="s">
        <v>117</v>
      </c>
      <c r="B213" s="23" t="s">
        <v>166</v>
      </c>
      <c r="C213" s="24" t="s">
        <v>167</v>
      </c>
      <c r="D213" s="42" t="s">
        <v>89</v>
      </c>
      <c r="E213" s="42">
        <v>1</v>
      </c>
      <c r="F213" s="32"/>
      <c r="G213" s="28">
        <f t="shared" si="7"/>
        <v>0</v>
      </c>
      <c r="H213" s="29"/>
    </row>
    <row r="214" ht="120" customHeight="1" spans="1:8">
      <c r="A214" s="25" t="s">
        <v>119</v>
      </c>
      <c r="B214" s="23" t="s">
        <v>168</v>
      </c>
      <c r="C214" s="24" t="s">
        <v>169</v>
      </c>
      <c r="D214" s="42" t="s">
        <v>89</v>
      </c>
      <c r="E214" s="42">
        <v>1</v>
      </c>
      <c r="F214" s="32"/>
      <c r="G214" s="28">
        <f t="shared" si="7"/>
        <v>0</v>
      </c>
      <c r="H214" s="29"/>
    </row>
    <row r="215" ht="33" customHeight="1" spans="1:8">
      <c r="A215" s="25" t="s">
        <v>147</v>
      </c>
      <c r="B215" s="23" t="s">
        <v>94</v>
      </c>
      <c r="C215" s="24" t="s">
        <v>95</v>
      </c>
      <c r="D215" s="22" t="s">
        <v>55</v>
      </c>
      <c r="E215" s="22">
        <v>1</v>
      </c>
      <c r="F215" s="32"/>
      <c r="G215" s="28">
        <f t="shared" si="7"/>
        <v>0</v>
      </c>
      <c r="H215" s="29"/>
    </row>
    <row r="216" ht="36" customHeight="1" spans="1:8">
      <c r="A216" s="25" t="s">
        <v>231</v>
      </c>
      <c r="B216" s="33" t="s">
        <v>171</v>
      </c>
      <c r="C216" s="43" t="s">
        <v>172</v>
      </c>
      <c r="D216" s="28" t="s">
        <v>55</v>
      </c>
      <c r="E216" s="28">
        <v>1</v>
      </c>
      <c r="F216" s="32"/>
      <c r="G216" s="28">
        <f t="shared" si="7"/>
        <v>0</v>
      </c>
      <c r="H216" s="29"/>
    </row>
    <row r="217" ht="54" customHeight="1" spans="1:8">
      <c r="A217" s="25" t="s">
        <v>232</v>
      </c>
      <c r="B217" s="23" t="s">
        <v>233</v>
      </c>
      <c r="C217" s="24" t="s">
        <v>204</v>
      </c>
      <c r="D217" s="22"/>
      <c r="E217" s="22"/>
      <c r="F217" s="27"/>
      <c r="G217" s="28"/>
      <c r="H217" s="29" t="s">
        <v>234</v>
      </c>
    </row>
    <row r="218" ht="409" customHeight="1" spans="1:8">
      <c r="A218" s="28" t="s">
        <v>63</v>
      </c>
      <c r="B218" s="33" t="s">
        <v>122</v>
      </c>
      <c r="C218" s="36" t="s">
        <v>123</v>
      </c>
      <c r="D218" s="28" t="s">
        <v>89</v>
      </c>
      <c r="E218" s="28">
        <v>7</v>
      </c>
      <c r="F218" s="32"/>
      <c r="G218" s="28">
        <f t="shared" si="7"/>
        <v>0</v>
      </c>
      <c r="H218" s="34"/>
    </row>
    <row r="219" ht="313" customHeight="1" spans="1:8">
      <c r="A219" s="28" t="s">
        <v>67</v>
      </c>
      <c r="B219" s="33" t="s">
        <v>124</v>
      </c>
      <c r="C219" s="36" t="s">
        <v>125</v>
      </c>
      <c r="D219" s="28" t="s">
        <v>89</v>
      </c>
      <c r="E219" s="28">
        <v>14</v>
      </c>
      <c r="F219" s="32"/>
      <c r="G219" s="28">
        <f t="shared" si="7"/>
        <v>0</v>
      </c>
      <c r="H219" s="34"/>
    </row>
    <row r="220" ht="32" customHeight="1" spans="1:8">
      <c r="A220" s="28" t="s">
        <v>70</v>
      </c>
      <c r="B220" s="33" t="s">
        <v>235</v>
      </c>
      <c r="C220" s="31" t="s">
        <v>236</v>
      </c>
      <c r="D220" s="28" t="s">
        <v>237</v>
      </c>
      <c r="E220" s="28">
        <v>2500</v>
      </c>
      <c r="F220" s="27"/>
      <c r="G220" s="28">
        <f t="shared" si="7"/>
        <v>0</v>
      </c>
      <c r="H220" s="34" t="s">
        <v>238</v>
      </c>
    </row>
    <row r="221" ht="32" customHeight="1" spans="1:8">
      <c r="A221" s="28" t="s">
        <v>73</v>
      </c>
      <c r="B221" s="33" t="s">
        <v>239</v>
      </c>
      <c r="C221" s="31" t="s">
        <v>240</v>
      </c>
      <c r="D221" s="28" t="s">
        <v>237</v>
      </c>
      <c r="E221" s="28">
        <v>2500</v>
      </c>
      <c r="F221" s="27"/>
      <c r="G221" s="28">
        <f t="shared" si="7"/>
        <v>0</v>
      </c>
      <c r="H221" s="34" t="s">
        <v>238</v>
      </c>
    </row>
    <row r="222" ht="32" customHeight="1" spans="1:8">
      <c r="A222" s="28" t="s">
        <v>76</v>
      </c>
      <c r="B222" s="33" t="s">
        <v>241</v>
      </c>
      <c r="C222" s="31"/>
      <c r="D222" s="28" t="s">
        <v>242</v>
      </c>
      <c r="E222" s="28">
        <v>14</v>
      </c>
      <c r="F222" s="27"/>
      <c r="G222" s="28">
        <f t="shared" si="7"/>
        <v>0</v>
      </c>
      <c r="H222" s="34" t="s">
        <v>238</v>
      </c>
    </row>
    <row r="223" ht="126" customHeight="1" spans="1:8">
      <c r="A223" s="28" t="s">
        <v>79</v>
      </c>
      <c r="B223" s="23" t="s">
        <v>91</v>
      </c>
      <c r="C223" s="24" t="s">
        <v>128</v>
      </c>
      <c r="D223" s="22" t="s">
        <v>66</v>
      </c>
      <c r="E223" s="22">
        <v>7</v>
      </c>
      <c r="F223" s="27"/>
      <c r="G223" s="28">
        <f t="shared" si="7"/>
        <v>0</v>
      </c>
      <c r="H223" s="34"/>
    </row>
    <row r="224" ht="123" customHeight="1" spans="1:8">
      <c r="A224" s="28" t="s">
        <v>82</v>
      </c>
      <c r="B224" s="33" t="s">
        <v>243</v>
      </c>
      <c r="C224" s="31" t="s">
        <v>244</v>
      </c>
      <c r="D224" s="28" t="s">
        <v>85</v>
      </c>
      <c r="E224" s="28">
        <v>6</v>
      </c>
      <c r="F224" s="27"/>
      <c r="G224" s="28">
        <f t="shared" si="7"/>
        <v>0</v>
      </c>
      <c r="H224" s="34" t="s">
        <v>245</v>
      </c>
    </row>
    <row r="225" ht="318" customHeight="1" spans="1:8">
      <c r="A225" s="28" t="s">
        <v>86</v>
      </c>
      <c r="B225" s="33" t="s">
        <v>87</v>
      </c>
      <c r="C225" s="31" t="s">
        <v>88</v>
      </c>
      <c r="D225" s="28" t="s">
        <v>89</v>
      </c>
      <c r="E225" s="28">
        <v>7</v>
      </c>
      <c r="F225" s="44"/>
      <c r="G225" s="28">
        <f t="shared" ref="G225:G260" si="8">ROUND(E225*F225,2)</f>
        <v>0</v>
      </c>
      <c r="H225" s="34"/>
    </row>
    <row r="226" ht="106" customHeight="1" spans="1:8">
      <c r="A226" s="28" t="s">
        <v>90</v>
      </c>
      <c r="B226" s="33" t="s">
        <v>246</v>
      </c>
      <c r="C226" s="31" t="s">
        <v>247</v>
      </c>
      <c r="D226" s="28" t="s">
        <v>66</v>
      </c>
      <c r="E226" s="28">
        <v>1</v>
      </c>
      <c r="F226" s="32"/>
      <c r="G226" s="28">
        <f t="shared" si="8"/>
        <v>0</v>
      </c>
      <c r="H226" s="34" t="s">
        <v>248</v>
      </c>
    </row>
    <row r="227" ht="51" customHeight="1" spans="1:8">
      <c r="A227" s="28" t="s">
        <v>93</v>
      </c>
      <c r="B227" s="33" t="s">
        <v>142</v>
      </c>
      <c r="C227" s="41" t="s">
        <v>143</v>
      </c>
      <c r="D227" s="28" t="s">
        <v>66</v>
      </c>
      <c r="E227" s="28">
        <v>1</v>
      </c>
      <c r="F227" s="32"/>
      <c r="G227" s="28">
        <f t="shared" si="8"/>
        <v>0</v>
      </c>
      <c r="H227" s="34" t="s">
        <v>249</v>
      </c>
    </row>
    <row r="228" ht="26" customHeight="1" spans="1:8">
      <c r="A228" s="28" t="s">
        <v>250</v>
      </c>
      <c r="B228" s="23" t="s">
        <v>94</v>
      </c>
      <c r="C228" s="24" t="s">
        <v>95</v>
      </c>
      <c r="D228" s="28" t="s">
        <v>55</v>
      </c>
      <c r="E228" s="28">
        <v>1</v>
      </c>
      <c r="F228" s="32"/>
      <c r="G228" s="28">
        <f t="shared" si="8"/>
        <v>0</v>
      </c>
      <c r="H228" s="34"/>
    </row>
    <row r="229" ht="57" customHeight="1" spans="1:8">
      <c r="A229" s="25" t="s">
        <v>251</v>
      </c>
      <c r="B229" s="33" t="s">
        <v>142</v>
      </c>
      <c r="C229" s="36" t="s">
        <v>252</v>
      </c>
      <c r="D229" s="22" t="s">
        <v>66</v>
      </c>
      <c r="E229" s="22">
        <v>5</v>
      </c>
      <c r="F229" s="32"/>
      <c r="G229" s="28">
        <f t="shared" si="8"/>
        <v>0</v>
      </c>
      <c r="H229" s="29" t="s">
        <v>253</v>
      </c>
    </row>
    <row r="230" ht="107" customHeight="1" spans="1:8">
      <c r="A230" s="25" t="s">
        <v>254</v>
      </c>
      <c r="B230" s="23" t="s">
        <v>177</v>
      </c>
      <c r="C230" s="24" t="s">
        <v>178</v>
      </c>
      <c r="D230" s="39" t="s">
        <v>55</v>
      </c>
      <c r="E230" s="28">
        <v>1</v>
      </c>
      <c r="F230" s="32"/>
      <c r="G230" s="28">
        <f t="shared" si="8"/>
        <v>0</v>
      </c>
      <c r="H230" s="34" t="s">
        <v>179</v>
      </c>
    </row>
    <row r="231" ht="23" customHeight="1" spans="1:8">
      <c r="A231" s="22">
        <v>2.2</v>
      </c>
      <c r="B231" s="23" t="s">
        <v>56</v>
      </c>
      <c r="C231" s="24"/>
      <c r="D231" s="22"/>
      <c r="E231" s="22"/>
      <c r="F231" s="27"/>
      <c r="G231" s="28"/>
      <c r="H231" s="29"/>
    </row>
    <row r="232" ht="37" customHeight="1" spans="1:8">
      <c r="A232" s="22" t="s">
        <v>255</v>
      </c>
      <c r="B232" s="23" t="s">
        <v>256</v>
      </c>
      <c r="C232" s="24"/>
      <c r="D232" s="22"/>
      <c r="E232" s="22"/>
      <c r="F232" s="27"/>
      <c r="G232" s="28"/>
      <c r="H232" s="29"/>
    </row>
    <row r="233" ht="37" customHeight="1" spans="1:8">
      <c r="A233" s="22" t="s">
        <v>257</v>
      </c>
      <c r="B233" s="23" t="s">
        <v>258</v>
      </c>
      <c r="C233" s="24" t="s">
        <v>259</v>
      </c>
      <c r="D233" s="22" t="s">
        <v>242</v>
      </c>
      <c r="E233" s="22">
        <v>1</v>
      </c>
      <c r="F233" s="27"/>
      <c r="G233" s="28">
        <f t="shared" si="8"/>
        <v>0</v>
      </c>
      <c r="H233" s="29"/>
    </row>
    <row r="234" ht="35" customHeight="1" spans="1:8">
      <c r="A234" s="22" t="s">
        <v>260</v>
      </c>
      <c r="B234" s="33" t="s">
        <v>261</v>
      </c>
      <c r="C234" s="31"/>
      <c r="D234" s="28"/>
      <c r="E234" s="28"/>
      <c r="F234" s="32"/>
      <c r="G234" s="28"/>
      <c r="H234" s="34"/>
    </row>
    <row r="235" ht="397" customHeight="1" spans="1:8">
      <c r="A235" s="45" t="s">
        <v>63</v>
      </c>
      <c r="B235" s="33" t="s">
        <v>122</v>
      </c>
      <c r="C235" s="36" t="s">
        <v>123</v>
      </c>
      <c r="D235" s="28" t="s">
        <v>242</v>
      </c>
      <c r="E235" s="28">
        <v>2</v>
      </c>
      <c r="F235" s="32"/>
      <c r="G235" s="28">
        <f t="shared" si="8"/>
        <v>0</v>
      </c>
      <c r="H235" s="34"/>
    </row>
    <row r="236" ht="312" customHeight="1" spans="1:8">
      <c r="A236" s="45" t="s">
        <v>67</v>
      </c>
      <c r="B236" s="33" t="s">
        <v>124</v>
      </c>
      <c r="C236" s="36" t="s">
        <v>125</v>
      </c>
      <c r="D236" s="28" t="s">
        <v>242</v>
      </c>
      <c r="E236" s="28">
        <v>4</v>
      </c>
      <c r="F236" s="32"/>
      <c r="G236" s="28">
        <f t="shared" si="8"/>
        <v>0</v>
      </c>
      <c r="H236" s="34"/>
    </row>
    <row r="237" ht="118" customHeight="1" spans="1:8">
      <c r="A237" s="45" t="s">
        <v>70</v>
      </c>
      <c r="B237" s="33" t="s">
        <v>83</v>
      </c>
      <c r="C237" s="31" t="s">
        <v>262</v>
      </c>
      <c r="D237" s="28" t="s">
        <v>85</v>
      </c>
      <c r="E237" s="28">
        <v>1</v>
      </c>
      <c r="F237" s="32"/>
      <c r="G237" s="28">
        <f t="shared" si="8"/>
        <v>0</v>
      </c>
      <c r="H237" s="34"/>
    </row>
    <row r="238" ht="307" customHeight="1" spans="1:8">
      <c r="A238" s="45" t="s">
        <v>73</v>
      </c>
      <c r="B238" s="33" t="s">
        <v>87</v>
      </c>
      <c r="C238" s="31" t="s">
        <v>88</v>
      </c>
      <c r="D238" s="28" t="s">
        <v>89</v>
      </c>
      <c r="E238" s="28">
        <v>1</v>
      </c>
      <c r="F238" s="32"/>
      <c r="G238" s="28">
        <f t="shared" si="8"/>
        <v>0</v>
      </c>
      <c r="H238" s="34"/>
    </row>
    <row r="239" ht="30" customHeight="1" spans="1:8">
      <c r="A239" s="45" t="s">
        <v>76</v>
      </c>
      <c r="B239" s="33" t="s">
        <v>263</v>
      </c>
      <c r="C239" s="31" t="s">
        <v>236</v>
      </c>
      <c r="D239" s="28" t="s">
        <v>237</v>
      </c>
      <c r="E239" s="28">
        <v>100</v>
      </c>
      <c r="F239" s="32"/>
      <c r="G239" s="28">
        <f t="shared" si="8"/>
        <v>0</v>
      </c>
      <c r="H239" s="34" t="s">
        <v>238</v>
      </c>
    </row>
    <row r="240" ht="30" customHeight="1" spans="1:8">
      <c r="A240" s="45" t="s">
        <v>79</v>
      </c>
      <c r="B240" s="33" t="s">
        <v>264</v>
      </c>
      <c r="C240" s="31" t="s">
        <v>236</v>
      </c>
      <c r="D240" s="28" t="s">
        <v>237</v>
      </c>
      <c r="E240" s="28">
        <v>100</v>
      </c>
      <c r="F240" s="32"/>
      <c r="G240" s="28">
        <f t="shared" si="8"/>
        <v>0</v>
      </c>
      <c r="H240" s="34" t="s">
        <v>238</v>
      </c>
    </row>
    <row r="241" ht="30" customHeight="1" spans="1:8">
      <c r="A241" s="45" t="s">
        <v>82</v>
      </c>
      <c r="B241" s="33" t="s">
        <v>265</v>
      </c>
      <c r="C241" s="31" t="s">
        <v>266</v>
      </c>
      <c r="D241" s="28" t="s">
        <v>237</v>
      </c>
      <c r="E241" s="28">
        <v>100</v>
      </c>
      <c r="F241" s="32"/>
      <c r="G241" s="28">
        <f t="shared" si="8"/>
        <v>0</v>
      </c>
      <c r="H241" s="34" t="s">
        <v>238</v>
      </c>
    </row>
    <row r="242" ht="30" customHeight="1" spans="1:8">
      <c r="A242" s="45" t="s">
        <v>86</v>
      </c>
      <c r="B242" s="33" t="s">
        <v>267</v>
      </c>
      <c r="C242" s="41" t="s">
        <v>268</v>
      </c>
      <c r="D242" s="28" t="s">
        <v>237</v>
      </c>
      <c r="E242" s="28">
        <v>1000</v>
      </c>
      <c r="F242" s="32"/>
      <c r="G242" s="28">
        <f t="shared" si="8"/>
        <v>0</v>
      </c>
      <c r="H242" s="34" t="s">
        <v>238</v>
      </c>
    </row>
    <row r="243" ht="125" customHeight="1" spans="1:8">
      <c r="A243" s="45" t="s">
        <v>90</v>
      </c>
      <c r="B243" s="23" t="s">
        <v>91</v>
      </c>
      <c r="C243" s="24" t="s">
        <v>128</v>
      </c>
      <c r="D243" s="22" t="s">
        <v>66</v>
      </c>
      <c r="E243" s="28">
        <v>2</v>
      </c>
      <c r="F243" s="27"/>
      <c r="G243" s="28">
        <f t="shared" si="8"/>
        <v>0</v>
      </c>
      <c r="H243" s="34"/>
    </row>
    <row r="244" ht="26" customHeight="1" spans="1:8">
      <c r="A244" s="45" t="s">
        <v>93</v>
      </c>
      <c r="B244" s="23" t="s">
        <v>94</v>
      </c>
      <c r="C244" s="24" t="s">
        <v>95</v>
      </c>
      <c r="D244" s="28" t="s">
        <v>55</v>
      </c>
      <c r="E244" s="28">
        <v>1</v>
      </c>
      <c r="F244" s="32"/>
      <c r="G244" s="28">
        <f t="shared" si="8"/>
        <v>0</v>
      </c>
      <c r="H244" s="34"/>
    </row>
    <row r="245" ht="39" customHeight="1" spans="1:8">
      <c r="A245" s="22" t="s">
        <v>269</v>
      </c>
      <c r="B245" s="33" t="s">
        <v>270</v>
      </c>
      <c r="C245" s="31"/>
      <c r="D245" s="28"/>
      <c r="E245" s="28"/>
      <c r="F245" s="32"/>
      <c r="G245" s="28"/>
      <c r="H245" s="34"/>
    </row>
    <row r="246" ht="409" customHeight="1" spans="1:8">
      <c r="A246" s="45" t="s">
        <v>63</v>
      </c>
      <c r="B246" s="33" t="s">
        <v>122</v>
      </c>
      <c r="C246" s="36" t="s">
        <v>123</v>
      </c>
      <c r="D246" s="28" t="s">
        <v>242</v>
      </c>
      <c r="E246" s="28">
        <v>2</v>
      </c>
      <c r="F246" s="32"/>
      <c r="G246" s="28">
        <f t="shared" si="8"/>
        <v>0</v>
      </c>
      <c r="H246" s="34"/>
    </row>
    <row r="247" ht="326" customHeight="1" spans="1:8">
      <c r="A247" s="45" t="s">
        <v>67</v>
      </c>
      <c r="B247" s="33" t="s">
        <v>124</v>
      </c>
      <c r="C247" s="36" t="s">
        <v>125</v>
      </c>
      <c r="D247" s="28" t="s">
        <v>242</v>
      </c>
      <c r="E247" s="28">
        <v>4</v>
      </c>
      <c r="F247" s="32"/>
      <c r="G247" s="28">
        <f t="shared" si="8"/>
        <v>0</v>
      </c>
      <c r="H247" s="34"/>
    </row>
    <row r="248" ht="288" customHeight="1" spans="1:8">
      <c r="A248" s="45" t="s">
        <v>70</v>
      </c>
      <c r="B248" s="33" t="s">
        <v>64</v>
      </c>
      <c r="C248" s="31" t="s">
        <v>65</v>
      </c>
      <c r="D248" s="28" t="s">
        <v>66</v>
      </c>
      <c r="E248" s="28">
        <v>2</v>
      </c>
      <c r="F248" s="32"/>
      <c r="G248" s="28">
        <f t="shared" si="8"/>
        <v>0</v>
      </c>
      <c r="H248" s="34"/>
    </row>
    <row r="249" ht="288" customHeight="1" spans="1:8">
      <c r="A249" s="45" t="s">
        <v>73</v>
      </c>
      <c r="B249" s="33" t="s">
        <v>68</v>
      </c>
      <c r="C249" s="31" t="s">
        <v>69</v>
      </c>
      <c r="D249" s="28" t="s">
        <v>66</v>
      </c>
      <c r="E249" s="28">
        <v>4</v>
      </c>
      <c r="F249" s="32"/>
      <c r="G249" s="28">
        <f t="shared" si="8"/>
        <v>0</v>
      </c>
      <c r="H249" s="34"/>
    </row>
    <row r="250" ht="95" customHeight="1" spans="1:8">
      <c r="A250" s="45" t="s">
        <v>76</v>
      </c>
      <c r="B250" s="33" t="s">
        <v>77</v>
      </c>
      <c r="C250" s="31" t="s">
        <v>78</v>
      </c>
      <c r="D250" s="28" t="s">
        <v>66</v>
      </c>
      <c r="E250" s="28">
        <v>2</v>
      </c>
      <c r="F250" s="32"/>
      <c r="G250" s="28">
        <f t="shared" si="8"/>
        <v>0</v>
      </c>
      <c r="H250" s="34"/>
    </row>
    <row r="251" ht="156" customHeight="1" spans="1:8">
      <c r="A251" s="45" t="s">
        <v>79</v>
      </c>
      <c r="B251" s="33" t="s">
        <v>98</v>
      </c>
      <c r="C251" s="31" t="s">
        <v>99</v>
      </c>
      <c r="D251" s="28" t="s">
        <v>66</v>
      </c>
      <c r="E251" s="28">
        <v>2</v>
      </c>
      <c r="F251" s="32"/>
      <c r="G251" s="28">
        <f t="shared" si="8"/>
        <v>0</v>
      </c>
      <c r="H251" s="34"/>
    </row>
    <row r="252" ht="192" customHeight="1" spans="1:8">
      <c r="A252" s="45" t="s">
        <v>82</v>
      </c>
      <c r="B252" s="33" t="s">
        <v>74</v>
      </c>
      <c r="C252" s="24" t="s">
        <v>75</v>
      </c>
      <c r="D252" s="28" t="s">
        <v>242</v>
      </c>
      <c r="E252" s="28">
        <v>4</v>
      </c>
      <c r="F252" s="32"/>
      <c r="G252" s="28">
        <f t="shared" si="8"/>
        <v>0</v>
      </c>
      <c r="H252" s="34"/>
    </row>
    <row r="253" ht="256" customHeight="1" spans="1:8">
      <c r="A253" s="45" t="s">
        <v>86</v>
      </c>
      <c r="B253" s="33" t="s">
        <v>71</v>
      </c>
      <c r="C253" s="24" t="s">
        <v>72</v>
      </c>
      <c r="D253" s="28" t="s">
        <v>66</v>
      </c>
      <c r="E253" s="28">
        <v>3</v>
      </c>
      <c r="F253" s="32"/>
      <c r="G253" s="28">
        <f t="shared" si="8"/>
        <v>0</v>
      </c>
      <c r="H253" s="34"/>
    </row>
    <row r="254" ht="153" customHeight="1" spans="1:8">
      <c r="A254" s="45" t="s">
        <v>90</v>
      </c>
      <c r="B254" s="33" t="s">
        <v>271</v>
      </c>
      <c r="C254" s="31" t="s">
        <v>184</v>
      </c>
      <c r="D254" s="28" t="s">
        <v>66</v>
      </c>
      <c r="E254" s="28">
        <f>E253</f>
        <v>3</v>
      </c>
      <c r="F254" s="32"/>
      <c r="G254" s="28">
        <f t="shared" si="8"/>
        <v>0</v>
      </c>
      <c r="H254" s="34"/>
    </row>
    <row r="255" ht="237" customHeight="1" spans="1:8">
      <c r="A255" s="45" t="s">
        <v>93</v>
      </c>
      <c r="B255" s="33" t="s">
        <v>272</v>
      </c>
      <c r="C255" s="24" t="s">
        <v>273</v>
      </c>
      <c r="D255" s="28" t="s">
        <v>66</v>
      </c>
      <c r="E255" s="28">
        <v>3</v>
      </c>
      <c r="F255" s="32"/>
      <c r="G255" s="28">
        <f t="shared" si="8"/>
        <v>0</v>
      </c>
      <c r="H255" s="34"/>
    </row>
    <row r="256" ht="230" customHeight="1" spans="1:8">
      <c r="A256" s="45" t="s">
        <v>250</v>
      </c>
      <c r="B256" s="33" t="s">
        <v>274</v>
      </c>
      <c r="C256" s="31" t="s">
        <v>275</v>
      </c>
      <c r="D256" s="28" t="s">
        <v>66</v>
      </c>
      <c r="E256" s="28">
        <v>2</v>
      </c>
      <c r="F256" s="32"/>
      <c r="G256" s="28">
        <f t="shared" si="8"/>
        <v>0</v>
      </c>
      <c r="H256" s="34"/>
    </row>
    <row r="257" ht="262" customHeight="1" spans="1:8">
      <c r="A257" s="45" t="s">
        <v>276</v>
      </c>
      <c r="B257" s="46" t="s">
        <v>221</v>
      </c>
      <c r="C257" s="31" t="s">
        <v>277</v>
      </c>
      <c r="D257" s="23" t="s">
        <v>66</v>
      </c>
      <c r="E257" s="23">
        <v>1</v>
      </c>
      <c r="F257" s="47"/>
      <c r="G257" s="28">
        <f t="shared" si="8"/>
        <v>0</v>
      </c>
      <c r="H257" s="34"/>
    </row>
    <row r="258" ht="60" customHeight="1" spans="1:8">
      <c r="A258" s="45" t="s">
        <v>278</v>
      </c>
      <c r="B258" s="33" t="s">
        <v>142</v>
      </c>
      <c r="C258" s="36" t="s">
        <v>252</v>
      </c>
      <c r="D258" s="28" t="s">
        <v>66</v>
      </c>
      <c r="E258" s="28">
        <v>1</v>
      </c>
      <c r="F258" s="32"/>
      <c r="G258" s="28">
        <f t="shared" si="8"/>
        <v>0</v>
      </c>
      <c r="H258" s="34"/>
    </row>
    <row r="259" ht="149" customHeight="1" spans="1:8">
      <c r="A259" s="45" t="s">
        <v>279</v>
      </c>
      <c r="B259" s="35" t="s">
        <v>280</v>
      </c>
      <c r="C259" s="24" t="s">
        <v>281</v>
      </c>
      <c r="D259" s="42" t="s">
        <v>66</v>
      </c>
      <c r="E259" s="42">
        <v>1</v>
      </c>
      <c r="F259" s="48"/>
      <c r="G259" s="28">
        <f t="shared" si="8"/>
        <v>0</v>
      </c>
      <c r="H259" s="34"/>
    </row>
    <row r="260" ht="126" customHeight="1" spans="1:8">
      <c r="A260" s="45" t="s">
        <v>282</v>
      </c>
      <c r="B260" s="33" t="s">
        <v>83</v>
      </c>
      <c r="C260" s="31" t="s">
        <v>262</v>
      </c>
      <c r="D260" s="28" t="s">
        <v>85</v>
      </c>
      <c r="E260" s="28">
        <v>3</v>
      </c>
      <c r="F260" s="32"/>
      <c r="G260" s="28">
        <f t="shared" si="8"/>
        <v>0</v>
      </c>
      <c r="H260" s="34"/>
    </row>
    <row r="261" ht="314" customHeight="1" spans="1:8">
      <c r="A261" s="45" t="s">
        <v>283</v>
      </c>
      <c r="B261" s="33" t="s">
        <v>87</v>
      </c>
      <c r="C261" s="31" t="s">
        <v>88</v>
      </c>
      <c r="D261" s="28" t="s">
        <v>242</v>
      </c>
      <c r="E261" s="28">
        <v>3</v>
      </c>
      <c r="F261" s="32"/>
      <c r="G261" s="28">
        <f t="shared" ref="G261:G292" si="9">ROUND(E261*F261,2)</f>
        <v>0</v>
      </c>
      <c r="H261" s="34"/>
    </row>
    <row r="262" ht="28" customHeight="1" spans="1:8">
      <c r="A262" s="45" t="s">
        <v>284</v>
      </c>
      <c r="B262" s="38" t="s">
        <v>267</v>
      </c>
      <c r="C262" s="41" t="s">
        <v>268</v>
      </c>
      <c r="D262" s="39" t="s">
        <v>237</v>
      </c>
      <c r="E262" s="39">
        <v>1000</v>
      </c>
      <c r="F262" s="32"/>
      <c r="G262" s="28">
        <f t="shared" si="9"/>
        <v>0</v>
      </c>
      <c r="H262" s="34" t="s">
        <v>238</v>
      </c>
    </row>
    <row r="263" ht="28" customHeight="1" spans="1:8">
      <c r="A263" s="45" t="s">
        <v>285</v>
      </c>
      <c r="B263" s="38" t="s">
        <v>265</v>
      </c>
      <c r="C263" s="31" t="s">
        <v>266</v>
      </c>
      <c r="D263" s="39" t="s">
        <v>237</v>
      </c>
      <c r="E263" s="39">
        <v>500</v>
      </c>
      <c r="F263" s="32"/>
      <c r="G263" s="28">
        <f t="shared" si="9"/>
        <v>0</v>
      </c>
      <c r="H263" s="34" t="s">
        <v>238</v>
      </c>
    </row>
    <row r="264" ht="121" customHeight="1" spans="1:8">
      <c r="A264" s="45" t="s">
        <v>286</v>
      </c>
      <c r="B264" s="23" t="s">
        <v>91</v>
      </c>
      <c r="C264" s="24" t="s">
        <v>128</v>
      </c>
      <c r="D264" s="22" t="s">
        <v>66</v>
      </c>
      <c r="E264" s="28">
        <v>6</v>
      </c>
      <c r="F264" s="27"/>
      <c r="G264" s="28">
        <f t="shared" si="9"/>
        <v>0</v>
      </c>
      <c r="H264" s="34"/>
    </row>
    <row r="265" ht="27" customHeight="1" spans="1:8">
      <c r="A265" s="45" t="s">
        <v>287</v>
      </c>
      <c r="B265" s="23" t="s">
        <v>94</v>
      </c>
      <c r="C265" s="24" t="s">
        <v>95</v>
      </c>
      <c r="D265" s="28" t="s">
        <v>55</v>
      </c>
      <c r="E265" s="28">
        <v>1</v>
      </c>
      <c r="F265" s="32"/>
      <c r="G265" s="28">
        <f t="shared" si="9"/>
        <v>0</v>
      </c>
      <c r="H265" s="34"/>
    </row>
    <row r="266" ht="89" customHeight="1" spans="1:8">
      <c r="A266" s="22" t="s">
        <v>288</v>
      </c>
      <c r="B266" s="33" t="s">
        <v>289</v>
      </c>
      <c r="C266" s="31" t="s">
        <v>290</v>
      </c>
      <c r="D266" s="28" t="s">
        <v>89</v>
      </c>
      <c r="E266" s="28">
        <v>1</v>
      </c>
      <c r="F266" s="32"/>
      <c r="G266" s="28">
        <f t="shared" si="9"/>
        <v>0</v>
      </c>
      <c r="H266" s="34" t="s">
        <v>291</v>
      </c>
    </row>
    <row r="267" ht="40" customHeight="1" spans="1:8">
      <c r="A267" s="22" t="s">
        <v>292</v>
      </c>
      <c r="B267" s="23" t="s">
        <v>293</v>
      </c>
      <c r="C267" s="24"/>
      <c r="D267" s="22"/>
      <c r="E267" s="22"/>
      <c r="F267" s="27"/>
      <c r="G267" s="28"/>
      <c r="H267" s="29"/>
    </row>
    <row r="268" ht="40" customHeight="1" spans="1:8">
      <c r="A268" s="22" t="s">
        <v>294</v>
      </c>
      <c r="B268" s="33" t="s">
        <v>270</v>
      </c>
      <c r="C268" s="31"/>
      <c r="D268" s="28"/>
      <c r="E268" s="28"/>
      <c r="F268" s="32"/>
      <c r="G268" s="28"/>
      <c r="H268" s="34"/>
    </row>
    <row r="269" ht="404" customHeight="1" spans="1:8">
      <c r="A269" s="45" t="s">
        <v>63</v>
      </c>
      <c r="B269" s="33" t="s">
        <v>122</v>
      </c>
      <c r="C269" s="36" t="s">
        <v>123</v>
      </c>
      <c r="D269" s="28" t="s">
        <v>242</v>
      </c>
      <c r="E269" s="28">
        <v>2</v>
      </c>
      <c r="F269" s="32"/>
      <c r="G269" s="28">
        <f t="shared" si="9"/>
        <v>0</v>
      </c>
      <c r="H269" s="34"/>
    </row>
    <row r="270" ht="312" customHeight="1" spans="1:8">
      <c r="A270" s="45" t="s">
        <v>67</v>
      </c>
      <c r="B270" s="33" t="s">
        <v>124</v>
      </c>
      <c r="C270" s="36" t="s">
        <v>125</v>
      </c>
      <c r="D270" s="28" t="s">
        <v>242</v>
      </c>
      <c r="E270" s="28">
        <v>4</v>
      </c>
      <c r="F270" s="32"/>
      <c r="G270" s="28">
        <f t="shared" si="9"/>
        <v>0</v>
      </c>
      <c r="H270" s="34"/>
    </row>
    <row r="271" ht="276" customHeight="1" spans="1:8">
      <c r="A271" s="45" t="s">
        <v>70</v>
      </c>
      <c r="B271" s="33" t="s">
        <v>64</v>
      </c>
      <c r="C271" s="31" t="s">
        <v>65</v>
      </c>
      <c r="D271" s="28" t="s">
        <v>66</v>
      </c>
      <c r="E271" s="28">
        <v>2</v>
      </c>
      <c r="F271" s="32"/>
      <c r="G271" s="28">
        <f t="shared" si="9"/>
        <v>0</v>
      </c>
      <c r="H271" s="34"/>
    </row>
    <row r="272" ht="281" customHeight="1" spans="1:8">
      <c r="A272" s="45" t="s">
        <v>73</v>
      </c>
      <c r="B272" s="33" t="s">
        <v>68</v>
      </c>
      <c r="C272" s="31" t="s">
        <v>69</v>
      </c>
      <c r="D272" s="28" t="s">
        <v>66</v>
      </c>
      <c r="E272" s="28">
        <v>4</v>
      </c>
      <c r="F272" s="32"/>
      <c r="G272" s="28">
        <f t="shared" si="9"/>
        <v>0</v>
      </c>
      <c r="H272" s="34"/>
    </row>
    <row r="273" ht="82" customHeight="1" spans="1:8">
      <c r="A273" s="45" t="s">
        <v>76</v>
      </c>
      <c r="B273" s="33" t="s">
        <v>77</v>
      </c>
      <c r="C273" s="31" t="s">
        <v>78</v>
      </c>
      <c r="D273" s="28" t="s">
        <v>66</v>
      </c>
      <c r="E273" s="28">
        <v>2</v>
      </c>
      <c r="F273" s="32"/>
      <c r="G273" s="28">
        <f t="shared" si="9"/>
        <v>0</v>
      </c>
      <c r="H273" s="34"/>
    </row>
    <row r="274" ht="153" customHeight="1" spans="1:8">
      <c r="A274" s="45" t="s">
        <v>79</v>
      </c>
      <c r="B274" s="33" t="s">
        <v>98</v>
      </c>
      <c r="C274" s="31" t="s">
        <v>99</v>
      </c>
      <c r="D274" s="28" t="s">
        <v>66</v>
      </c>
      <c r="E274" s="28">
        <v>2</v>
      </c>
      <c r="F274" s="32"/>
      <c r="G274" s="28">
        <f t="shared" si="9"/>
        <v>0</v>
      </c>
      <c r="H274" s="34"/>
    </row>
    <row r="275" ht="171" customHeight="1" spans="1:8">
      <c r="A275" s="45" t="s">
        <v>82</v>
      </c>
      <c r="B275" s="33" t="s">
        <v>74</v>
      </c>
      <c r="C275" s="24" t="s">
        <v>75</v>
      </c>
      <c r="D275" s="28" t="s">
        <v>242</v>
      </c>
      <c r="E275" s="28">
        <v>4</v>
      </c>
      <c r="F275" s="32"/>
      <c r="G275" s="28">
        <f t="shared" si="9"/>
        <v>0</v>
      </c>
      <c r="H275" s="34"/>
    </row>
    <row r="276" ht="253" customHeight="1" spans="1:8">
      <c r="A276" s="45" t="s">
        <v>86</v>
      </c>
      <c r="B276" s="33" t="s">
        <v>71</v>
      </c>
      <c r="C276" s="24" t="s">
        <v>72</v>
      </c>
      <c r="D276" s="28" t="s">
        <v>66</v>
      </c>
      <c r="E276" s="28">
        <v>2</v>
      </c>
      <c r="F276" s="32"/>
      <c r="G276" s="28">
        <f t="shared" si="9"/>
        <v>0</v>
      </c>
      <c r="H276" s="34"/>
    </row>
    <row r="277" ht="142" customHeight="1" spans="1:8">
      <c r="A277" s="45" t="s">
        <v>90</v>
      </c>
      <c r="B277" s="33" t="s">
        <v>271</v>
      </c>
      <c r="C277" s="31" t="s">
        <v>184</v>
      </c>
      <c r="D277" s="28" t="s">
        <v>66</v>
      </c>
      <c r="E277" s="28">
        <f>E276</f>
        <v>2</v>
      </c>
      <c r="F277" s="32"/>
      <c r="G277" s="28">
        <f t="shared" si="9"/>
        <v>0</v>
      </c>
      <c r="H277" s="34"/>
    </row>
    <row r="278" ht="235" customHeight="1" spans="1:8">
      <c r="A278" s="45" t="s">
        <v>93</v>
      </c>
      <c r="B278" s="33" t="s">
        <v>272</v>
      </c>
      <c r="C278" s="24" t="s">
        <v>273</v>
      </c>
      <c r="D278" s="28" t="s">
        <v>66</v>
      </c>
      <c r="E278" s="28">
        <v>2</v>
      </c>
      <c r="F278" s="32"/>
      <c r="G278" s="28">
        <f t="shared" si="9"/>
        <v>0</v>
      </c>
      <c r="H278" s="34"/>
    </row>
    <row r="279" ht="228" customHeight="1" spans="1:8">
      <c r="A279" s="45" t="s">
        <v>250</v>
      </c>
      <c r="B279" s="33" t="s">
        <v>274</v>
      </c>
      <c r="C279" s="31" t="s">
        <v>275</v>
      </c>
      <c r="D279" s="28" t="s">
        <v>66</v>
      </c>
      <c r="E279" s="28">
        <v>2</v>
      </c>
      <c r="F279" s="32"/>
      <c r="G279" s="28">
        <f t="shared" si="9"/>
        <v>0</v>
      </c>
      <c r="H279" s="34"/>
    </row>
    <row r="280" ht="254" customHeight="1" spans="1:8">
      <c r="A280" s="45" t="s">
        <v>276</v>
      </c>
      <c r="B280" s="46" t="s">
        <v>221</v>
      </c>
      <c r="C280" s="31" t="s">
        <v>277</v>
      </c>
      <c r="D280" s="23" t="s">
        <v>66</v>
      </c>
      <c r="E280" s="23">
        <v>1</v>
      </c>
      <c r="F280" s="47"/>
      <c r="G280" s="28">
        <f t="shared" si="9"/>
        <v>0</v>
      </c>
      <c r="H280" s="34"/>
    </row>
    <row r="281" ht="56" customHeight="1" spans="1:8">
      <c r="A281" s="45" t="s">
        <v>278</v>
      </c>
      <c r="B281" s="33" t="s">
        <v>142</v>
      </c>
      <c r="C281" s="36" t="s">
        <v>252</v>
      </c>
      <c r="D281" s="28" t="s">
        <v>66</v>
      </c>
      <c r="E281" s="28">
        <v>1</v>
      </c>
      <c r="F281" s="32"/>
      <c r="G281" s="28">
        <f t="shared" si="9"/>
        <v>0</v>
      </c>
      <c r="H281" s="34"/>
    </row>
    <row r="282" ht="120" customHeight="1" spans="1:8">
      <c r="A282" s="45" t="s">
        <v>279</v>
      </c>
      <c r="B282" s="33" t="s">
        <v>83</v>
      </c>
      <c r="C282" s="31" t="s">
        <v>262</v>
      </c>
      <c r="D282" s="28" t="s">
        <v>85</v>
      </c>
      <c r="E282" s="28">
        <v>2</v>
      </c>
      <c r="F282" s="32"/>
      <c r="G282" s="28">
        <f t="shared" si="9"/>
        <v>0</v>
      </c>
      <c r="H282" s="34"/>
    </row>
    <row r="283" ht="319" customHeight="1" spans="1:8">
      <c r="A283" s="45" t="s">
        <v>282</v>
      </c>
      <c r="B283" s="33" t="s">
        <v>87</v>
      </c>
      <c r="C283" s="31" t="s">
        <v>88</v>
      </c>
      <c r="D283" s="28" t="s">
        <v>242</v>
      </c>
      <c r="E283" s="28">
        <v>2</v>
      </c>
      <c r="F283" s="32"/>
      <c r="G283" s="28">
        <f t="shared" si="9"/>
        <v>0</v>
      </c>
      <c r="H283" s="34"/>
    </row>
    <row r="284" ht="28" customHeight="1" spans="1:8">
      <c r="A284" s="45" t="s">
        <v>283</v>
      </c>
      <c r="B284" s="38" t="s">
        <v>267</v>
      </c>
      <c r="C284" s="41" t="s">
        <v>268</v>
      </c>
      <c r="D284" s="39" t="s">
        <v>237</v>
      </c>
      <c r="E284" s="39">
        <v>1000</v>
      </c>
      <c r="F284" s="32"/>
      <c r="G284" s="28">
        <f t="shared" si="9"/>
        <v>0</v>
      </c>
      <c r="H284" s="34" t="s">
        <v>238</v>
      </c>
    </row>
    <row r="285" ht="28" customHeight="1" spans="1:8">
      <c r="A285" s="45" t="s">
        <v>284</v>
      </c>
      <c r="B285" s="38" t="s">
        <v>265</v>
      </c>
      <c r="C285" s="41"/>
      <c r="D285" s="39" t="s">
        <v>237</v>
      </c>
      <c r="E285" s="39">
        <v>500</v>
      </c>
      <c r="F285" s="32"/>
      <c r="G285" s="28">
        <f t="shared" si="9"/>
        <v>0</v>
      </c>
      <c r="H285" s="34" t="s">
        <v>238</v>
      </c>
    </row>
    <row r="286" ht="118" customHeight="1" spans="1:8">
      <c r="A286" s="45" t="s">
        <v>285</v>
      </c>
      <c r="B286" s="23" t="s">
        <v>91</v>
      </c>
      <c r="C286" s="24" t="s">
        <v>128</v>
      </c>
      <c r="D286" s="22" t="s">
        <v>66</v>
      </c>
      <c r="E286" s="28">
        <v>4</v>
      </c>
      <c r="F286" s="27"/>
      <c r="G286" s="28">
        <f t="shared" si="9"/>
        <v>0</v>
      </c>
      <c r="H286" s="34"/>
    </row>
    <row r="287" ht="30" customHeight="1" spans="1:8">
      <c r="A287" s="45" t="s">
        <v>286</v>
      </c>
      <c r="B287" s="23" t="s">
        <v>94</v>
      </c>
      <c r="C287" s="24" t="s">
        <v>95</v>
      </c>
      <c r="D287" s="28" t="s">
        <v>55</v>
      </c>
      <c r="E287" s="28">
        <v>1</v>
      </c>
      <c r="F287" s="32"/>
      <c r="G287" s="28">
        <f t="shared" si="9"/>
        <v>0</v>
      </c>
      <c r="H287" s="34"/>
    </row>
    <row r="288" ht="30" customHeight="1" spans="1:8">
      <c r="A288" s="22">
        <v>2.3</v>
      </c>
      <c r="B288" s="23" t="s">
        <v>295</v>
      </c>
      <c r="C288" s="24"/>
      <c r="D288" s="22"/>
      <c r="E288" s="22"/>
      <c r="F288" s="27"/>
      <c r="G288" s="28"/>
      <c r="H288" s="29"/>
    </row>
    <row r="289" ht="30" customHeight="1" spans="1:8">
      <c r="A289" s="22" t="s">
        <v>296</v>
      </c>
      <c r="B289" s="23" t="s">
        <v>297</v>
      </c>
      <c r="C289" s="24"/>
      <c r="D289" s="22"/>
      <c r="E289" s="22"/>
      <c r="F289" s="27"/>
      <c r="G289" s="28"/>
      <c r="H289" s="29"/>
    </row>
    <row r="290" ht="131" customHeight="1" spans="1:8">
      <c r="A290" s="25" t="s">
        <v>298</v>
      </c>
      <c r="B290" s="35" t="s">
        <v>299</v>
      </c>
      <c r="C290" s="24" t="s">
        <v>300</v>
      </c>
      <c r="D290" s="42" t="s">
        <v>66</v>
      </c>
      <c r="E290" s="26">
        <v>1</v>
      </c>
      <c r="F290" s="48"/>
      <c r="G290" s="28">
        <f t="shared" si="9"/>
        <v>0</v>
      </c>
      <c r="H290" s="49" t="s">
        <v>301</v>
      </c>
    </row>
    <row r="291" ht="283" customHeight="1" spans="1:8">
      <c r="A291" s="25" t="s">
        <v>302</v>
      </c>
      <c r="B291" s="23" t="s">
        <v>303</v>
      </c>
      <c r="C291" s="24" t="s">
        <v>304</v>
      </c>
      <c r="D291" s="22" t="s">
        <v>66</v>
      </c>
      <c r="E291" s="22">
        <v>5</v>
      </c>
      <c r="F291" s="32"/>
      <c r="G291" s="28">
        <f t="shared" si="9"/>
        <v>0</v>
      </c>
      <c r="H291" s="29" t="s">
        <v>305</v>
      </c>
    </row>
    <row r="292" ht="98" customHeight="1" spans="1:8">
      <c r="A292" s="25" t="s">
        <v>306</v>
      </c>
      <c r="B292" s="33" t="s">
        <v>307</v>
      </c>
      <c r="C292" s="31" t="s">
        <v>308</v>
      </c>
      <c r="D292" s="28" t="s">
        <v>309</v>
      </c>
      <c r="E292" s="28">
        <v>350</v>
      </c>
      <c r="F292" s="32"/>
      <c r="G292" s="28">
        <f t="shared" si="9"/>
        <v>0</v>
      </c>
      <c r="H292" s="29" t="s">
        <v>310</v>
      </c>
    </row>
    <row r="293" ht="88" customHeight="1" spans="1:8">
      <c r="A293" s="25" t="s">
        <v>311</v>
      </c>
      <c r="B293" s="33" t="s">
        <v>312</v>
      </c>
      <c r="C293" s="31" t="s">
        <v>313</v>
      </c>
      <c r="D293" s="25" t="s">
        <v>89</v>
      </c>
      <c r="E293" s="28">
        <v>21</v>
      </c>
      <c r="F293" s="27"/>
      <c r="G293" s="28">
        <f t="shared" ref="G293:G311" si="10">ROUND(E293*F293,2)</f>
        <v>0</v>
      </c>
      <c r="H293" s="29" t="s">
        <v>314</v>
      </c>
    </row>
    <row r="294" ht="31" customHeight="1" spans="1:8">
      <c r="A294" s="22" t="s">
        <v>315</v>
      </c>
      <c r="B294" s="23" t="s">
        <v>316</v>
      </c>
      <c r="C294" s="24"/>
      <c r="D294" s="22"/>
      <c r="E294" s="22"/>
      <c r="F294" s="27"/>
      <c r="G294" s="28"/>
      <c r="H294" s="29"/>
    </row>
    <row r="295" ht="73" customHeight="1" spans="1:8">
      <c r="A295" s="22" t="s">
        <v>317</v>
      </c>
      <c r="B295" s="33" t="s">
        <v>318</v>
      </c>
      <c r="C295" s="31" t="s">
        <v>319</v>
      </c>
      <c r="D295" s="28"/>
      <c r="E295" s="28"/>
      <c r="F295" s="32"/>
      <c r="G295" s="28"/>
      <c r="H295" s="34" t="s">
        <v>320</v>
      </c>
    </row>
    <row r="296" ht="191" customHeight="1" spans="1:8">
      <c r="A296" s="28" t="s">
        <v>63</v>
      </c>
      <c r="B296" s="33" t="s">
        <v>321</v>
      </c>
      <c r="C296" s="24" t="s">
        <v>322</v>
      </c>
      <c r="D296" s="28" t="s">
        <v>66</v>
      </c>
      <c r="E296" s="28">
        <v>2</v>
      </c>
      <c r="F296" s="32"/>
      <c r="G296" s="28">
        <f t="shared" si="10"/>
        <v>0</v>
      </c>
      <c r="H296" s="29" t="s">
        <v>323</v>
      </c>
    </row>
    <row r="297" ht="105" customHeight="1" spans="1:8">
      <c r="A297" s="28" t="s">
        <v>67</v>
      </c>
      <c r="B297" s="33" t="s">
        <v>324</v>
      </c>
      <c r="C297" s="24" t="s">
        <v>325</v>
      </c>
      <c r="D297" s="22" t="s">
        <v>66</v>
      </c>
      <c r="E297" s="22">
        <v>3</v>
      </c>
      <c r="F297" s="27"/>
      <c r="G297" s="28">
        <f t="shared" si="10"/>
        <v>0</v>
      </c>
      <c r="H297" s="29" t="s">
        <v>326</v>
      </c>
    </row>
    <row r="298" ht="259" customHeight="1" spans="1:8">
      <c r="A298" s="28" t="s">
        <v>70</v>
      </c>
      <c r="B298" s="33" t="s">
        <v>327</v>
      </c>
      <c r="C298" s="31" t="s">
        <v>328</v>
      </c>
      <c r="D298" s="28" t="s">
        <v>66</v>
      </c>
      <c r="E298" s="28">
        <v>16</v>
      </c>
      <c r="F298" s="32"/>
      <c r="G298" s="28">
        <f t="shared" si="10"/>
        <v>0</v>
      </c>
      <c r="H298" s="29" t="s">
        <v>329</v>
      </c>
    </row>
    <row r="299" ht="30" customHeight="1" spans="1:8">
      <c r="A299" s="22" t="s">
        <v>330</v>
      </c>
      <c r="B299" s="33" t="s">
        <v>331</v>
      </c>
      <c r="C299" s="36" t="s">
        <v>332</v>
      </c>
      <c r="D299" s="50"/>
      <c r="E299" s="50"/>
      <c r="F299" s="51"/>
      <c r="G299" s="28"/>
      <c r="H299" s="23"/>
    </row>
    <row r="300" ht="193" customHeight="1" spans="1:8">
      <c r="A300" s="28" t="s">
        <v>63</v>
      </c>
      <c r="B300" s="23" t="s">
        <v>333</v>
      </c>
      <c r="C300" s="31" t="s">
        <v>334</v>
      </c>
      <c r="D300" s="28" t="s">
        <v>66</v>
      </c>
      <c r="E300" s="28">
        <v>3</v>
      </c>
      <c r="F300" s="32"/>
      <c r="G300" s="28">
        <f t="shared" si="10"/>
        <v>0</v>
      </c>
      <c r="H300" s="29" t="s">
        <v>326</v>
      </c>
    </row>
    <row r="301" ht="144" customHeight="1" spans="1:8">
      <c r="A301" s="28" t="s">
        <v>67</v>
      </c>
      <c r="B301" s="33" t="s">
        <v>335</v>
      </c>
      <c r="C301" s="31" t="s">
        <v>336</v>
      </c>
      <c r="D301" s="28" t="s">
        <v>66</v>
      </c>
      <c r="E301" s="28">
        <v>4</v>
      </c>
      <c r="F301" s="32"/>
      <c r="G301" s="28">
        <f t="shared" si="10"/>
        <v>0</v>
      </c>
      <c r="H301" s="29" t="s">
        <v>337</v>
      </c>
    </row>
    <row r="302" ht="76" customHeight="1" spans="1:8">
      <c r="A302" s="28" t="s">
        <v>70</v>
      </c>
      <c r="B302" s="33" t="s">
        <v>338</v>
      </c>
      <c r="C302" s="31" t="s">
        <v>339</v>
      </c>
      <c r="D302" s="28" t="s">
        <v>66</v>
      </c>
      <c r="E302" s="28">
        <v>8</v>
      </c>
      <c r="F302" s="32"/>
      <c r="G302" s="28">
        <f t="shared" si="10"/>
        <v>0</v>
      </c>
      <c r="H302" s="29" t="s">
        <v>340</v>
      </c>
    </row>
    <row r="303" ht="39" customHeight="1" spans="1:8">
      <c r="A303" s="22" t="s">
        <v>341</v>
      </c>
      <c r="B303" s="23" t="s">
        <v>342</v>
      </c>
      <c r="C303" s="24"/>
      <c r="D303" s="22"/>
      <c r="E303" s="22"/>
      <c r="F303" s="27"/>
      <c r="G303" s="28"/>
      <c r="H303" s="29"/>
    </row>
    <row r="304" ht="171" customHeight="1" spans="1:8">
      <c r="A304" s="22" t="s">
        <v>343</v>
      </c>
      <c r="B304" s="23" t="s">
        <v>344</v>
      </c>
      <c r="C304" s="31" t="s">
        <v>345</v>
      </c>
      <c r="D304" s="22" t="s">
        <v>66</v>
      </c>
      <c r="E304" s="22">
        <v>2</v>
      </c>
      <c r="F304" s="27"/>
      <c r="G304" s="28">
        <f t="shared" si="10"/>
        <v>0</v>
      </c>
      <c r="H304" s="29" t="s">
        <v>346</v>
      </c>
    </row>
    <row r="305" ht="108" customHeight="1" spans="1:8">
      <c r="A305" s="22" t="s">
        <v>347</v>
      </c>
      <c r="B305" s="23" t="s">
        <v>348</v>
      </c>
      <c r="C305" s="31" t="s">
        <v>349</v>
      </c>
      <c r="D305" s="22" t="s">
        <v>66</v>
      </c>
      <c r="E305" s="22">
        <v>1</v>
      </c>
      <c r="F305" s="27"/>
      <c r="G305" s="28">
        <f t="shared" si="10"/>
        <v>0</v>
      </c>
      <c r="H305" s="29" t="s">
        <v>350</v>
      </c>
    </row>
    <row r="306" ht="79" customHeight="1" spans="1:8">
      <c r="A306" s="22" t="s">
        <v>351</v>
      </c>
      <c r="B306" s="33" t="s">
        <v>352</v>
      </c>
      <c r="C306" s="31" t="s">
        <v>353</v>
      </c>
      <c r="D306" s="28" t="s">
        <v>66</v>
      </c>
      <c r="E306" s="28">
        <v>3</v>
      </c>
      <c r="F306" s="32"/>
      <c r="G306" s="28">
        <f t="shared" si="10"/>
        <v>0</v>
      </c>
      <c r="H306" s="29" t="s">
        <v>326</v>
      </c>
    </row>
    <row r="307" ht="191" customHeight="1" spans="1:8">
      <c r="A307" s="22" t="s">
        <v>354</v>
      </c>
      <c r="B307" s="23" t="s">
        <v>333</v>
      </c>
      <c r="C307" s="31" t="s">
        <v>334</v>
      </c>
      <c r="D307" s="28" t="s">
        <v>66</v>
      </c>
      <c r="E307" s="28">
        <v>2</v>
      </c>
      <c r="F307" s="32"/>
      <c r="G307" s="28">
        <f t="shared" si="10"/>
        <v>0</v>
      </c>
      <c r="H307" s="29" t="s">
        <v>355</v>
      </c>
    </row>
    <row r="308" ht="93" customHeight="1" spans="1:8">
      <c r="A308" s="22" t="s">
        <v>356</v>
      </c>
      <c r="B308" s="23" t="s">
        <v>357</v>
      </c>
      <c r="C308" s="31" t="s">
        <v>358</v>
      </c>
      <c r="D308" s="39" t="s">
        <v>89</v>
      </c>
      <c r="E308" s="28">
        <v>2</v>
      </c>
      <c r="F308" s="32"/>
      <c r="G308" s="28">
        <f t="shared" si="10"/>
        <v>0</v>
      </c>
      <c r="H308" s="29" t="s">
        <v>359</v>
      </c>
    </row>
    <row r="309" ht="24" customHeight="1" spans="1:8">
      <c r="A309" s="16" t="s">
        <v>26</v>
      </c>
      <c r="B309" s="17" t="s">
        <v>27</v>
      </c>
      <c r="C309" s="20"/>
      <c r="D309" s="16"/>
      <c r="E309" s="16"/>
      <c r="F309" s="30"/>
      <c r="G309" s="28"/>
      <c r="H309" s="19"/>
    </row>
    <row r="310" ht="24" customHeight="1" spans="1:8">
      <c r="A310" s="22">
        <v>3.1</v>
      </c>
      <c r="B310" s="23" t="s">
        <v>360</v>
      </c>
      <c r="C310" s="24"/>
      <c r="D310" s="22" t="s">
        <v>55</v>
      </c>
      <c r="E310" s="22">
        <v>1</v>
      </c>
      <c r="F310" s="32"/>
      <c r="G310" s="28">
        <f t="shared" si="10"/>
        <v>0</v>
      </c>
      <c r="H310" s="29"/>
    </row>
    <row r="311" ht="27" customHeight="1" spans="1:8">
      <c r="A311" s="22">
        <v>3.2</v>
      </c>
      <c r="B311" s="23" t="s">
        <v>361</v>
      </c>
      <c r="C311" s="24"/>
      <c r="D311" s="22" t="s">
        <v>55</v>
      </c>
      <c r="E311" s="22">
        <v>1</v>
      </c>
      <c r="F311" s="32"/>
      <c r="G311" s="28">
        <f t="shared" si="10"/>
        <v>0</v>
      </c>
      <c r="H311" s="29"/>
    </row>
    <row r="312" ht="26" customHeight="1" spans="1:8">
      <c r="A312" s="52" t="s">
        <v>362</v>
      </c>
      <c r="B312" s="53"/>
      <c r="C312" s="54"/>
      <c r="D312" s="53"/>
      <c r="E312" s="55"/>
      <c r="F312" s="56">
        <f>ROUND(SUM(G7:G311),0)</f>
        <v>0</v>
      </c>
      <c r="G312" s="57"/>
      <c r="H312" s="19" t="s">
        <v>363</v>
      </c>
    </row>
  </sheetData>
  <sheetProtection algorithmName="SHA-512" hashValue="JBxlj3RTWshb8qhpNNvMSrIq+FxYPduMYFSA7klHZOxWzRGDokdpD9+CDSgsx4kcjqFNB0nU1unmGAjalAMbPw==" saltValue="Hsu/fN7CRvsPnAcqluKCrg==" spinCount="100000" sheet="1" formatCells="0" formatColumns="0" formatRows="0" objects="1"/>
  <mergeCells count="4">
    <mergeCell ref="A1:H1"/>
    <mergeCell ref="A2:H2"/>
    <mergeCell ref="A312:E312"/>
    <mergeCell ref="F312:G312"/>
  </mergeCells>
  <printOptions horizontalCentered="1"/>
  <pageMargins left="0.393055555555556" right="0.314583333333333" top="0.472222222222222" bottom="0.393055555555556" header="0.594444444444444" footer="0"/>
  <pageSetup paperSize="9" orientation="landscape" horizontalDpi="6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封面</vt:lpstr>
      <vt:lpstr>说明</vt:lpstr>
      <vt:lpstr>汇总</vt:lpstr>
      <vt:lpstr>工程量清单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null</dc:creator>
  <cp:lastModifiedBy>信笔</cp:lastModifiedBy>
  <dcterms:created xsi:type="dcterms:W3CDTF">2024-12-02T05:49:00Z</dcterms:created>
  <dcterms:modified xsi:type="dcterms:W3CDTF">2025-11-13T10:53:40Z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97644A861B6B46D890E4D66D38B439AD_12</vt:lpwstr>
  </property>
  <property fmtid="{D5CDD505-2E9C-101B-9397-08002B2CF9AE}" pid="3" name="KSOProductBuildVer">
    <vt:lpwstr>2052-12.1.0.23542</vt:lpwstr>
  </property>
</Properties>
</file>