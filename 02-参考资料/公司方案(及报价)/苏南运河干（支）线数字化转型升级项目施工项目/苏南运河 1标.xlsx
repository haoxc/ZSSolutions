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 activeTab="3"/>
  </bookViews>
  <sheets>
    <sheet name="封面" sheetId="1" r:id="rId1"/>
    <sheet name="说明" sheetId="2" r:id="rId2"/>
    <sheet name="汇总表" sheetId="3" r:id="rId3"/>
    <sheet name="工程量清单" sheetId="4" r:id="rId4"/>
  </sheets>
  <definedNames>
    <definedName name="_xlnm._FilterDatabase" localSheetId="3" hidden="1">工程量清单!$A$3:$H$407</definedName>
    <definedName name="_xlnm.Print_Area" localSheetId="2">汇总表!$A$1:$C$20</definedName>
    <definedName name="_xlnm.Print_Area" localSheetId="3">工程量清单!$A$1:$H$406</definedName>
    <definedName name="_xlnm.Print_Titles" localSheetId="3">工程量清单!$1:$3</definedName>
    <definedName name="_xlnm.Print_Area" localSheetId="0">封面!$A$1:$D$8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<sst xmlns="http://schemas.openxmlformats.org/spreadsheetml/2006/main" count="1274" uniqueCount="570">
  <si>
    <t>苏南运河干（支）线数字化转型升级项目施工项目（SZH-SNSG1标段）</t>
  </si>
  <si>
    <t>工程量清单</t>
  </si>
  <si>
    <t>招 标 人：</t>
  </si>
  <si>
    <t>江苏省交通运输厅港航事业发展中心</t>
  </si>
  <si>
    <t>投 标 人：</t>
  </si>
  <si>
    <t>（电子签章）</t>
  </si>
  <si>
    <t xml:space="preserve">   编制时间：</t>
  </si>
  <si>
    <t>工程量清单说明</t>
  </si>
  <si>
    <t>项目名称：苏南运河干（支）线数字化转型升级项目施工项目（SZH-SNSG1标段）</t>
  </si>
  <si>
    <t xml:space="preserve">    1.本工程量清单应与招标文件中的投标人须知、通用合同条款、专用合同条款、工程量清单计量规则、技术标准和要求及图纸等一起阅读和理解。</t>
  </si>
  <si>
    <t xml:space="preserve">    2.工程量清单中所列工程量的变动，丝毫不会降低或影响合同条款的效力，也不免除承包人按规定的标准进行施工和修复缺陷的责任。</t>
  </si>
  <si>
    <t xml:space="preserve">    3.图纸中所列的工程数量表及数量汇总表仅是提供资料，不是工程量清单的外延。当图纸与工程量清单所列数量不一致时，以工程量清单所列数量作为报价的依据。</t>
  </si>
  <si>
    <t xml:space="preserve">    4.承包人负责与供电部门协调沟通，负责点位开户挂电表，含供电线路、相关接入设备、设备安装调试、架空或埋地线路等工作量，至交工验收后5年内的合同范围内所有设备系统运行等所发生的电费由承包人承担，上述费用均含在相关细目报价中，不单独计量与支付。</t>
  </si>
  <si>
    <t xml:space="preserve">    5.承包人负责网络的接入工作，含通信光缆、相关接入设备、设备安装调试、架空或埋地线路等工作量，至交工验收后5年内的网络租赁和使用费应由承包人承担，具体数量及要求详见设计文件，上述费用均含在相关细目报价中，不单独计量与支付。</t>
  </si>
  <si>
    <t xml:space="preserve">    6.杆件（立杆）费用中包含点位所需设备与杆件运输、杆件施工、辅材配件采购、线缆线路敷设、设备及配件安装、绿化破坏补偿恢复等全部费用。</t>
  </si>
  <si>
    <t xml:space="preserve">    7.对于工程量清单中所有为完成相关设备或系统安装和调试所需的、但未在工程量清单中列出的辅材(包括设备安装附件、跳纤、尾纤、插头、接头等)，费用包含在清单单价或总价中。</t>
  </si>
  <si>
    <t xml:space="preserve">    8.工程量清单中各项金额均以人民币（元）结算。</t>
  </si>
  <si>
    <t>汇总表</t>
  </si>
  <si>
    <t>序号</t>
  </si>
  <si>
    <t>项目名称</t>
  </si>
  <si>
    <t>金额（元）</t>
  </si>
  <si>
    <t>一</t>
  </si>
  <si>
    <t>应用软件建设费</t>
  </si>
  <si>
    <t>二</t>
  </si>
  <si>
    <t>数据工程费</t>
  </si>
  <si>
    <t>三</t>
  </si>
  <si>
    <t>设备及购置安装费</t>
  </si>
  <si>
    <t>四</t>
  </si>
  <si>
    <t>工程其他费用</t>
  </si>
  <si>
    <t>五</t>
  </si>
  <si>
    <t>清单小计</t>
  </si>
  <si>
    <t>六</t>
  </si>
  <si>
    <t>暂列金（3%）</t>
  </si>
  <si>
    <t>七</t>
  </si>
  <si>
    <t>安全生产费（1.5%）</t>
  </si>
  <si>
    <t>八</t>
  </si>
  <si>
    <t>工伤保险费（3‰）</t>
  </si>
  <si>
    <t>总计</t>
  </si>
  <si>
    <t>投标人：</t>
  </si>
  <si>
    <t>法定代表人或其授权代理人：</t>
  </si>
  <si>
    <t>日期：</t>
  </si>
  <si>
    <t>主要建设内容</t>
  </si>
  <si>
    <t>单位</t>
  </si>
  <si>
    <t>数量</t>
  </si>
  <si>
    <t>单价
（元）</t>
  </si>
  <si>
    <t>合价
（元）</t>
  </si>
  <si>
    <t>备注</t>
  </si>
  <si>
    <t>智慧船闸</t>
  </si>
  <si>
    <t>1.1.1</t>
  </si>
  <si>
    <t>航闸数字孪生系统</t>
  </si>
  <si>
    <t>杨家湾船闸、下坝二号船闸</t>
  </si>
  <si>
    <t>1.1.1.1</t>
  </si>
  <si>
    <t>数字孪生引擎</t>
  </si>
  <si>
    <t>WebGL引擎及二次开发</t>
  </si>
  <si>
    <t>详见施工图设计方案</t>
  </si>
  <si>
    <t>项</t>
  </si>
  <si>
    <t>高渲染引擎及二次开发</t>
  </si>
  <si>
    <t>1.1.1.2</t>
  </si>
  <si>
    <t>数字孪生门户</t>
  </si>
  <si>
    <t>用户登录</t>
  </si>
  <si>
    <t>门户首页</t>
  </si>
  <si>
    <t>1.1.1.3</t>
  </si>
  <si>
    <t>船闸三维可视化</t>
  </si>
  <si>
    <t>1.1.1.3.1</t>
  </si>
  <si>
    <t>多图层智能叠加</t>
  </si>
  <si>
    <t>三维电子地图图层</t>
  </si>
  <si>
    <t>电子航道图图层</t>
  </si>
  <si>
    <t>三维/航道图叠加图层</t>
  </si>
  <si>
    <t>1.1.1.3.2</t>
  </si>
  <si>
    <t>多视角智能切换</t>
  </si>
  <si>
    <t>1.1.1.3.3</t>
  </si>
  <si>
    <t>基础设施查询定位</t>
  </si>
  <si>
    <t>树状目录查询</t>
  </si>
  <si>
    <t>属性检索查询</t>
  </si>
  <si>
    <t>1.1.1.3.4</t>
  </si>
  <si>
    <t>船闸设施可视</t>
  </si>
  <si>
    <t>闸室可视</t>
  </si>
  <si>
    <t>闸室水下可视</t>
  </si>
  <si>
    <t>1.1.1.3.5</t>
  </si>
  <si>
    <t>关联航道设施可视</t>
  </si>
  <si>
    <t>航道</t>
  </si>
  <si>
    <t>护岸</t>
  </si>
  <si>
    <t>水下地形</t>
  </si>
  <si>
    <t>桥梁</t>
  </si>
  <si>
    <t>感知设施</t>
  </si>
  <si>
    <t>停泊区</t>
  </si>
  <si>
    <t>1.1.1.3.6</t>
  </si>
  <si>
    <t>船舶可视</t>
  </si>
  <si>
    <t>类型匹配</t>
  </si>
  <si>
    <t>尺寸匹配</t>
  </si>
  <si>
    <t>1.1.1.4</t>
  </si>
  <si>
    <t>船闸运营智能监测</t>
  </si>
  <si>
    <t>1.1.1.4.1</t>
  </si>
  <si>
    <t>视频汇聚联动</t>
  </si>
  <si>
    <t>视频自动匹配、联动、切换</t>
  </si>
  <si>
    <t>无人机视频对接</t>
  </si>
  <si>
    <t>闸室全景视频展示、标注</t>
  </si>
  <si>
    <t>1.1.1.4.2</t>
  </si>
  <si>
    <t>船闸智能监测</t>
  </si>
  <si>
    <t>设备预警提醒信息接入、展示</t>
  </si>
  <si>
    <t>设备预警配置</t>
  </si>
  <si>
    <t>设备预警分类</t>
  </si>
  <si>
    <t>1.1.1.4.3</t>
  </si>
  <si>
    <t>调度过闸监测</t>
  </si>
  <si>
    <t>船舶过闸预警提醒信息接入</t>
  </si>
  <si>
    <t>船舶过闸预警提醒信息动态展示</t>
  </si>
  <si>
    <t>1.1.1.4.4</t>
  </si>
  <si>
    <t>在航船舶监测</t>
  </si>
  <si>
    <t>船舶精准感知</t>
  </si>
  <si>
    <t>船舶动态显示</t>
  </si>
  <si>
    <t>船舶基础信息</t>
  </si>
  <si>
    <t>1.1.1.4.5</t>
  </si>
  <si>
    <t>船闸上下游监测</t>
  </si>
  <si>
    <t>船舶航行态势感知</t>
  </si>
  <si>
    <t>通航环境监测</t>
  </si>
  <si>
    <t>1.1.1.5</t>
  </si>
  <si>
    <t>船舶过闸智能监测</t>
  </si>
  <si>
    <t>1.1.1.5.1</t>
  </si>
  <si>
    <t>待闸运行监测</t>
  </si>
  <si>
    <t>待闸过程实时模拟</t>
  </si>
  <si>
    <t>船舶待闸信息展示</t>
  </si>
  <si>
    <t>预警提醒显示、高亮</t>
  </si>
  <si>
    <t>1.1.1.5.2</t>
  </si>
  <si>
    <t>进闸运行监测</t>
  </si>
  <si>
    <t>船舶进闸信息展示</t>
  </si>
  <si>
    <t>闸阀门控制</t>
  </si>
  <si>
    <t>1.1.1.5.3</t>
  </si>
  <si>
    <t>过闸运行监测</t>
  </si>
  <si>
    <t>过闸过程实时模拟</t>
  </si>
  <si>
    <t>水位动态模拟</t>
  </si>
  <si>
    <t>船舶过闸信息展示</t>
  </si>
  <si>
    <t>1.1.1.5.4</t>
  </si>
  <si>
    <t>预警事件管理</t>
  </si>
  <si>
    <t>预警事件查询</t>
  </si>
  <si>
    <t>预警事件回放</t>
  </si>
  <si>
    <t>预警事件监测</t>
  </si>
  <si>
    <t>预警事件复核</t>
  </si>
  <si>
    <t>1.1.1.5.5</t>
  </si>
  <si>
    <t>船闸运营报告</t>
  </si>
  <si>
    <t>基本情况</t>
  </si>
  <si>
    <t>预警指标详情</t>
  </si>
  <si>
    <t>船舶行为预警详情</t>
  </si>
  <si>
    <t>1.1.1.6</t>
  </si>
  <si>
    <t>船闸现地部署适配</t>
  </si>
  <si>
    <t>1.1.1.7</t>
  </si>
  <si>
    <t>航道数字孪生</t>
  </si>
  <si>
    <t>围绕个船闸需求对页面进行适配</t>
  </si>
  <si>
    <t>1.1.1.7.1</t>
  </si>
  <si>
    <t>航网立体监测</t>
  </si>
  <si>
    <t>船舶动态监测</t>
  </si>
  <si>
    <t>航标运行监测</t>
  </si>
  <si>
    <t>1.1.1.7.2</t>
  </si>
  <si>
    <t>数字巡航应用</t>
  </si>
  <si>
    <t>船艇巡航</t>
  </si>
  <si>
    <t>虚拟巡航</t>
  </si>
  <si>
    <t>1.1.1.7.3</t>
  </si>
  <si>
    <t>水下养护应用</t>
  </si>
  <si>
    <t>航槽三维监测</t>
  </si>
  <si>
    <t>航道断面对比</t>
  </si>
  <si>
    <t>航道浅点分析</t>
  </si>
  <si>
    <t>河床冲淤分析</t>
  </si>
  <si>
    <t>数据对接</t>
  </si>
  <si>
    <t>与航道普查系统对接</t>
  </si>
  <si>
    <t>与各船闸视频监控系统对接</t>
  </si>
  <si>
    <t>与各船闸关联航道外场感知系统对接</t>
  </si>
  <si>
    <t>与运调系统对接</t>
  </si>
  <si>
    <t>与船闸机电设备故障诊断系统对接</t>
  </si>
  <si>
    <t>1.1.2</t>
  </si>
  <si>
    <t>市级航闸一体化平台</t>
  </si>
  <si>
    <t>1.1.2.1</t>
  </si>
  <si>
    <t>地市航闸基础数据共享交换</t>
  </si>
  <si>
    <t>数据采集</t>
  </si>
  <si>
    <t>数据治理</t>
  </si>
  <si>
    <t>数据共享交换</t>
  </si>
  <si>
    <t>数据集成</t>
  </si>
  <si>
    <t>1.1.2.2</t>
  </si>
  <si>
    <t>大屏数据综合展现</t>
  </si>
  <si>
    <t>市级智慧航闸一张图</t>
  </si>
  <si>
    <t>航闸数据孪生集成</t>
  </si>
  <si>
    <t>航道通航状态展示</t>
  </si>
  <si>
    <t>船闸运行情况展示</t>
  </si>
  <si>
    <t>视频监控接入</t>
  </si>
  <si>
    <t>1.1.2.3</t>
  </si>
  <si>
    <t>基础设施北斗监测</t>
  </si>
  <si>
    <t>监测点位展示</t>
  </si>
  <si>
    <t>实时数据显示及设备状态展示</t>
  </si>
  <si>
    <t>监测预警</t>
  </si>
  <si>
    <t>数据查询</t>
  </si>
  <si>
    <t>位移数据分析</t>
  </si>
  <si>
    <t>历史数据存储</t>
  </si>
  <si>
    <t>设备管理</t>
  </si>
  <si>
    <t>位移数据解算</t>
  </si>
  <si>
    <t>航闸数字孪生系统对接</t>
  </si>
  <si>
    <t>1.1.2.4</t>
  </si>
  <si>
    <t>已有系统集成</t>
  </si>
  <si>
    <t>套</t>
  </si>
  <si>
    <t>2.1.1</t>
  </si>
  <si>
    <t>2.1.1.1</t>
  </si>
  <si>
    <t>船闸数字孪生数据</t>
  </si>
  <si>
    <t>2.1.1.1.1</t>
  </si>
  <si>
    <t>船闸及周边数据采集建模</t>
  </si>
  <si>
    <t>开展单体化建模包括船闸周边环境无人机倾斜摄影、航道水下地形（上下游2公里、闸室）、船闸精细建模、重点附属设施设备等</t>
  </si>
  <si>
    <t>倾斜摄影</t>
  </si>
  <si>
    <t>空间精度：平面精度、高程精度应优于0.05m；纹理质量要求：无遮蔽的建筑物，楼体外形清晰、表面光滑；能够精确表示各类树木的高度及轮廓，不允许出现漂浮情况</t>
  </si>
  <si>
    <t>平方公里</t>
  </si>
  <si>
    <t>杨家湾船闸、下坝二号船闸扫测宽度约1.1km</t>
  </si>
  <si>
    <t>航道水下地形</t>
  </si>
  <si>
    <t>多波束探测设备采集的数据，根据深度值的不同过不同颜色进行表达</t>
  </si>
  <si>
    <t>公里</t>
  </si>
  <si>
    <t>每个船闸约4公里</t>
  </si>
  <si>
    <t>船闸精细建模</t>
  </si>
  <si>
    <t>包括闸首边墩、闸首底板、闸室闸墙、闸室底板、桩基式结构、重力式结构、板桩式结构、上闸首、下闸首、闸室、引航道、水工建筑物、人行桥、闸门金属结构等</t>
  </si>
  <si>
    <t>重点附属设施设备</t>
  </si>
  <si>
    <t>包括护舷、钢轨、爬梯、踏步、护栏等</t>
  </si>
  <si>
    <t>船舶建模</t>
  </si>
  <si>
    <t>2.1.1.1.2</t>
  </si>
  <si>
    <t>数字孪生场景搭建</t>
  </si>
  <si>
    <t>利用航网数字孪生底座，实现模型标准化处理、构建标准化入库、数字孪生场景搭建渲染等，提供适用于WebGL与高渲染的两种场景搭建，并在航网数字孪生底座中实现全省场景集成</t>
  </si>
  <si>
    <t>模型数据检验</t>
  </si>
  <si>
    <t>模型标准化处理</t>
  </si>
  <si>
    <t>模型标准化入库</t>
  </si>
  <si>
    <t>2.1.1.2</t>
  </si>
  <si>
    <t>航道数字孪生数据</t>
  </si>
  <si>
    <t>芜申线南京段</t>
  </si>
  <si>
    <t>2.1.1.2.1</t>
  </si>
  <si>
    <t>航道周边数据采集建模</t>
  </si>
  <si>
    <t>开展芜申线南京段重点区域精细化建模</t>
  </si>
  <si>
    <t>航道建模</t>
  </si>
  <si>
    <t>包括航道水域、锚地水域、航标模型、水工结构、水下地形(复用水下扫测数据)等</t>
  </si>
  <si>
    <t>约47.6km</t>
  </si>
  <si>
    <t>桥梁建模</t>
  </si>
  <si>
    <t>桥梁主体BIM模型创建、模型轻量化处理转换</t>
  </si>
  <si>
    <t>座</t>
  </si>
  <si>
    <t>23座桥</t>
  </si>
  <si>
    <t>停泊区建模</t>
  </si>
  <si>
    <t>1个停泊区</t>
  </si>
  <si>
    <t>2.1.1.2.2</t>
  </si>
  <si>
    <t>2.1.2</t>
  </si>
  <si>
    <t>省市系统间对接</t>
  </si>
  <si>
    <t>智慧航道</t>
  </si>
  <si>
    <t>2.2.2</t>
  </si>
  <si>
    <t>设备费</t>
  </si>
  <si>
    <t>感知网络</t>
  </si>
  <si>
    <t>3.1.1</t>
  </si>
  <si>
    <t>3.1.1.1</t>
  </si>
  <si>
    <t>杨家湾船闸</t>
  </si>
  <si>
    <t>3.1.1.1.1</t>
  </si>
  <si>
    <t>船舶吃水、超高检测设备</t>
  </si>
  <si>
    <t>其中1点位与新增航道监控设备共杆，共用供电、通信设施</t>
  </si>
  <si>
    <t>检测相机</t>
  </si>
  <si>
    <t>具体技术要求：
1、不低于400万像素；
2、宽动态：不低于120 dB；
3、最低照度：彩色模式：≤0.0005lx，黑白模式：≤0.0001lx；
4、传感器类型：不小于1/1.8英寸CMOS；
5、焦距：不小于2.8~12 mm，拍摄距离满足本项目检测距离需求；
6、补光：混光（红外+暖白），不低于4颗灯珠，补光距离不小于50m，具备补光自适应功能；
7、视频压缩标准：H.265/H.264/MJPEG；
8、网络：具备RJ45 10 M/100 M/1000 M自适应以太网口、RS-485接口；
9、报警：具备掉线、遮挡报警等功能，提供SDK包二次开发使用；
10、报警信号联动：不少于3路输入、2路输出；
11、具有独立的IP地址，可以直接接入以太网络，并可以通过客户端自动搜索IP地址；
12、供电方式：支持DC12V/PoE供电，具备防反接保护；
13、功能：内置GPU，具备防抖、降噪、加热、除湿等功能，具备防雷、防浪涌保护；
14、工作温湿度：温度不低于-30 °C~60 °C，湿度不低于5%~95%@40℃，无凝结；
15、防护：不低于IP66；
16、含接地、安装支架等配套设备。
17、含五年原厂质保</t>
  </si>
  <si>
    <t>台</t>
  </si>
  <si>
    <t>抓拍相机</t>
  </si>
  <si>
    <t>具体技术要求：
1、不低于800万像素；
2、采用不小于1英寸CMOS；
3、视频采用H.265、H.264或MJPEG编码；
4、图像控制：曝光速度、AGC控制、白平衡方式控制等；
5、压缩输出码率：不低于32 Kbps~16 Mbps；
6、镜头规格：25mm，拍摄距离满足本项目抓拍距离需求；
7、快门速度是 50us到9000us；
8、光圈类型：自动光圈或手动光圈（支持远程调节）；
9、触发输出：不少于4路F+/F-输出接口，作为补光灯同步输出控制；
10、触发输入：不少于1路触发/报警输入；
11、补光：暖白光，不低于3颗灯珠，补光距离不小于40米；具备补光自适应功能；
12、功能：内置GPU，具备防抖、降噪、加热、除湿等功能，具备防雷、防浪涌保护；
13、通讯接口：具备RJ45 10 M/100 M/1000 M自适应以太网口、RS-485接口；
14、报警：具备掉线、遮挡报警等功能，提供SDK包二次开发使用；
15、具有独立的IP地址，可以直接接入以太网络，并可以通过客户端自动搜索IP地址；
16、工作温湿度：温度不低于-30 °C~70 °C，湿度不低于5%~95%@40℃，无凝结；
17、防护：不低于IP66；
18、含接地、安装支架等配套设备；
19、五年原厂质保</t>
  </si>
  <si>
    <t>长距激光雷达</t>
  </si>
  <si>
    <t>具体技术要求：
1、单帧线束：不低于128线；
2、激光波长：不低于905nm；
3、探测范围：不弱于1.5~400m；
4、探测距离：最远探测距离400m ，在10%反射率条件下≥250m；
5、视场角：不低于(H*V) 120°X 18°；
6、角分辨率：不高于(H*V)0.16°* 0.17°；
7、防水及防尘等级：IP67；
8、测距精度：土3cm(1σ)；
9、帧率：5~20FPS，可调节；
10、工作温度： -40℃~85℃；
11、储存温度：-40℃~105℃；
12、人眼安全等级：Class1(IEC-60825)；
13、额定电压：12/24V DC；
14、额定功率：&lt;20w；
15、数据传输接口：1000Base-T1以太网；
16、点云扫描点频：不低于80万点/秒；
17、时间同步：具备网络时间同步功能；
18、五年原厂质保</t>
  </si>
  <si>
    <t>补光灯</t>
  </si>
  <si>
    <t>具体技术要求：
1、灯珠：不少于24颗LED光源；
2、补光方式：支持LED频闪、LED爆闪、白光气体爆闪及红外气体爆闪四种补光方式；
3、光源波长：混合光源（红外+暖白光）；
4、发光角度：满足相机实际使用需求；
5、最佳投射距离：不低于20米，满足实际抓拍补光要求；
6、亮度调节： 自动控制；
7、工作环境温度：不低于-30℃ - 60℃；
8、工作环境湿度：湿度小于95%，无凝结；
9、外壳材质：金属铝；
10、防护等级：不低于IP66；
11、安装方式：万向节等安装方式，含安装支架等辅材。</t>
  </si>
  <si>
    <t>AIS接收设备</t>
  </si>
  <si>
    <t>频率范围：156.025MHz~162.025MHz；
信道带宽：25KHz(默认)/12.5kHz；
AIS接收机灵敏度：≤-110dBm（20%误包率）
接收范围：≥2km
接口：支持RS232或RS485。</t>
  </si>
  <si>
    <t>船舶超高.吃水检测计算单元</t>
  </si>
  <si>
    <t>具体技术要求：
1、处理器：单颗处理器，核心数≥20核，主频≥2.0GHz；国产自主可控；
2、内存：≥128GB DDR4，≥2666MHz；
3、硬盘：≥1块SATA SSD 960G硬盘；
4、GPU：显存≥8G，TFLOPS≥242；
5、接口：≥2个千兆网口；
6、工作温度：-10 ~ 60 °C；
6、适用于船闸运行环境，无故障运行时间不低于1万小时；
8、含功能算法，具体技术要求见设计说明书。
9、硬件5年原厂质保。</t>
  </si>
  <si>
    <t>8米立杆</t>
  </si>
  <si>
    <t>见施工图册；含基础、安装支架、抱箍等其他安装附件。</t>
  </si>
  <si>
    <t>根</t>
  </si>
  <si>
    <t>上游电子围栏入口处</t>
  </si>
  <si>
    <t>供电电缆</t>
  </si>
  <si>
    <t>YJV22-5×16，含安装附件等</t>
  </si>
  <si>
    <t>米</t>
  </si>
  <si>
    <t>手孔井</t>
  </si>
  <si>
    <t>个</t>
  </si>
  <si>
    <t>据实计量，含相应附件等</t>
  </si>
  <si>
    <t>管线敷设</t>
  </si>
  <si>
    <t>含管道开挖及回填，涉及破路的含路面恢复，开挖深度不低于70cm</t>
  </si>
  <si>
    <t>工业以太网交换机（含光模块）</t>
  </si>
  <si>
    <t>全网管二层工业交换机
满足国产自主可控；
千兆电口：≥5;
千兆光口（含光模块）:≥2；
交换容量：≥20G；
包转发率：≥14.88 Mpps；
工作温度：-40℃ ~ +75℃ ；
支持VLAN，支持流量控制；支持QOS，支持SNMP 网管，支持链路聚合</t>
  </si>
  <si>
    <t>网线</t>
  </si>
  <si>
    <t>六类 UTP</t>
  </si>
  <si>
    <t>智能机箱
（监控型）</t>
  </si>
  <si>
    <t>机箱规格
1.机箱尺寸（净容积） 视频监控机箱：净容积不低于 高 600×宽 500×深 250（mm）
2.机箱材质：不低于1.2mm厚镀锌钢板，机箱表面静电喷塑处理
柜体参数
3.工作环境温度 -20℃～70℃
4.智能机箱门锁：配置电子锁具，支持远程网络开锁和机械开锁功能
5.状态采集：配置有状态采集装置，能够实现电源状态、网络状态、开关门状态、温湿度和漏电等运行环境基本数据采集；
6.开门抓拍装置：内置摄像头和补光灯，具备开门抓拍功能；
7.散热：箱侧配置不少于2个120mm×120mm成品防尘散热格栅及对应温控风扇；
8.配电装置：机箱配置DIN导轨配电单元，配有微型断路器、40kA通流量单相电源防雷保护装置、接地汇流装置和2位交流电源；
基本功能
9.负载控制：提供不少于4路可控输出，每路负载电源具备独立控制和独立重启功能；
10.电力参数采集：可监测不少于4路负载电源状态，实时采集每路负载电压、电流等参数并显示在后台系统；
11.报警和定位：具备供电供网异常、漏电和箱门开启等报警功能，具备BDS定位功能；
13.机箱外壳防护：防护等级不低于IP55；
14.网络安全：具有内外网络安全隔离网闸功能；
15.数据上传：机箱采集数据能够上传省港航机箱管理系统平台；
16.5年原厂质保</t>
  </si>
  <si>
    <t>安装调试、附件及辅材</t>
  </si>
  <si>
    <t>包括安装、调试，相关线缆、防雷装置等附件，以及相关辅材等所有其他费用。</t>
  </si>
  <si>
    <t>3.1.1.1.2</t>
  </si>
  <si>
    <t>船舶身份、数量识别设备</t>
  </si>
  <si>
    <t>实现对进出闸船舶身份、数量的识别</t>
  </si>
  <si>
    <t>船舶身份.数量识别计算单元</t>
  </si>
  <si>
    <t>具体技术要求：
1、处理器：单颗处理器，核心数≥8核，主频≥2.2GHz，并与算法匹配；国产自主可控；
2、内存：≥32GB DDR4；
3、硬盘：存储≥512G；
4、GPU：显存≥8GB，AI算力 ≥100 TOPS INT8；
5、接口：≥4个千兆自适应以太网口；
6、工作温度：-10℃~60℃；
7、适用于船闸运行环境，无故障运行时间不低于1万小时；
8、含功能算法，具体技术要求见设计说明书。
9、硬件5年原厂质保。</t>
  </si>
  <si>
    <t>6.5米立杆</t>
  </si>
  <si>
    <t>3.1.1.1.3</t>
  </si>
  <si>
    <t>系换缆安全监测设备</t>
  </si>
  <si>
    <t>实现对闸室内首尾档船舶的系换缆识别</t>
  </si>
  <si>
    <t>系缆检测枪机</t>
  </si>
  <si>
    <t>具体技术要求：
1、双通道相机，通道1不低于800万像素，通道2不低于400万像素；
2、宽动态：不低于120 dB；
3、最低照度：通道1：0.001lux（彩色模式）；0.0001lux（黑白模式）；通道2：0.002lux（彩色模式）；0.0002lux（黑白模式）；
4、传感器类型：通道1：不小于1/1.8英寸 CMOS；通道2：不小于1/2.5英寸CMOS；
5、焦距：通道1：不小于10~50mm；通道2：不小于3.6mm；拍摄距离满足本项目检测距离需求；
6、补光：通道1：混合补光，不低于5颗灯珠，补光距离不小于80m；通道2：混合补光，补光距离不小于30m；具备补光自适应功能；
7、视频压缩标准：H.265/H.264/MJPEG；
8、网络：具备RJ45 10 M/100 M/1000 M自适应以太网口、RS-485接口；
9、报警：具备掉线、遮挡报警等功能，提供SDK包开发使用；
10、报警信号联动：不少于3路输入、2路输出；
11、具有独立的IP地址，可以直接接入以太网络，并可以通过客户端自动搜索IP地址；
12、报警信号联动：具备报警输入、输出；
13、工作温湿度：温度不低于-30 °C~60 °C，湿度不低于5%~95%@40℃，无凝结；
14、防护：不低于IP66；
15、含接地、安装支架等配套设备。
16、五年原厂质保</t>
  </si>
  <si>
    <t>系换缆状态监测计算单元</t>
  </si>
  <si>
    <t>机房楼悬臂支架</t>
  </si>
  <si>
    <t>见施工图册；</t>
  </si>
  <si>
    <t>3.1.1.1.4</t>
  </si>
  <si>
    <t>闸门区域运行检测</t>
  </si>
  <si>
    <t>实现对上下游闸门上方行人检测</t>
  </si>
  <si>
    <t>安装支架</t>
  </si>
  <si>
    <t>闸门运行区域监测计算单元</t>
  </si>
  <si>
    <t>3.1.1.1.5</t>
  </si>
  <si>
    <t>船舶过闸状态监测设备</t>
  </si>
  <si>
    <t>实现对进闸及闸室内船舶的高度、数量、长宽、速度、吃水、位置、入档情况、跟艄距离以及闸室出空进行监测</t>
  </si>
  <si>
    <t>闸室中间2台，闸首向内两台，向外2台</t>
  </si>
  <si>
    <t>闸门外区域补盲</t>
  </si>
  <si>
    <t>闸室中间</t>
  </si>
  <si>
    <t>船舶过闸航行状态监测计算单元</t>
  </si>
  <si>
    <t>3.1.1.1.6</t>
  </si>
  <si>
    <t>船闸全域视频监控</t>
  </si>
  <si>
    <t>室外遥控球型摄像机</t>
  </si>
  <si>
    <t>像素不低于400万
1.基础参数：
传感器类型：不小于1/1.8英寸CMOS；
最低照度：彩色：最低照度不高于0.0005Lux，黑白：最低照度不高于0.0001Lux；
光学变倍：不低于32倍；
2.镜头：
焦距：范围不小于6.0mm～192 mm；
聚焦模式：手动、自动；
最大光圈数：性能规格不低于F1.6；
3.补光
补光灯距离：不低于250m；
4.云台：
水平范围：360°；
垂直范围：范围不小于-15°～90°；
水平速度：不低于180°/s，水平预置位转速不低于 180°/s；
垂直速度：不低于75°/s，垂直预置位转速不低于 75°/s；
预置点：不少于300个；
5，视频
视频压缩标准：H.265；H.264；MJPEG；
6.图像
日夜转换模式：自动；
图像防抖：支持
图像增强：强光抑制；
宽动态：宽动态范围不小于120dB；
透雾：支持；
7.接口
网络接口：不少于1个RJ-45网口,自适应10M/100M网络数据；
8.其他
雨刷：支持；
防护等级：不低于IP66；
9.含5年原厂质保</t>
  </si>
  <si>
    <t>室外固定枪式摄像机</t>
  </si>
  <si>
    <t>像素不低于400万
1.基础参数
传感器类型：不小于1/1.8英寸CMOS；
最低照度：彩色：最低照度不高于0.0005Lux，黑白：最低照度不高于0.0003Lux；
光学变倍：不低于4倍；
2.镜头
焦距：最小焦距8mm～11mm，最大焦距不小于32mm；
大光圈数：性能规格不低于F1.6；
3.补光
补光距离：不低于50m；
4.视频
视频压缩标准：H.265；H.264；MJPEG；
5.图像
日夜转换模式：自动；
图像增强：背光补偿，强光抑制，透雾，3D降噪；
图像防抖：支持
宽动态：宽动态范围不小于120dB；
透雾：支持；
强光抑制：支持；
6.接口
网络：不少于1个RJ-45网口，自适应10M/100M网络数据；
7.其他
防护：不低于IP66；
8.含5年原厂质保</t>
  </si>
  <si>
    <t>15米立杆</t>
  </si>
  <si>
    <t>船闸全域视频监控计算单元</t>
  </si>
  <si>
    <t>3.1.1.1.7</t>
  </si>
  <si>
    <t>首尾档船舶预警线监测</t>
  </si>
  <si>
    <t>实现对首尾档船舶是否超越警戒线进行监测</t>
  </si>
  <si>
    <t>2D室外线性激光雷达</t>
  </si>
  <si>
    <t>具体技术要求：
1、扫描角度: 270°
2、角度分辨率:0.25°
3、工作区域0.5m~40m;
4、扫描范围:在10%漫反射下30m，在90%漫反射下40m;
5、扫描频率 25Hz;
6、含加热装置;
7、工作环境温度:-40°C~+60°C;
8、储存温度范围:-40°C~+70°C;
9、抗环境光能力：40000lx
10、雾校正：有
11、回波功能：有
12、光学信号显示（用于显示设备状态，脏污报警和输出状态的LED）：有
13、区域组数量：10区域组
14、接口:Ethernet 以太网接口:
15、含配套激光成像软件;
16、防护等级:IP66，室外环境使用。
17、五年原厂质保</t>
  </si>
  <si>
    <t>声光报警器</t>
  </si>
  <si>
    <t>具体技术要求：
1.声级：≥120dB；
2.发光颜色：红；
3.发光方式：LED频闪发光；
4.接口：≥1个RJ485端口；
5.功能：提供API接口及接口文档，支持定制语音；
6.防护等级：不低于IP65；
7.工作温度：-40℃~70℃；
8.工作湿度：10%~95%（不凝结）；
9.安装方式：壁挂安装；
10.含安装支架等配套设备。</t>
  </si>
  <si>
    <t>4米立杆</t>
  </si>
  <si>
    <t>含基础</t>
  </si>
  <si>
    <t>首尾档船舶预警监测计算单元</t>
  </si>
  <si>
    <t>3.1.1.1.8</t>
  </si>
  <si>
    <t>船舶过闸综合辅助终端</t>
  </si>
  <si>
    <t>过闸辅助终端服务器</t>
  </si>
  <si>
    <t>CPU：国产化芯片，≥2颗，C86架构：单颗核心数≥20核、主频≥2.4GHz，或ARM架构：单颗核心数≥32核、主频≥2.5GHz支持国产替代和软件适配开发；
内存：≥128G；
硬盘：≥1TB NVME，≥10TB SAS；
网卡：≥2个千兆电口；
电源：≥2个800W电源；
含国产操作系统
五年原厂质保</t>
  </si>
  <si>
    <t>部署于洪蓝船闸集控中心机房</t>
  </si>
  <si>
    <t>配套软件</t>
  </si>
  <si>
    <t>3.1.1.1.9</t>
  </si>
  <si>
    <t>正射影像图</t>
  </si>
  <si>
    <t>技术要求：
1.范围：船闸上下游区域，约长 5 公里*宽 1 公里。
2.成图比例尺：1:1000
3.地面分辨率 (GSD)： ≤ 0.10 米/像素。
4.坐标系：CGCS2000
5.成果格式：GeoTIFF(带坐标，真彩色)。
6.影像质量：清晰、无漏洞、尤其是船闸无明显变形。
7.精度验收：平面中误差≤ 0.30 米(实地)</t>
  </si>
  <si>
    <t>每个船闸1项</t>
  </si>
  <si>
    <t>3.1.1.1.10</t>
  </si>
  <si>
    <t>高清监控视频改造（监控补盲）</t>
  </si>
  <si>
    <t>杨家湾船闸闸室跨闸桥</t>
  </si>
  <si>
    <t>杨家湾船闸下游船闸桥</t>
  </si>
  <si>
    <t>处</t>
  </si>
  <si>
    <t>YJV22-5×10，含安装附件等</t>
  </si>
  <si>
    <t>光纤敷设</t>
  </si>
  <si>
    <t>含16芯铠装单模光纤及相关敷设费用</t>
  </si>
  <si>
    <t>3.1.1.2</t>
  </si>
  <si>
    <t>下坝二号船闸</t>
  </si>
  <si>
    <t>3.1.1.2.1</t>
  </si>
  <si>
    <t>与待闸船舶异常行为识别设备共杆</t>
  </si>
  <si>
    <t>3.1.1.2.2</t>
  </si>
  <si>
    <t>3.1.1.2.3</t>
  </si>
  <si>
    <t>换缆监测相机</t>
  </si>
  <si>
    <t>3.1.1.2.4</t>
  </si>
  <si>
    <t>3.1.1.2.5</t>
  </si>
  <si>
    <t>设备带有≥3.4 英寸LCD 显示屏，支持红外遥控器点播服务器节目库任意内容，可控制播放/暂停。
内置网络硬件音频解码模块，具有RJ45 网络接口，100Mbps 传输速率。
支持线路输入和话筒输入接口，可独立调节音量；具有EMC 输入接口，
具有最高优先级；支持高低音调节电位器控制；具有1 路音频输出接口。
具有三线制强切输出接口，无需强切电源。
集成数字功放，功率≥350W（上闸首机房现地控制室），功率≥500W（下闸首机房现地控制室）；支持定压100V 方式输出
支持通过后台软件对终端进行远程固件升级。
频率响应范围80Hz～16KHz，谐波失真≤1%，信噪比＞65dB。
支持状态灯显示，包括电平指示灯、保护指示灯、待机指示灯等。
具有USB 播放功能，接入U 盘。可遥控播放任意一首歌曲和播放上一曲、下一曲、暂停、停止等功能（或选择面板按键操作）。
支持短路输入，可以用作触发预置语音提示（或报警），亦可用于控制门禁联动输入短路信号。
自带100V 定压功率备份输入接口，可灵活组成一主多备、多主一备、多主多备的高可靠公共打铃系统。
内置高性能主/备切换检测模块，断网断电以及本机故障时0.3 秒内切换到备份功率输入，满足高可靠公共打铃系统需求。</t>
  </si>
  <si>
    <t>3.1.1.2.6</t>
  </si>
  <si>
    <t>闸门对中状态监测设备</t>
  </si>
  <si>
    <t>实现对人字门闸门对中状态监测</t>
  </si>
  <si>
    <t>每线船闸2台</t>
  </si>
  <si>
    <t>刻度盘</t>
  </si>
  <si>
    <t>刻度范围：±10cm，精度为5mm，±1cm内为绿色图层，±1-3cm区间内内为黄色涂层，±3cm-10cm内为红色涂层。考虑夜间补光灯反光情况，刻度盘使用304不锈钢材质，表面哑光处理，避免反光。</t>
  </si>
  <si>
    <t>人字门闸门对中状态监测计算单元</t>
  </si>
  <si>
    <t>每线船闸4套</t>
  </si>
  <si>
    <t>3.1.1.2.7</t>
  </si>
  <si>
    <t>15米杆件</t>
  </si>
  <si>
    <t>含基础、安装支架、抱箍等其他安装附件</t>
  </si>
  <si>
    <t>杆</t>
  </si>
  <si>
    <t>3.1.1.2.8</t>
  </si>
  <si>
    <t>3.1.1.2.9</t>
  </si>
  <si>
    <t>船闸集控中心</t>
  </si>
  <si>
    <t>3.1.1.2.10</t>
  </si>
  <si>
    <t>3.1.1.2.11</t>
  </si>
  <si>
    <t>待闸船舶异常行为识别</t>
  </si>
  <si>
    <t>8米杆件</t>
  </si>
  <si>
    <t>船闸区域4个点位每点位配2台，航道区域2个点位每点位配1台</t>
  </si>
  <si>
    <t>3.1.1.2.12</t>
  </si>
  <si>
    <t>高清监控视频改造（监控设备更新）</t>
  </si>
  <si>
    <t>3.1.2</t>
  </si>
  <si>
    <t>3.1.2.1</t>
  </si>
  <si>
    <t>航道运行监测预警终端</t>
  </si>
  <si>
    <t>3.1.2.1.1</t>
  </si>
  <si>
    <t>航道视频监控</t>
  </si>
  <si>
    <t>航道视频全覆盖</t>
  </si>
  <si>
    <t>芜太运河11台，秦淮河11台</t>
  </si>
  <si>
    <t>芜太运河22台，秦淮河10台</t>
  </si>
  <si>
    <t>室外全景摄像机</t>
  </si>
  <si>
    <t>全景摄像机像素不低于2000万，细节摄像机像素不低于400万
1.基础参数
传感器类型：不小于1/1.8英寸CMOS；
最低照度：全景摄像机-彩色：最低照度不高于0.0005Lux，黑白：最低照度不高于0.0002Lux；细节摄像机-彩色：最低照度不高于0.0005Lux，黑白：最低照度不高于0.0003Lux；
光学变倍：细节摄像机不低于40倍；
2.镜头
焦距：细节摄像机焦距范围不小于6mm～240mm；
聚焦模式：自动，手动；
最大光圈数：全景摄像机性能规格不低于F1.0，细节性能规格不低于F1.5；
3.补光
补光距离：细节摄像机不低于300m；
4.云台
水平范围：360°；
垂直范围：范围不小于-11°～90°；
水平速度：不低于180°/s,水平预置点速度不低于240°/s；
垂直速度：不低于100°/s,水平预置点速度不低于100°/s；
预置点个数：不少于300个；
5.视频
视频压缩标准：H.265,H.264,MJPEG；
6.图像
日夜转换模式：自动；
日夜转换方式：白天、夜晚、自动；
背光补偿：支持；
宽动态：细节摄像机支持宽动态范围不小于120dB；
强光抑制：支持；
3D降噪：支持；
透雾：细节摄像机支持；
图像防抖：支持；
光学透雾：细节摄像机支持；
7.接口
网络接口：不少于1个RJ-45网口,自适应10M/100M/1000M网络数据；
8.其他
防护等级：不低于IP66；
9.含5年原厂质保</t>
  </si>
  <si>
    <t>芜太运河2台</t>
  </si>
  <si>
    <t>芜太运河10杆，秦淮河5杆</t>
  </si>
  <si>
    <t>芜太运河1处利用AIS杆件安装，秦淮河3个桥梁点位共6处</t>
  </si>
  <si>
    <t>3.1.2.1.2</t>
  </si>
  <si>
    <t>供电</t>
  </si>
  <si>
    <t>据实计量，含相应附件等，芜太运河11处，秦淮河8处</t>
  </si>
  <si>
    <t>3.1.2.1.3</t>
  </si>
  <si>
    <t>通信</t>
  </si>
  <si>
    <t>芜太运河11处，秦淮河8处</t>
  </si>
  <si>
    <t>3.1.2.1.4</t>
  </si>
  <si>
    <t>3.1.2.1.6</t>
  </si>
  <si>
    <t>3.1.2.2</t>
  </si>
  <si>
    <t>护岸北斗监测终端</t>
  </si>
  <si>
    <t>GNSS接收机</t>
  </si>
  <si>
    <t>GNSS性能规格
1.信号跟踪：仅支持单北斗模式
BDS：频段B1I、B2I、B3I、B1C、B2a
2.精度及可靠性：RTK水平精度±(8mm +1x10-6D)
RTK垂直精度±(15mm + 1 x10-6D)
静态平面精度±(2.5mm+ 0.5x10-6D)
静态高程精度±(5mm+ 0.5x10-6D)
初始化时间典型&lt;10 秒
初始化可靠性99.9%"
3.数据类型：RTCM 2.x、RTCM 3.x、原始数据及动态数据NMEA-0183实时传输
4.数据更新率：采样间隔0s～24h可设
上传间隔0s～72h可设
存储性能
5.存储 不低于16G
通信性能
6.无线网络制式 2G/3G/4G（全网通）NB-IOT/LoRa
MEMS传感器
7.倾角 量程：不小于±90°精度：精度不低于0.1°
8.加速度计 量程：不小于±2g 精度不低于1mg；
9.功能 支持动态调整监测频率，MEMS传感器触发功能
电气特性
10.典型功耗 不高于1.5W
11.电源电压输入范围 9~15V DC
环境适应性
12.温度 范围不小于—40℃～+80℃
13.交变湿热 相对湿度不小于95%
14.防护等级 不低于IP67
15.MTBF ≥80000h
解算软件
解算软件满足国产信创要求。</t>
  </si>
  <si>
    <t>太阳能供电设备</t>
  </si>
  <si>
    <t>太阳能板、控制器、蓄电池及相关安装附件等，采用一体化太阳能板功率不低于 100W，一体化高密度锂电池容量不低于100Ah 的供电配置，应能满足不少于15天连续阴雨天供电需求</t>
  </si>
  <si>
    <t>工程采集箱</t>
  </si>
  <si>
    <t>SUS304不锈钢，通过96个小时中性盐雾测试</t>
  </si>
  <si>
    <t>块</t>
  </si>
  <si>
    <t>立杆</t>
  </si>
  <si>
    <t>含基础、避雷针、接地装置及相关附件，杆件高度根据现场信号测量情况确定</t>
  </si>
  <si>
    <t>通讯费</t>
  </si>
  <si>
    <t>物联网卡，每月500M流量，至交工验收后5年内</t>
  </si>
  <si>
    <t>点位</t>
  </si>
  <si>
    <t>配套支撑</t>
  </si>
  <si>
    <t>3.2.1</t>
  </si>
  <si>
    <t>主机及存储设备</t>
  </si>
  <si>
    <t>3.2.1.1</t>
  </si>
  <si>
    <t>南京航道中心设备</t>
  </si>
  <si>
    <t>地市高渲染工作站</t>
  </si>
  <si>
    <t>CPU：≥1颗，核心数≥24核、主频≥3.2GHz；
内存：≥128G DDR5；
硬盘：≥4TB NVME；
显卡：≥2块，FP32≥73TFLOPS，图形渲染专用显卡；
网卡：≥2个千兆电口；
电源：≥1500W电源；
含正版操作系统；
含云渲染虚拟化软件（≥4路并发）
五年原厂质保</t>
  </si>
  <si>
    <t>航道大厦九楼</t>
  </si>
  <si>
    <t>中心数字孪生底座服务器</t>
  </si>
  <si>
    <t>CPU：国产化芯片，≥2颗，C86架构：单颗核心数≥20核、主频≥2.4GHz，或ARM架构：单颗核心数≥32核、主频≥2.5GHz，支持国产替代和软件适配开发；
内存：≥128G；
硬盘：≥1TB NVME，≥10TB SAS；
网卡：≥2个千兆电口；
电源：≥2个800W电源；
含国产操作系统
五年原厂质保</t>
  </si>
  <si>
    <t>航道大厦二楼</t>
  </si>
  <si>
    <t>地市中心数字孪生客户端工作站</t>
  </si>
  <si>
    <t>CPU：≥1颗，核心数≥14核、主频≥3.2GHz；
内存：≥32G；
硬盘：≥1TB NVME，≥4TB SATA；
显卡：≥1块，FP32≥19TFLOPS，图形渲染专用显卡；
含正版操作系统、24寸液晶显示器和键盘鼠标
五年原厂质保</t>
  </si>
  <si>
    <t>航闸一体化平台应用服务器</t>
  </si>
  <si>
    <t>航闸一体化平台数据库服务器</t>
  </si>
  <si>
    <t>国产数据库管理软件</t>
  </si>
  <si>
    <t>五年原厂服务。</t>
  </si>
  <si>
    <t>部署于数据库服务器</t>
  </si>
  <si>
    <t>流媒体服务器</t>
  </si>
  <si>
    <t>CPU：≥1颗，核心数≥8核，主频≥2.4GHz；
内存：≥32G；
硬盘：≥2TB；
阵列卡：SAS_HBA卡, 支持RAID 0/1/10；
网口：≥2个千兆电口
五年原厂质保</t>
  </si>
  <si>
    <t>视频上云网关</t>
  </si>
  <si>
    <t>支持不少于200路的1080P视频流转32K/128K/1M/4M/源码率；
支持海康威视、大华、宇视等主流厂家视频监控设备的接入；
支持 RTSP、GB/T28181、ONVIF 等协议接入视频监控设备。
五年原厂质保</t>
  </si>
  <si>
    <t>视频存储磁盘阵列</t>
  </si>
  <si>
    <t>1.性能参数
视频性能 接入路数768（网络输入带宽1536Mbps）
图片性能 最大支持不小于100张/S（单张图片500KB）
硬件规格：处理器 1颗64位多核处理器
高速缓存 8GB
2.磁盘管理
磁盘类型 企业级硬盘
磁盘接口类型 SATA
磁盘容量 4TB/6TB/8TB/10TB/16TB
磁盘接口数量不少于48
热插拔磁盘 支持
阵列类型 RAID5，RAID6，RAID0，RAID1，RAID10
3.存储管理 存储模式 标准模式，高冗余模式，高利用率模式
4.录像管理
录像方式 定时录像，手动录像，主或子码流录像，报警录像等多种录像方式
录像保护 支持断网补录，RAID 业务保护，录像丢失报警
查询方式 按时间、事件类型查询
下载方式 快速下载、批量下载
5.网络管理 网络协议 IPv4，HTTPS，SNMP，NTP
接入协议 RTSP，ONVIF，SDK，GB/T28181
6.五年原厂质保</t>
  </si>
  <si>
    <t>存储硬盘</t>
  </si>
  <si>
    <t>8T 企业级 SATA 硬盘</t>
  </si>
  <si>
    <t>视频管理软件升级</t>
  </si>
  <si>
    <t>含视频接入通道授权300路</t>
  </si>
  <si>
    <t>路</t>
  </si>
  <si>
    <t>分布式采集盒（管理工作站）</t>
  </si>
  <si>
    <t>视频接口：1路HDMI视频输入，1路HDMI视频输出或者1路HDMI视频环出（接口支持HDMI-4K、DP-4K、DVI、SDI信号格式），分辨率支持3840x2160@60Hz向下兼容，支持EDID管理,支持HDMI2.0协议。
设备具备3路USB接口，用于连接KVM键盘鼠标，以及U盘通过USB升级盒子系统。
具备接口：≥1路HDMI视频输入,≥1路HDMI视频输出接口；≥1 路RJ45千兆电口；≥1 路光口（SFP）；≥1路音频输入接口、≥1路LINE音频输出接口、≥1路3.5mm音频输出接口，≥1路内嵌音频 ,  ≥1路 RS232双向收发串口; ≥2 路 I/O控制接口；≥1路IR红外控制接口；≥2路relay继电器接口，≥3个USB接口；
系统采用去中心化无服务器架构设计，可扩展任意数量节点。系统支持权限管理功能。
兼容原航道大厦9楼航网运行中心系统管理平台</t>
  </si>
  <si>
    <t>航道大厦九楼，含调试费用</t>
  </si>
  <si>
    <t>分布式输出盒（KVM坐席）</t>
  </si>
  <si>
    <t>显示器</t>
  </si>
  <si>
    <t>16:9屏幕比例，不小于27英寸IPS广色域，不低于3840*2160分辨率</t>
  </si>
  <si>
    <t>高渲染工作站配套</t>
  </si>
  <si>
    <t>键盘鼠标</t>
  </si>
  <si>
    <t>3.2.1.2</t>
  </si>
  <si>
    <t>洪蓝船闸集控中心设备</t>
  </si>
  <si>
    <t>船闸高渲染工作站</t>
  </si>
  <si>
    <t>船闸数字孪生客户端工作站</t>
  </si>
  <si>
    <t>船闸数字孪生底座服务器</t>
  </si>
  <si>
    <t>KVM延长器</t>
  </si>
  <si>
    <t>每套含发射器、接收器</t>
  </si>
  <si>
    <t>用于工作站显示器、键盘、鼠标接线延长</t>
  </si>
  <si>
    <t>洪蓝船闸集控机房机柜改造</t>
  </si>
  <si>
    <t>1）</t>
  </si>
  <si>
    <t>24位竖直PDU普通型</t>
  </si>
  <si>
    <t>PDU（63A 1P）　
配置：单相63A，12位10A新国标五孔带保护门+6位16A国标三扁/防脱扣插口输出/指示灯/垂直/过载保护/竖直右侧安装</t>
  </si>
  <si>
    <t>2）</t>
  </si>
  <si>
    <t>30kVA机架式UPS长效机</t>
  </si>
  <si>
    <t>容量30kVA；三进三出；输入功率因素： ≧ 0.99；
输入频率：46Hz ~ 54 Hz @ 50Hz 系统；56Hz ~ 64 Hz @ 60Hz 系统；
电池电压：±192VDC或±240VDC可调，带中性线（32-40节可设置）；
通讯端口：RS232或USB；
高度：3U。
含Modbus 卡(485)、UPS并机线等
含五年质保</t>
  </si>
  <si>
    <t>3）</t>
  </si>
  <si>
    <t>7.5kW机架式空调</t>
  </si>
  <si>
    <t>含内机（机架式空调内机，制冷量 7500W/三侧送风(单冷+电加热)）、外机（机架空调外机/风冷/7500制冷量 7500W/单冷/单相）等相关设施。含五年质保</t>
  </si>
  <si>
    <t>4）</t>
  </si>
  <si>
    <t>机柜配电设施</t>
  </si>
  <si>
    <t>含输入输出开关、防雷装置等</t>
  </si>
  <si>
    <t>5）</t>
  </si>
  <si>
    <t>消防系统调整</t>
  </si>
  <si>
    <t>包括更换火探管、设备移位等相关工作，为机柜新增设备提供安装空间</t>
  </si>
  <si>
    <t>6）</t>
  </si>
  <si>
    <t>相关附件、辅材</t>
  </si>
  <si>
    <t>含线缆、支架等安装附件及辅材</t>
  </si>
  <si>
    <t>洪蓝集控过闸语音平台的维保</t>
  </si>
  <si>
    <t>年</t>
  </si>
  <si>
    <t>投屏系统升级</t>
  </si>
  <si>
    <t>含通道授权等，实现高渲染工作站图像上大屏显示</t>
  </si>
  <si>
    <t>3.2.1.3</t>
  </si>
  <si>
    <t>船闸本地设备</t>
  </si>
  <si>
    <t>杨家湾船闸、下坝船闸</t>
  </si>
  <si>
    <t>运调系统GPU服务器</t>
  </si>
  <si>
    <t>1.CPU：国产化芯片，≥1颗，主频≥2.0Ghz，CPU核心数≥32
2.内存：≥32GB
3.硬盘：≥2*600GB SAS 10K
4.GPU：国产算力卡1块，FP16 不低于32TFlops
5.网络：≥2个千兆网口。
6.标准机架式设备≤2U
7、五年原厂质保</t>
  </si>
  <si>
    <t>下坝船闸</t>
  </si>
  <si>
    <t>每个船闸1台</t>
  </si>
  <si>
    <t>每个船闸40块</t>
  </si>
  <si>
    <t>网络柜</t>
  </si>
  <si>
    <t>具体技术要求：前后网孔门，机柜整体尺寸：600*1000*2000mm （宽*深*高），含2个8路PDU；42U标准机柜</t>
  </si>
  <si>
    <t>每个船闸5套（船闸机房1套，闸首机房4套）</t>
  </si>
  <si>
    <t>网络柜配套</t>
  </si>
  <si>
    <t>包括1台网络柜机架式配电箱（含断路器、端子、防雷接地等配件辅材，回路需确保满足网络柜当前配电和防雷需求；）、理线架、盲板、3个PDU电源（符合国标要求，额定电流：不低于16A；具备防雷、防浪涌、阻燃功能），对于不更换网络柜的船闸，包含本次网络柜配套设备的安装上架以及现有设备的接入；</t>
  </si>
  <si>
    <t>船闸本地机房增柜改造</t>
  </si>
  <si>
    <t>船闸机房</t>
  </si>
  <si>
    <t>3.2.1.4</t>
  </si>
  <si>
    <t>本项目主机及存储相关设备及系统的安装调试、附件及辅材</t>
  </si>
  <si>
    <t>3.2.2</t>
  </si>
  <si>
    <t>通信网络系统</t>
  </si>
  <si>
    <t>3.2.2.1</t>
  </si>
  <si>
    <t>外场网段接入</t>
  </si>
  <si>
    <t>3.2.2.2</t>
  </si>
  <si>
    <t>控制网段接入</t>
  </si>
  <si>
    <t>包括控制程序改造、数采模块、工业网闸、工业安全卫士等</t>
  </si>
  <si>
    <t>3.2.2.2.1</t>
  </si>
  <si>
    <t>船闸网络设备更新</t>
  </si>
  <si>
    <t>汇聚交换机</t>
  </si>
  <si>
    <t>具体技术要求：
1.整机交换容量≥826Gbps；转发性能≥264Mpps；
2.单台端口：≥48个千兆电口，≥4个千兆SFP口，≥2个万兆SFP+口，含光模块；
3.支持SPAN/RSPAN镜像和多个镜像观察端口，可以对网络流量进行分析以采取相应管理维护措施;
4.MAC地址表≥32K，IPv4路由表容量≥8K，整机最大ARP地址表≥4K；
5.实现CPU保护功能，能限制非法报文对CPU的攻击，保护交换机在各种环境下稳定工作；
6.支持VRRP、OSPFv1/v2、OSPF v3、BGP、ISIS等增强三层路由协议；
7.支持ERPS以太环保护协议，切换时间≤50ms；
8.支持图形化操作的方式实现对网络的统一运维及管理
9.设备CPU等关键芯片为国产芯片；
含5年原厂质保</t>
  </si>
  <si>
    <t>杨家湾船闸、下坝二号船闸各1台</t>
  </si>
  <si>
    <t>3.2.2.2.2</t>
  </si>
  <si>
    <t>感知网设备</t>
  </si>
  <si>
    <t>核心交换机</t>
  </si>
  <si>
    <t>具体技术要求：
1、硬件架构：主控槽位≥2个，业务槽位数≥4个
2、硬件性能：交换容量≥102.4Tbps，包转发率≥57600Mpps。
3、单台配置：主控≥2个，千兆光口≥48个，千兆电口≥48个
4、支持硬件BFD；
5、设备CPU等关键芯片为国产芯片；
含5年原厂质保</t>
  </si>
  <si>
    <t>船闸环网交换机</t>
  </si>
  <si>
    <t>具体技术要求：
1、端口数量：至少支持24个千兆SFP光口，4个千兆光口，含24个千兆单模光模块（传输距离40公里）；
2、必须满足国产自主可控；
3、支持环网保护协议，自愈时间≤50ms；
4、支持RSTP/MSTP及VRRP等多种冗余组网机制；
5、支持VRRP, OSPF, RIP, IGMP, PIM, 静态路由；
6、支持HTTPS/SSL, SSH, TACACS+, IEEE802.1X, RADIUS；
7、交换容量：48Gbps，路由表 8K，MAC表 32K；
8、支持SNMPv1/v2c/v3,可通过网管软件集中管理；
9、支持管理方式：CLI、Telnet、中文Web界面和consle；
10、网络拓扑结构：支持总线/星型拓扑、环形结构；
11、支持IP/MAC冲突告警，失电告警，电源告警，端口LinkDown告警，环告警；
12、支持IEEE 802.1Q(VLAN)标准协议, 可创建VLAN数≥256个，VLAN ID 1～4093；
13、支持端口聚合、端口流控、端口限速；
14、工作温度：-5℃～+50℃，储存温度：-40℃～+70℃，相对湿度：5～95%无凝露；
含5年原厂质保。</t>
  </si>
  <si>
    <t>杨家湾船闸、下坝二号船闸各4台</t>
  </si>
  <si>
    <t>3.2.2.3</t>
  </si>
  <si>
    <t>南京航道中心通信设备更新</t>
  </si>
  <si>
    <t>电信外网交换机</t>
  </si>
  <si>
    <t>1.交换容量≥670Gbps，包转发率≥170Mpps
2.设备提供不少于24个10/100/1000 BASE-T以太网端口（POE+），不少于4个万兆SFP+，含光模块
3.永久 POE:交换机重启时(如软件版本升级时重启)，对下挂 PD 设备供电不会中断，保证交换机重启过程中 PD 不掉电，实现 POE供电零中断
4.快速 PoE:支持秒级实现对 PD 设备的供电。当PoE 交换机掉电重启时，不需等待交换机重启完成，只要交换机上电就可以继续为 PD 设备供电
5.支持MAC表项≥16K
6.支持 Telemetry 技术，实时采集设备数据并上送至网络分析组件平台，通过智能故障识别算法对网络数据进行分析，精准展现网络实时状态，及时定界故障以及故障发生原因
7.含5年原厂质保</t>
  </si>
  <si>
    <t>航道大厦2楼机房</t>
  </si>
  <si>
    <t>南京处办公网汇聚交换机</t>
  </si>
  <si>
    <t>南京处办公网接入交换机</t>
  </si>
  <si>
    <t>1.交换容量≥670Gbps，包转发率≥200Mpps
2.设备提供48个10/100/1000 BASE-T以太网端口（POE+），4个万兆SFP+，含光模块
3.永久 POE:交换机重启时(如软件版本升级时重启)，对下挂 PD 设备供电不会中断，保证交换机重启过程中 PD 不掉电，实现 POE供电零中断
4.快速 PoE:支持秒级实现对 PD 设备的供电。当PoE 交换机掉电重启时，不需要等待交换机重启完成，只要交换机上电就可以继续为 PD 设备供电
5.支持MAC表项≥16K
6.支持 Telemetry 技术，实时采集设备数据并上送至网络分析组件平台，通过智能故障识别算法对网络数据进行分析，精准展现网络实时状态，及时定界故障以及故障发生原因
7.含5年原厂质保</t>
  </si>
  <si>
    <t>3.2.2.4</t>
  </si>
  <si>
    <t>南京通信线路升级</t>
  </si>
  <si>
    <t>调度业务专线升级</t>
  </si>
  <si>
    <t>运营商专线200M数字电路，至交工验收后5年内</t>
  </si>
  <si>
    <t>杨家湾、下坝船闸至洪蓝船闸集控中心，各船闸至集控中心的2路线路应采用不同运营商专线</t>
  </si>
  <si>
    <t>洪蓝船闸集控中心至南京航网中心，应采用不同运营商专线</t>
  </si>
  <si>
    <t>3.2.2.5</t>
  </si>
  <si>
    <t>本项目相关通信网络线路及网络设备及系统的安装调试、附件及辅材</t>
  </si>
  <si>
    <t>3.2.3</t>
  </si>
  <si>
    <t>网络安全、数据安全设备</t>
  </si>
  <si>
    <t>3.2.3.1</t>
  </si>
  <si>
    <t>数据库审计设备</t>
  </si>
  <si>
    <t>1.硬件规格与性能
国产化硬件平台，标准 1U机架设备，设备标配不低于6个电口，不低于4个千兆SFP接口插槽，硬盘不低于4T，单电源。可审计流量不低于300Mbps、入库速度不低于15000条/秒。此次包含不少于5个被审计数据库服务数，可扩充。
2.此次包含五年硬件免费保修和技术支持服务。</t>
  </si>
  <si>
    <t>软硬一体机</t>
  </si>
  <si>
    <t>XDR管理中心</t>
  </si>
  <si>
    <t>1.硬件规格与性能
国产化硬件平台，设备标配不低于4个千兆电口，不低于4个千兆光口，存储容量不低于16TB。冗余电源。最大可支持不低于2Gbps网络流量的实时接收采集(多路)或10000EPS日志数据采集。此次包含不低于30个管理节点授权。
2.此次包含五年硬件免费保修和技术支持服务。</t>
  </si>
  <si>
    <t>欺骗防御系统（蜜罐）</t>
  </si>
  <si>
    <t>1.硬件规格
国产化硬件平台，硬盘不低于2T*2,设备标配不低于6个千兆电口和不低于4个千兆光口，冗余电源；支持仿真系统数量不低于20个；此次包含软件探针授权100个。
2.此次包含五年硬件免费保修和技术支持服务。</t>
  </si>
  <si>
    <t>入侵防御系统（IPS）</t>
  </si>
  <si>
    <t>1.硬件规格与性能
国产化硬件平台，标准2U机架设备，设备标配不低于4个具备BYPASS功能的10/100/1000Base-T接口，不低于4个千兆光口，不低于2个扩展插槽，不低于2个USB口，双电源；整机网络层吞吐量不低于30G，应用层吞吐量不低于14G，最大并发连接数不小于500万，每秒新建HTTP连接数不低于5万。此次包含五年入侵防御特征库免费升级。
2.此次包含五年硬件免费保修和技术支持服务。</t>
  </si>
  <si>
    <t>容灾备份一体机</t>
  </si>
  <si>
    <t>1.产品由国产化硬件平台、国产化安全操作系统及功能软件构成；
2.双核CPU，CPU核心数≥32核；
3.标配内存≥128GB，≥双高速480G SSD系统盘;
3.支持raid0,1,5, 6, 10, 50, 60，支持3.5"" 数据盘
4.标配千兆电口≥4个，千兆光口≥4个，万兆光口≥2个，扩展槽≥2个。
5.存储：标配≥20T，≥20T定时备份容量授权
6.5年质保，7×24售后技术服务、系统维护、系统故障排除与处理、系统升级、 现场用户使用指导、不定期的客户回访、咨询交流与巡检等服务。
7.标准机架式设备≤2U
8.提供原厂5年质保</t>
  </si>
  <si>
    <t>中心防火墙</t>
  </si>
  <si>
    <t>1.硬件规格与性能
国产化硬件平台，标准1U机架设备，双电源，设备标配不低于6个千兆电口，不低于4个千兆光口；吞吐量不低于15G，并发连接数不低于500万，每秒新建不低于12万/秒；防火墙支持链路聚合；此次包含五年防病毒和防入侵特征库免费升级；
2.此次包含五年硬件免费保修和技术支持服务。</t>
  </si>
  <si>
    <t>更新现有设备</t>
  </si>
  <si>
    <t>3.2.3.2</t>
  </si>
  <si>
    <t>3.2.3.2.1</t>
  </si>
  <si>
    <t>集控中心核心防火墙</t>
  </si>
  <si>
    <t>洪蓝船闸集控中心</t>
  </si>
  <si>
    <t>3.2.3.3</t>
  </si>
  <si>
    <t>船闸本地网络安全设备</t>
  </si>
  <si>
    <t>网闸</t>
  </si>
  <si>
    <t>国产化硬件，内网接口：标配≥4个千兆电口，≥4个千兆SFP插槽，≥1个扩展槽；外网接口：标配标配≥4个千兆电口，≥4个千兆SFP插槽，≥1个扩展槽；
软件系统：默认包含全功能模块，标准配置包含文件传输模块、文件同步模块、邮件访问模块、数据库访问模块、数据库同步模块、自定义访问模块、数据中心模块等。
吞吐不小于500Mbps，并发不小于20万。
支持工控入侵防御特征库，涵盖：HTTP攻击类、拒绝服务类、木马类、蠕虫类、扫描类、网络访问类、系统漏洞类、溢出攻击类等。
采用国内外知名厂商病毒库，支持病毒库升级，并提供后续升级服务。
包含原厂硬件质保期五年。</t>
  </si>
  <si>
    <t>杨家湾船闸、下坝二号船闸各1台，感知网交换机与控制网交换机间</t>
  </si>
  <si>
    <t>船闸核心防火墙</t>
  </si>
  <si>
    <t>服务器区工业防火墙</t>
  </si>
  <si>
    <t>边界防火墙</t>
  </si>
  <si>
    <t>数采模块（干节点）</t>
  </si>
  <si>
    <t>32位及以上处理器，内存不低于16K，不少于8个DI输入端口，4个DO输出端口，1个以太网口，通过干接点方式连接，设备应包含如下软件。
软件功能要求：实现信息网指令向控制网络传输，传输控制指令不少于20个，可采用自定义编码方式实现更多的数据传输，信息网侧设备提供标准的指令接口供软件程序调用。5年质保。</t>
  </si>
  <si>
    <t>杨家湾船闸、下坝二号船闸各2台</t>
  </si>
  <si>
    <t>3.2.3.4</t>
  </si>
  <si>
    <t>本项目相关网络安全、数据安全设备及系统的安装调试、附件及辅材</t>
  </si>
  <si>
    <t>软件第三方测评费</t>
  </si>
  <si>
    <t>安全等级测试费</t>
  </si>
  <si>
    <t>合计</t>
  </si>
  <si>
    <t>元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</si>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</sst>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￥-804]#,##0.00;[Red][$￥-804]#,##0.00"/>
    <numFmt numFmtId="177" formatCode="_-* #,##0.00\ [$€]_-;\-* #,##0.00\ [$€]_-;_-* &quot;-&quot;??\ [$€]_-;_-@_-"/>
    <numFmt numFmtId="178" formatCode="0.00_ "/>
  </numFmts>
  <fonts count="39">
    <font>
      <sz val="11"/>
      <color theme="1"/>
      <name val="等线"/>
      <charset val="134"/>
      <scheme val="minor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b/>
      <sz val="18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sz val="12"/>
      <color rgb="FFFF0000"/>
      <name val="宋体"/>
      <charset val="134"/>
    </font>
    <font>
      <sz val="10.5"/>
      <name val="宋体"/>
      <charset val="134"/>
    </font>
    <font>
      <sz val="12"/>
      <color indexed="8"/>
      <name val="宋体"/>
      <charset val="134"/>
    </font>
    <font>
      <sz val="10"/>
      <name val="宋体"/>
      <charset val="0"/>
    </font>
    <font>
      <b/>
      <sz val="22"/>
      <color indexed="8"/>
      <name val="宋体"/>
      <charset val="134"/>
    </font>
    <font>
      <b/>
      <sz val="32"/>
      <color rgb="FF000000"/>
      <name val="宋体"/>
      <charset val="134"/>
    </font>
    <font>
      <b/>
      <sz val="16"/>
      <name val="宋体"/>
      <charset val="134"/>
    </font>
    <font>
      <b/>
      <sz val="10"/>
      <name val="宋体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16" applyNumberFormat="0" applyAlignment="0" applyProtection="0">
      <alignment vertical="center"/>
    </xf>
    <xf numFmtId="0" fontId="28" fillId="5" borderId="17" applyNumberFormat="0" applyAlignment="0" applyProtection="0">
      <alignment vertical="center"/>
    </xf>
    <xf numFmtId="0" fontId="29" fillId="5" borderId="16" applyNumberFormat="0" applyAlignment="0" applyProtection="0">
      <alignment vertical="center"/>
    </xf>
    <xf numFmtId="0" fontId="30" fillId="6" borderId="18" applyNumberFormat="0" applyAlignment="0" applyProtection="0">
      <alignment vertical="center"/>
    </xf>
    <xf numFmtId="0" fontId="31" fillId="0" borderId="19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0" fillId="0" borderId="0">
      <alignment vertical="center"/>
    </xf>
    <xf numFmtId="176" fontId="38" fillId="0" borderId="0">
      <alignment vertical="center"/>
    </xf>
    <xf numFmtId="177" fontId="0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justify" vertical="center"/>
    </xf>
    <xf numFmtId="0" fontId="7" fillId="0" borderId="0" xfId="0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10" fillId="0" borderId="1" xfId="52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/>
    </xf>
    <xf numFmtId="0" fontId="5" fillId="0" borderId="4" xfId="0" applyFont="1" applyFill="1" applyBorder="1" applyAlignment="1" applyProtection="1">
      <alignment horizontal="center" vertical="center" wrapText="1"/>
    </xf>
    <xf numFmtId="178" fontId="7" fillId="0" borderId="0" xfId="0" applyNumberFormat="1" applyFont="1" applyFill="1" applyBorder="1" applyAlignment="1" applyProtection="1">
      <alignment vertical="center"/>
    </xf>
    <xf numFmtId="0" fontId="11" fillId="0" borderId="0" xfId="0" applyFont="1" applyFill="1" applyBorder="1" applyAlignment="1" applyProtection="1">
      <alignment horizontal="center" vertical="center"/>
    </xf>
    <xf numFmtId="10" fontId="7" fillId="0" borderId="0" xfId="0" applyNumberFormat="1" applyFont="1" applyFill="1" applyBorder="1" applyAlignment="1" applyProtection="1">
      <alignment vertical="center"/>
    </xf>
    <xf numFmtId="0" fontId="8" fillId="0" borderId="0" xfId="0" applyFont="1" applyFill="1" applyBorder="1" applyAlignment="1" applyProtection="1">
      <alignment horizontal="right" vertical="center"/>
    </xf>
    <xf numFmtId="0" fontId="8" fillId="0" borderId="6" xfId="0" applyFont="1" applyFill="1" applyBorder="1" applyAlignment="1" applyProtection="1">
      <alignment horizontal="center" vertical="center"/>
      <protection locked="0"/>
    </xf>
    <xf numFmtId="10" fontId="8" fillId="0" borderId="0" xfId="0" applyNumberFormat="1" applyFont="1" applyFill="1" applyBorder="1" applyAlignment="1" applyProtection="1">
      <alignment vertical="center"/>
    </xf>
    <xf numFmtId="0" fontId="7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10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13" fillId="0" borderId="0" xfId="49" applyFont="1">
      <alignment vertical="center"/>
    </xf>
    <xf numFmtId="0" fontId="14" fillId="0" borderId="0" xfId="0" applyFont="1" applyFill="1" applyBorder="1" applyAlignment="1">
      <alignment vertical="center"/>
    </xf>
    <xf numFmtId="49" fontId="15" fillId="2" borderId="0" xfId="49" applyNumberFormat="1" applyFont="1" applyFill="1" applyAlignment="1">
      <alignment horizontal="center" vertical="center" wrapText="1"/>
    </xf>
    <xf numFmtId="49" fontId="16" fillId="0" borderId="0" xfId="49" applyNumberFormat="1" applyFont="1" applyFill="1" applyAlignment="1">
      <alignment horizontal="center" vertical="center" wrapText="1"/>
    </xf>
    <xf numFmtId="0" fontId="17" fillId="0" borderId="0" xfId="50" applyFont="1" applyAlignment="1">
      <alignment horizontal="right" vertical="center"/>
    </xf>
    <xf numFmtId="0" fontId="17" fillId="0" borderId="0" xfId="50" applyFont="1" applyAlignment="1">
      <alignment horizontal="center" vertical="center" wrapText="1"/>
    </xf>
    <xf numFmtId="0" fontId="17" fillId="0" borderId="0" xfId="50" applyFont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7" fillId="0" borderId="0" xfId="51" applyFont="1" applyAlignment="1">
      <alignment horizontal="righ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船闸清单及编码-20160808" xfId="49"/>
    <cellStyle name="常规_QL1工程量清单（终稿，删航道）" xfId="50"/>
    <cellStyle name="常规_锡澄运河桥梁清单（二次复核，汇总）" xfId="51"/>
    <cellStyle name="常规 2" xfId="52"/>
    <cellStyle name="常规 4" xfId="53"/>
    <cellStyle name="常规 2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"/>
  <sheetViews>
    <sheetView view="pageBreakPreview" zoomScaleNormal="100" topLeftCell="A3" workbookViewId="0">
      <selection activeCell="H5" sqref="H5"/>
    </sheetView>
  </sheetViews>
  <sheetFormatPr defaultColWidth="8.25663716814159" defaultRowHeight="14.25" customHeight="1" outlineLevelRow="7" outlineLevelCol="3"/>
  <cols>
    <col min="1" max="1" width="20.1238938053097" style="50" customWidth="1"/>
    <col min="2" max="2" width="10.6548672566372" style="50" customWidth="1"/>
    <col min="3" max="3" width="47.6283185840708" style="50" customWidth="1"/>
    <col min="4" max="4" width="12.8761061946903" style="50" customWidth="1"/>
    <col min="5" max="16384" width="8.25663716814159" style="50"/>
  </cols>
  <sheetData>
    <row r="1" s="50" customFormat="1" ht="47" customHeight="1" spans="1:4">
      <c r="A1" s="52" t="s">
        <v>0</v>
      </c>
      <c r="B1" s="52"/>
      <c r="C1" s="52"/>
      <c r="D1" s="52"/>
    </row>
    <row r="2" s="50" customFormat="1" ht="67" customHeight="1" spans="1:4">
      <c r="A2" s="52"/>
      <c r="B2" s="52"/>
      <c r="C2" s="52"/>
      <c r="D2" s="52"/>
    </row>
    <row r="3" s="50" customFormat="1" ht="223" customHeight="1"/>
    <row r="4" s="50" customFormat="1" ht="57" customHeight="1" spans="1:4">
      <c r="A4" s="53" t="s">
        <v>1</v>
      </c>
      <c r="B4" s="53"/>
      <c r="C4" s="53"/>
      <c r="D4" s="53"/>
    </row>
    <row r="5" s="50" customFormat="1" ht="255" customHeight="1"/>
    <row r="6" s="51" customFormat="1" ht="40" customHeight="1" spans="1:4">
      <c r="A6" s="54" t="s">
        <v>2</v>
      </c>
      <c r="B6" s="55" t="s">
        <v>3</v>
      </c>
      <c r="C6" s="56"/>
    </row>
    <row r="7" s="51" customFormat="1" ht="40" customHeight="1" spans="1:4">
      <c r="A7" s="54" t="s">
        <v>4</v>
      </c>
      <c r="B7" s="55"/>
      <c r="C7" s="56"/>
      <c r="D7" s="57" t="s">
        <v>5</v>
      </c>
    </row>
    <row r="8" s="51" customFormat="1" ht="40" customHeight="1" spans="1:4">
      <c r="A8" s="58" t="s">
        <v>6</v>
      </c>
      <c r="B8" s="55"/>
      <c r="C8" s="56"/>
    </row>
  </sheetData>
  <mergeCells count="5">
    <mergeCell ref="A4:D4"/>
    <mergeCell ref="B6:C6"/>
    <mergeCell ref="B7:C7"/>
    <mergeCell ref="B8:C8"/>
    <mergeCell ref="A1:D2"/>
  </mergeCells>
  <printOptions horizontalCentered="1"/>
  <pageMargins left="0.700694444444445" right="0.314583333333333" top="0.472222222222222" bottom="0.393055555555556" header="0.594444444444444" footer="0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"/>
  <sheetViews>
    <sheetView view="pageBreakPreview" zoomScale="115" zoomScaleNormal="100" workbookViewId="0">
      <selection activeCell="F8" sqref="F8"/>
    </sheetView>
  </sheetViews>
  <sheetFormatPr defaultColWidth="7.21238938053097" defaultRowHeight="15.75" outlineLevelCol="1"/>
  <cols>
    <col min="1" max="1" width="31.9734513274336" style="41" customWidth="1"/>
    <col min="2" max="2" width="52.9646017699115" style="41" customWidth="1"/>
    <col min="3" max="16384" width="7.21238938053097" style="41"/>
  </cols>
  <sheetData>
    <row r="1" s="41" customFormat="1" ht="40" customHeight="1" spans="1:2">
      <c r="A1" s="27" t="s">
        <v>7</v>
      </c>
      <c r="B1" s="27"/>
    </row>
    <row r="2" s="41" customFormat="1" ht="25" customHeight="1" spans="1:2">
      <c r="A2" s="43" t="s">
        <v>8</v>
      </c>
      <c r="B2" s="43"/>
    </row>
    <row r="3" s="42" customFormat="1" ht="36" customHeight="1" spans="1:2">
      <c r="A3" s="44" t="s">
        <v>9</v>
      </c>
      <c r="B3" s="45"/>
    </row>
    <row r="4" s="42" customFormat="1" ht="36" customHeight="1" spans="1:2">
      <c r="A4" s="46" t="s">
        <v>10</v>
      </c>
      <c r="B4" s="47"/>
    </row>
    <row r="5" s="42" customFormat="1" ht="40" customHeight="1" spans="1:2">
      <c r="A5" s="46" t="s">
        <v>11</v>
      </c>
      <c r="B5" s="47"/>
    </row>
    <row r="6" s="42" customFormat="1" ht="62" customHeight="1" spans="1:2">
      <c r="A6" s="46" t="s">
        <v>12</v>
      </c>
      <c r="B6" s="47"/>
    </row>
    <row r="7" s="42" customFormat="1" ht="62" customHeight="1" spans="1:2">
      <c r="A7" s="46" t="s">
        <v>13</v>
      </c>
      <c r="B7" s="47"/>
    </row>
    <row r="8" s="42" customFormat="1" ht="50" customHeight="1" spans="1:2">
      <c r="A8" s="46" t="s">
        <v>14</v>
      </c>
      <c r="B8" s="47"/>
    </row>
    <row r="9" s="42" customFormat="1" ht="50" customHeight="1" spans="1:2">
      <c r="A9" s="46" t="s">
        <v>15</v>
      </c>
      <c r="B9" s="47"/>
    </row>
    <row r="10" s="42" customFormat="1" ht="36" customHeight="1" spans="1:2">
      <c r="A10" s="48" t="s">
        <v>16</v>
      </c>
      <c r="B10" s="49"/>
    </row>
  </sheetData>
  <sheetProtection algorithmName="SHA-512" hashValue="DdK1faRB/cglrhBWSqH3SM2nF5vgXrf6J9vOWIhQv+UHGYJ4R8ayxBHRPc2B6keSNaJZLU7pgB9Ykl0O6VRqZQ==" saltValue="dkTscKVTa9lALvcy+D0Zaw==" spinCount="100000" sheet="1" formatCells="0" formatColumns="0" formatRows="0" objects="1"/>
  <mergeCells count="10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</mergeCells>
  <printOptions horizontalCentered="1"/>
  <pageMargins left="0.700694444444445" right="0.314583333333333" top="0.472222222222222" bottom="0.393055555555556" header="0.594444444444444" footer="0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9"/>
  <sheetViews>
    <sheetView view="pageBreakPreview" zoomScaleNormal="100" workbookViewId="0">
      <selection activeCell="C11" sqref="C11"/>
    </sheetView>
  </sheetViews>
  <sheetFormatPr defaultColWidth="8.66371681415929" defaultRowHeight="15.75" outlineLevelCol="4"/>
  <cols>
    <col min="1" max="1" width="9.6283185840708" style="24" customWidth="1"/>
    <col min="2" max="2" width="51.8761061946903" style="24" customWidth="1"/>
    <col min="3" max="3" width="22.7522123893805" style="24" customWidth="1"/>
    <col min="4" max="4" width="13.8318584070796" style="24"/>
    <col min="5" max="5" width="14" style="24"/>
    <col min="6" max="6" width="12.6637168141593" style="24"/>
    <col min="7" max="7" width="12.6283185840708" style="24"/>
    <col min="8" max="8" width="9.3716814159292" style="24"/>
    <col min="9" max="16384" width="8.66371681415929" style="24"/>
  </cols>
  <sheetData>
    <row r="1" s="24" customFormat="1" ht="40" customHeight="1" spans="1:5">
      <c r="A1" s="27" t="s">
        <v>17</v>
      </c>
      <c r="B1" s="27"/>
      <c r="C1" s="27"/>
    </row>
    <row r="2" s="24" customFormat="1" ht="30" customHeight="1" spans="1:5">
      <c r="A2" s="28" t="str">
        <f>说明!A2</f>
        <v>项目名称：苏南运河干（支）线数字化转型升级项目施工项目（SZH-SNSG1标段）</v>
      </c>
      <c r="B2" s="29"/>
      <c r="C2" s="29"/>
    </row>
    <row r="3" s="24" customFormat="1" ht="30" customHeight="1" spans="1:5">
      <c r="A3" s="30" t="s">
        <v>18</v>
      </c>
      <c r="B3" s="30" t="s">
        <v>19</v>
      </c>
      <c r="C3" s="30" t="s">
        <v>20</v>
      </c>
    </row>
    <row r="4" s="24" customFormat="1" ht="30" customHeight="1" spans="1:5">
      <c r="A4" s="31" t="s">
        <v>21</v>
      </c>
      <c r="B4" s="31" t="s">
        <v>22</v>
      </c>
      <c r="C4" s="30">
        <f>SUM(工程量清单!G8:G120)</f>
        <v>0</v>
      </c>
    </row>
    <row r="5" s="24" customFormat="1" ht="30" customHeight="1" spans="1:5">
      <c r="A5" s="31" t="s">
        <v>23</v>
      </c>
      <c r="B5" s="31" t="s">
        <v>24</v>
      </c>
      <c r="C5" s="30">
        <f>SUM(工程量清单!G126:G149)</f>
        <v>0</v>
      </c>
    </row>
    <row r="6" s="24" customFormat="1" ht="30" customHeight="1" spans="1:5">
      <c r="A6" s="31" t="s">
        <v>25</v>
      </c>
      <c r="B6" s="31" t="s">
        <v>26</v>
      </c>
      <c r="C6" s="30">
        <f>SUM(工程量清单!G155:G402)</f>
        <v>0</v>
      </c>
    </row>
    <row r="7" s="24" customFormat="1" ht="30" customHeight="1" spans="1:5">
      <c r="A7" s="31" t="s">
        <v>27</v>
      </c>
      <c r="B7" s="31" t="s">
        <v>28</v>
      </c>
      <c r="C7" s="30">
        <f>SUM(工程量清单!G404:G405)</f>
        <v>0</v>
      </c>
    </row>
    <row r="8" s="24" customFormat="1" ht="30" customHeight="1" spans="1:5">
      <c r="A8" s="31" t="s">
        <v>29</v>
      </c>
      <c r="B8" s="32" t="s">
        <v>30</v>
      </c>
      <c r="C8" s="30">
        <f>ROUND(SUM(C4:C7),0)</f>
        <v>0</v>
      </c>
    </row>
    <row r="9" s="24" customFormat="1" ht="30" customHeight="1" spans="1:5">
      <c r="A9" s="31" t="s">
        <v>31</v>
      </c>
      <c r="B9" s="32" t="s">
        <v>32</v>
      </c>
      <c r="C9" s="30">
        <f>ROUND(C8*3%,0)</f>
        <v>0</v>
      </c>
    </row>
    <row r="10" s="24" customFormat="1" ht="30" customHeight="1" spans="1:5">
      <c r="A10" s="31" t="s">
        <v>33</v>
      </c>
      <c r="B10" s="32" t="s">
        <v>34</v>
      </c>
      <c r="C10" s="30">
        <f>ROUND(21230000*1.5%,0)</f>
        <v>318450</v>
      </c>
    </row>
    <row r="11" s="24" customFormat="1" ht="30" customHeight="1" spans="1:5">
      <c r="A11" s="31" t="s">
        <v>35</v>
      </c>
      <c r="B11" s="32" t="s">
        <v>36</v>
      </c>
      <c r="C11" s="33">
        <f>ROUND(21230000*0.3%,0)</f>
        <v>63690</v>
      </c>
    </row>
    <row r="12" s="24" customFormat="1" ht="30" customHeight="1" spans="1:5">
      <c r="A12" s="32" t="s">
        <v>37</v>
      </c>
      <c r="B12" s="34"/>
      <c r="C12" s="33">
        <f>SUM(C8:C11)</f>
        <v>382140</v>
      </c>
      <c r="D12" s="35"/>
    </row>
    <row r="13" s="24" customFormat="1" ht="20" customHeight="1" spans="1:5">
      <c r="C13" s="36"/>
      <c r="D13" s="24"/>
      <c r="E13" s="37"/>
    </row>
    <row r="14" s="24" customFormat="1" ht="20" customHeight="1" spans="1:5">
      <c r="B14" s="38" t="s">
        <v>38</v>
      </c>
      <c r="C14" s="39" t="s">
        <v>5</v>
      </c>
      <c r="D14" s="40"/>
    </row>
    <row r="15" s="25" customFormat="1" ht="20" customHeight="1" spans="1:5">
      <c r="A15" s="24"/>
      <c r="B15" s="38"/>
    </row>
    <row r="16" s="25" customFormat="1" ht="20" customHeight="1" spans="1:5">
      <c r="A16" s="24"/>
      <c r="B16" s="38" t="s">
        <v>39</v>
      </c>
      <c r="C16" s="39" t="s">
        <v>5</v>
      </c>
    </row>
    <row r="17" s="25" customFormat="1" ht="20" customHeight="1" spans="1:3">
      <c r="A17" s="24"/>
      <c r="B17" s="38"/>
    </row>
    <row r="18" s="25" customFormat="1" ht="20" customHeight="1" spans="1:3">
      <c r="A18" s="24"/>
      <c r="B18" s="38" t="s">
        <v>40</v>
      </c>
      <c r="C18" s="39"/>
    </row>
    <row r="19" s="26" customFormat="1" ht="20" customHeight="1" spans="1:3">
      <c r="A19" s="24"/>
      <c r="B19" s="24"/>
      <c r="C19" s="24"/>
    </row>
  </sheetData>
  <sheetProtection algorithmName="SHA-512" hashValue="24ZG/K8zZhyg9bBYrym3+Hq1Pw3VplS2WegHnvRMft52cwdcgytD7YlcqbiyzD2PSBPs0Fs3RgfYfF5NrxIBWA==" saltValue="LVFKWpAYyDIy7SIdMtilZA==" spinCount="100000" sheet="1" formatCells="0" formatColumns="0" formatRows="0" objects="1"/>
  <mergeCells count="3">
    <mergeCell ref="A1:C1"/>
    <mergeCell ref="A2:C2"/>
    <mergeCell ref="A12:B12"/>
  </mergeCells>
  <printOptions horizontalCentered="1"/>
  <pageMargins left="0.700694444444445" right="0.314583333333333" top="0.472222222222222" bottom="0.393055555555556" header="0.594444444444444" footer="0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407"/>
  <sheetViews>
    <sheetView tabSelected="1" view="pageBreakPreview" zoomScale="85" zoomScaleNormal="100" workbookViewId="0">
      <pane ySplit="3" topLeftCell="A376" activePane="bottomLeft" state="frozen"/>
      <selection/>
      <selection pane="bottomLeft" activeCell="B377" sqref="B377"/>
    </sheetView>
  </sheetViews>
  <sheetFormatPr defaultColWidth="9" defaultRowHeight="20" customHeight="1" outlineLevelCol="7"/>
  <cols>
    <col min="1" max="1" width="10" style="3" customWidth="1"/>
    <col min="2" max="2" width="19" style="4" customWidth="1"/>
    <col min="3" max="3" width="59.3716814159292" style="5" customWidth="1"/>
    <col min="4" max="4" width="7.88495575221239" style="3" customWidth="1"/>
    <col min="5" max="5" width="5.88495575221239" style="3" customWidth="1"/>
    <col min="6" max="6" width="10.2477876106195" style="3" customWidth="1"/>
    <col min="7" max="7" width="11.5044247787611" style="3" customWidth="1"/>
    <col min="8" max="8" width="14.3716814159292" style="6" customWidth="1"/>
    <col min="9" max="16384" width="9" style="3"/>
  </cols>
  <sheetData>
    <row r="1" s="1" customFormat="1" ht="40" customHeight="1" spans="1:8">
      <c r="A1" s="7" t="s">
        <v>1</v>
      </c>
      <c r="B1" s="7"/>
      <c r="C1" s="8"/>
      <c r="D1" s="7"/>
      <c r="E1" s="7"/>
      <c r="F1" s="7"/>
      <c r="G1" s="7"/>
      <c r="H1" s="7"/>
    </row>
    <row r="2" s="2" customFormat="1" customHeight="1" spans="1:8">
      <c r="A2" s="9" t="str">
        <f>说明!A2</f>
        <v>项目名称：苏南运河干（支）线数字化转型升级项目施工项目（SZH-SNSG1标段）</v>
      </c>
      <c r="B2" s="10"/>
      <c r="C2" s="9"/>
      <c r="D2" s="9"/>
      <c r="E2" s="9"/>
      <c r="F2" s="9"/>
      <c r="G2" s="9"/>
      <c r="H2" s="11"/>
    </row>
    <row r="3" s="1" customFormat="1" ht="30" customHeight="1" spans="1:8">
      <c r="A3" s="12" t="s">
        <v>18</v>
      </c>
      <c r="B3" s="12" t="s">
        <v>19</v>
      </c>
      <c r="C3" s="12" t="s">
        <v>41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</row>
    <row r="4" s="3" customFormat="1" customHeight="1" spans="1:8">
      <c r="A4" s="13" t="s">
        <v>21</v>
      </c>
      <c r="B4" s="13" t="s">
        <v>22</v>
      </c>
      <c r="C4" s="14"/>
      <c r="D4" s="13"/>
      <c r="E4" s="13"/>
      <c r="F4" s="13"/>
      <c r="G4" s="13"/>
      <c r="H4" s="13"/>
    </row>
    <row r="5" s="3" customFormat="1" customHeight="1" spans="1:8">
      <c r="A5" s="13">
        <v>1.1</v>
      </c>
      <c r="B5" s="13" t="s">
        <v>47</v>
      </c>
      <c r="C5" s="14"/>
      <c r="D5" s="13"/>
      <c r="E5" s="13"/>
      <c r="F5" s="13"/>
      <c r="G5" s="13"/>
      <c r="H5" s="13"/>
    </row>
    <row r="6" s="3" customFormat="1" ht="30" customHeight="1" spans="1:8">
      <c r="A6" s="13" t="s">
        <v>48</v>
      </c>
      <c r="B6" s="13" t="s">
        <v>49</v>
      </c>
      <c r="C6" s="14"/>
      <c r="D6" s="13"/>
      <c r="E6" s="13"/>
      <c r="F6" s="13"/>
      <c r="G6" s="13"/>
      <c r="H6" s="13" t="s">
        <v>50</v>
      </c>
    </row>
    <row r="7" s="3" customFormat="1" customHeight="1" spans="1:8">
      <c r="A7" s="13" t="s">
        <v>51</v>
      </c>
      <c r="B7" s="13" t="s">
        <v>52</v>
      </c>
      <c r="C7" s="14"/>
      <c r="D7" s="13"/>
      <c r="E7" s="13"/>
      <c r="F7" s="13"/>
      <c r="G7" s="13"/>
      <c r="H7" s="13"/>
    </row>
    <row r="8" s="3" customFormat="1" customHeight="1" spans="1:8">
      <c r="A8" s="13">
        <v>-1</v>
      </c>
      <c r="B8" s="13" t="s">
        <v>53</v>
      </c>
      <c r="C8" s="14" t="s">
        <v>54</v>
      </c>
      <c r="D8" s="13" t="s">
        <v>55</v>
      </c>
      <c r="E8" s="13">
        <v>1</v>
      </c>
      <c r="F8" s="15"/>
      <c r="G8" s="13">
        <f>ROUND(E8*F8,2)</f>
        <v>0</v>
      </c>
      <c r="H8" s="13"/>
    </row>
    <row r="9" s="3" customFormat="1" ht="30" customHeight="1" spans="1:8">
      <c r="A9" s="13">
        <v>-2</v>
      </c>
      <c r="B9" s="13" t="s">
        <v>56</v>
      </c>
      <c r="C9" s="14" t="s">
        <v>54</v>
      </c>
      <c r="D9" s="13" t="s">
        <v>55</v>
      </c>
      <c r="E9" s="13">
        <v>1</v>
      </c>
      <c r="F9" s="15"/>
      <c r="G9" s="13">
        <f t="shared" ref="G9:G72" si="0">ROUND(E9*F9,2)</f>
        <v>0</v>
      </c>
      <c r="H9" s="13"/>
    </row>
    <row r="10" s="3" customFormat="1" customHeight="1" spans="1:8">
      <c r="A10" s="13" t="s">
        <v>57</v>
      </c>
      <c r="B10" s="13" t="s">
        <v>58</v>
      </c>
      <c r="C10" s="14"/>
      <c r="D10" s="13"/>
      <c r="E10" s="13"/>
      <c r="F10" s="15"/>
      <c r="G10" s="13"/>
      <c r="H10" s="13"/>
    </row>
    <row r="11" s="3" customFormat="1" customHeight="1" spans="1:8">
      <c r="A11" s="13">
        <v>-1</v>
      </c>
      <c r="B11" s="13" t="s">
        <v>59</v>
      </c>
      <c r="C11" s="14" t="s">
        <v>54</v>
      </c>
      <c r="D11" s="13" t="s">
        <v>55</v>
      </c>
      <c r="E11" s="13">
        <v>1</v>
      </c>
      <c r="F11" s="15"/>
      <c r="G11" s="13">
        <f t="shared" si="0"/>
        <v>0</v>
      </c>
      <c r="H11" s="13"/>
    </row>
    <row r="12" s="3" customFormat="1" customHeight="1" spans="1:8">
      <c r="A12" s="13">
        <v>-2</v>
      </c>
      <c r="B12" s="13" t="s">
        <v>60</v>
      </c>
      <c r="C12" s="14" t="s">
        <v>54</v>
      </c>
      <c r="D12" s="13" t="s">
        <v>55</v>
      </c>
      <c r="E12" s="13">
        <v>1</v>
      </c>
      <c r="F12" s="15"/>
      <c r="G12" s="13">
        <f t="shared" si="0"/>
        <v>0</v>
      </c>
      <c r="H12" s="13"/>
    </row>
    <row r="13" s="3" customFormat="1" customHeight="1" spans="1:8">
      <c r="A13" s="13" t="s">
        <v>61</v>
      </c>
      <c r="B13" s="13" t="s">
        <v>62</v>
      </c>
      <c r="C13" s="14"/>
      <c r="D13" s="13"/>
      <c r="E13" s="13"/>
      <c r="F13" s="15"/>
      <c r="G13" s="13"/>
      <c r="H13" s="13"/>
    </row>
    <row r="14" s="3" customFormat="1" customHeight="1" spans="1:8">
      <c r="A14" s="13" t="s">
        <v>63</v>
      </c>
      <c r="B14" s="13" t="s">
        <v>64</v>
      </c>
      <c r="C14" s="14"/>
      <c r="D14" s="13"/>
      <c r="E14" s="13"/>
      <c r="F14" s="15"/>
      <c r="G14" s="13"/>
      <c r="H14" s="13"/>
    </row>
    <row r="15" s="3" customFormat="1" customHeight="1" spans="1:8">
      <c r="A15" s="13">
        <v>-1</v>
      </c>
      <c r="B15" s="13" t="s">
        <v>65</v>
      </c>
      <c r="C15" s="14" t="s">
        <v>54</v>
      </c>
      <c r="D15" s="13" t="s">
        <v>55</v>
      </c>
      <c r="E15" s="13">
        <v>1</v>
      </c>
      <c r="F15" s="15"/>
      <c r="G15" s="13">
        <f t="shared" si="0"/>
        <v>0</v>
      </c>
      <c r="H15" s="13"/>
    </row>
    <row r="16" s="3" customFormat="1" customHeight="1" spans="1:8">
      <c r="A16" s="13">
        <v>-2</v>
      </c>
      <c r="B16" s="13" t="s">
        <v>66</v>
      </c>
      <c r="C16" s="14" t="s">
        <v>54</v>
      </c>
      <c r="D16" s="13" t="s">
        <v>55</v>
      </c>
      <c r="E16" s="13">
        <v>1</v>
      </c>
      <c r="F16" s="15"/>
      <c r="G16" s="13">
        <f t="shared" si="0"/>
        <v>0</v>
      </c>
      <c r="H16" s="13"/>
    </row>
    <row r="17" s="3" customFormat="1" customHeight="1" spans="1:8">
      <c r="A17" s="13">
        <v>-3</v>
      </c>
      <c r="B17" s="13" t="s">
        <v>67</v>
      </c>
      <c r="C17" s="14" t="s">
        <v>54</v>
      </c>
      <c r="D17" s="13" t="s">
        <v>55</v>
      </c>
      <c r="E17" s="13">
        <v>1</v>
      </c>
      <c r="F17" s="15"/>
      <c r="G17" s="13">
        <f t="shared" si="0"/>
        <v>0</v>
      </c>
      <c r="H17" s="13"/>
    </row>
    <row r="18" s="3" customFormat="1" customHeight="1" spans="1:8">
      <c r="A18" s="13" t="s">
        <v>68</v>
      </c>
      <c r="B18" s="13" t="s">
        <v>69</v>
      </c>
      <c r="C18" s="14" t="s">
        <v>54</v>
      </c>
      <c r="D18" s="13" t="s">
        <v>55</v>
      </c>
      <c r="E18" s="13">
        <v>1</v>
      </c>
      <c r="F18" s="15"/>
      <c r="G18" s="13">
        <f t="shared" si="0"/>
        <v>0</v>
      </c>
      <c r="H18" s="13"/>
    </row>
    <row r="19" s="3" customFormat="1" customHeight="1" spans="1:8">
      <c r="A19" s="13" t="s">
        <v>70</v>
      </c>
      <c r="B19" s="13" t="s">
        <v>71</v>
      </c>
      <c r="C19" s="14"/>
      <c r="D19" s="13"/>
      <c r="E19" s="13"/>
      <c r="F19" s="15"/>
      <c r="G19" s="13"/>
      <c r="H19" s="13"/>
    </row>
    <row r="20" s="3" customFormat="1" customHeight="1" spans="1:8">
      <c r="A20" s="13">
        <v>-1</v>
      </c>
      <c r="B20" s="13" t="s">
        <v>72</v>
      </c>
      <c r="C20" s="14" t="s">
        <v>54</v>
      </c>
      <c r="D20" s="13" t="s">
        <v>55</v>
      </c>
      <c r="E20" s="13">
        <v>1</v>
      </c>
      <c r="F20" s="15"/>
      <c r="G20" s="13">
        <f t="shared" si="0"/>
        <v>0</v>
      </c>
      <c r="H20" s="13"/>
    </row>
    <row r="21" s="3" customFormat="1" customHeight="1" spans="1:8">
      <c r="A21" s="13">
        <v>-2</v>
      </c>
      <c r="B21" s="13" t="s">
        <v>73</v>
      </c>
      <c r="C21" s="14" t="s">
        <v>54</v>
      </c>
      <c r="D21" s="13" t="s">
        <v>55</v>
      </c>
      <c r="E21" s="13">
        <v>1</v>
      </c>
      <c r="F21" s="15"/>
      <c r="G21" s="13">
        <f t="shared" si="0"/>
        <v>0</v>
      </c>
      <c r="H21" s="13"/>
    </row>
    <row r="22" s="3" customFormat="1" customHeight="1" spans="1:8">
      <c r="A22" s="13" t="s">
        <v>74</v>
      </c>
      <c r="B22" s="13" t="s">
        <v>75</v>
      </c>
      <c r="C22" s="14"/>
      <c r="D22" s="13"/>
      <c r="E22" s="13"/>
      <c r="F22" s="15"/>
      <c r="G22" s="13"/>
      <c r="H22" s="13"/>
    </row>
    <row r="23" s="3" customFormat="1" customHeight="1" spans="1:8">
      <c r="A23" s="13">
        <v>-1</v>
      </c>
      <c r="B23" s="13" t="s">
        <v>76</v>
      </c>
      <c r="C23" s="14" t="s">
        <v>54</v>
      </c>
      <c r="D23" s="13" t="s">
        <v>55</v>
      </c>
      <c r="E23" s="13">
        <v>1</v>
      </c>
      <c r="F23" s="15"/>
      <c r="G23" s="13">
        <f t="shared" si="0"/>
        <v>0</v>
      </c>
      <c r="H23" s="13"/>
    </row>
    <row r="24" s="3" customFormat="1" customHeight="1" spans="1:8">
      <c r="A24" s="13">
        <v>-2</v>
      </c>
      <c r="B24" s="13" t="s">
        <v>77</v>
      </c>
      <c r="C24" s="14" t="s">
        <v>54</v>
      </c>
      <c r="D24" s="13" t="s">
        <v>55</v>
      </c>
      <c r="E24" s="13">
        <v>1</v>
      </c>
      <c r="F24" s="15"/>
      <c r="G24" s="13">
        <f t="shared" si="0"/>
        <v>0</v>
      </c>
      <c r="H24" s="13"/>
    </row>
    <row r="25" s="3" customFormat="1" customHeight="1" spans="1:8">
      <c r="A25" s="13" t="s">
        <v>78</v>
      </c>
      <c r="B25" s="13" t="s">
        <v>79</v>
      </c>
      <c r="C25" s="14"/>
      <c r="D25" s="13"/>
      <c r="E25" s="13"/>
      <c r="F25" s="15"/>
      <c r="G25" s="13"/>
      <c r="H25" s="13"/>
    </row>
    <row r="26" s="3" customFormat="1" customHeight="1" spans="1:8">
      <c r="A26" s="13">
        <v>-1</v>
      </c>
      <c r="B26" s="13" t="s">
        <v>80</v>
      </c>
      <c r="C26" s="14" t="s">
        <v>54</v>
      </c>
      <c r="D26" s="13" t="s">
        <v>55</v>
      </c>
      <c r="E26" s="13">
        <v>1</v>
      </c>
      <c r="F26" s="15"/>
      <c r="G26" s="13">
        <f t="shared" si="0"/>
        <v>0</v>
      </c>
      <c r="H26" s="13"/>
    </row>
    <row r="27" s="3" customFormat="1" customHeight="1" spans="1:8">
      <c r="A27" s="13">
        <v>-2</v>
      </c>
      <c r="B27" s="13" t="s">
        <v>81</v>
      </c>
      <c r="C27" s="14" t="s">
        <v>54</v>
      </c>
      <c r="D27" s="13" t="s">
        <v>55</v>
      </c>
      <c r="E27" s="13">
        <v>1</v>
      </c>
      <c r="F27" s="15"/>
      <c r="G27" s="13">
        <f t="shared" si="0"/>
        <v>0</v>
      </c>
      <c r="H27" s="13"/>
    </row>
    <row r="28" s="3" customFormat="1" customHeight="1" spans="1:8">
      <c r="A28" s="13">
        <v>-3</v>
      </c>
      <c r="B28" s="13" t="s">
        <v>82</v>
      </c>
      <c r="C28" s="14" t="s">
        <v>54</v>
      </c>
      <c r="D28" s="13" t="s">
        <v>55</v>
      </c>
      <c r="E28" s="13">
        <v>1</v>
      </c>
      <c r="F28" s="15"/>
      <c r="G28" s="13">
        <f t="shared" si="0"/>
        <v>0</v>
      </c>
      <c r="H28" s="13"/>
    </row>
    <row r="29" s="3" customFormat="1" customHeight="1" spans="1:8">
      <c r="A29" s="13">
        <v>-4</v>
      </c>
      <c r="B29" s="13" t="s">
        <v>83</v>
      </c>
      <c r="C29" s="14" t="s">
        <v>54</v>
      </c>
      <c r="D29" s="13" t="s">
        <v>55</v>
      </c>
      <c r="E29" s="13">
        <v>1</v>
      </c>
      <c r="F29" s="15"/>
      <c r="G29" s="13">
        <f t="shared" si="0"/>
        <v>0</v>
      </c>
      <c r="H29" s="13"/>
    </row>
    <row r="30" s="3" customFormat="1" customHeight="1" spans="1:8">
      <c r="A30" s="13">
        <v>-5</v>
      </c>
      <c r="B30" s="13" t="s">
        <v>84</v>
      </c>
      <c r="C30" s="14" t="s">
        <v>54</v>
      </c>
      <c r="D30" s="13" t="s">
        <v>55</v>
      </c>
      <c r="E30" s="13">
        <v>1</v>
      </c>
      <c r="F30" s="15"/>
      <c r="G30" s="13">
        <f t="shared" si="0"/>
        <v>0</v>
      </c>
      <c r="H30" s="13"/>
    </row>
    <row r="31" s="3" customFormat="1" customHeight="1" spans="1:8">
      <c r="A31" s="13">
        <v>-6</v>
      </c>
      <c r="B31" s="13" t="s">
        <v>85</v>
      </c>
      <c r="C31" s="14" t="s">
        <v>54</v>
      </c>
      <c r="D31" s="13" t="s">
        <v>55</v>
      </c>
      <c r="E31" s="13">
        <v>1</v>
      </c>
      <c r="F31" s="15"/>
      <c r="G31" s="13">
        <f t="shared" si="0"/>
        <v>0</v>
      </c>
      <c r="H31" s="13"/>
    </row>
    <row r="32" s="3" customFormat="1" customHeight="1" spans="1:8">
      <c r="A32" s="13" t="s">
        <v>86</v>
      </c>
      <c r="B32" s="13" t="s">
        <v>87</v>
      </c>
      <c r="C32" s="14"/>
      <c r="D32" s="13"/>
      <c r="E32" s="13"/>
      <c r="F32" s="15"/>
      <c r="G32" s="13"/>
      <c r="H32" s="13"/>
    </row>
    <row r="33" s="3" customFormat="1" customHeight="1" spans="1:8">
      <c r="A33" s="13">
        <v>-1</v>
      </c>
      <c r="B33" s="13" t="s">
        <v>88</v>
      </c>
      <c r="C33" s="14" t="s">
        <v>54</v>
      </c>
      <c r="D33" s="13" t="s">
        <v>55</v>
      </c>
      <c r="E33" s="13">
        <v>1</v>
      </c>
      <c r="F33" s="15"/>
      <c r="G33" s="13">
        <f t="shared" si="0"/>
        <v>0</v>
      </c>
      <c r="H33" s="13"/>
    </row>
    <row r="34" s="3" customFormat="1" customHeight="1" spans="1:8">
      <c r="A34" s="13">
        <v>-2</v>
      </c>
      <c r="B34" s="13" t="s">
        <v>89</v>
      </c>
      <c r="C34" s="14" t="s">
        <v>54</v>
      </c>
      <c r="D34" s="13" t="s">
        <v>55</v>
      </c>
      <c r="E34" s="13">
        <v>1</v>
      </c>
      <c r="F34" s="15"/>
      <c r="G34" s="13">
        <f t="shared" si="0"/>
        <v>0</v>
      </c>
      <c r="H34" s="13"/>
    </row>
    <row r="35" s="3" customFormat="1" customHeight="1" spans="1:8">
      <c r="A35" s="13" t="s">
        <v>90</v>
      </c>
      <c r="B35" s="13" t="s">
        <v>91</v>
      </c>
      <c r="C35" s="14"/>
      <c r="D35" s="13"/>
      <c r="E35" s="13"/>
      <c r="F35" s="15"/>
      <c r="G35" s="13"/>
      <c r="H35" s="13"/>
    </row>
    <row r="36" s="3" customFormat="1" customHeight="1" spans="1:8">
      <c r="A36" s="13" t="s">
        <v>92</v>
      </c>
      <c r="B36" s="13" t="s">
        <v>93</v>
      </c>
      <c r="C36" s="14"/>
      <c r="D36" s="13"/>
      <c r="E36" s="13"/>
      <c r="F36" s="15"/>
      <c r="G36" s="13"/>
      <c r="H36" s="13"/>
    </row>
    <row r="37" s="3" customFormat="1" ht="30" customHeight="1" spans="1:8">
      <c r="A37" s="13">
        <v>-1</v>
      </c>
      <c r="B37" s="13" t="s">
        <v>94</v>
      </c>
      <c r="C37" s="14" t="s">
        <v>54</v>
      </c>
      <c r="D37" s="13" t="s">
        <v>55</v>
      </c>
      <c r="E37" s="13">
        <v>1</v>
      </c>
      <c r="F37" s="15"/>
      <c r="G37" s="13">
        <f t="shared" si="0"/>
        <v>0</v>
      </c>
      <c r="H37" s="13"/>
    </row>
    <row r="38" s="3" customFormat="1" customHeight="1" spans="1:8">
      <c r="A38" s="13">
        <v>-2</v>
      </c>
      <c r="B38" s="13" t="s">
        <v>95</v>
      </c>
      <c r="C38" s="14" t="s">
        <v>54</v>
      </c>
      <c r="D38" s="13" t="s">
        <v>55</v>
      </c>
      <c r="E38" s="13">
        <v>1</v>
      </c>
      <c r="F38" s="15"/>
      <c r="G38" s="13">
        <f t="shared" si="0"/>
        <v>0</v>
      </c>
      <c r="H38" s="13"/>
    </row>
    <row r="39" s="3" customFormat="1" ht="30" customHeight="1" spans="1:8">
      <c r="A39" s="13">
        <v>-3</v>
      </c>
      <c r="B39" s="13" t="s">
        <v>96</v>
      </c>
      <c r="C39" s="14" t="s">
        <v>54</v>
      </c>
      <c r="D39" s="13" t="s">
        <v>55</v>
      </c>
      <c r="E39" s="13">
        <v>1</v>
      </c>
      <c r="F39" s="15"/>
      <c r="G39" s="13">
        <f t="shared" si="0"/>
        <v>0</v>
      </c>
      <c r="H39" s="13"/>
    </row>
    <row r="40" s="3" customFormat="1" customHeight="1" spans="1:8">
      <c r="A40" s="13" t="s">
        <v>97</v>
      </c>
      <c r="B40" s="13" t="s">
        <v>98</v>
      </c>
      <c r="C40" s="14"/>
      <c r="D40" s="13"/>
      <c r="E40" s="13"/>
      <c r="F40" s="15"/>
      <c r="G40" s="13"/>
      <c r="H40" s="13"/>
    </row>
    <row r="41" s="3" customFormat="1" ht="30" customHeight="1" spans="1:8">
      <c r="A41" s="13">
        <v>-1</v>
      </c>
      <c r="B41" s="13" t="s">
        <v>99</v>
      </c>
      <c r="C41" s="14" t="s">
        <v>54</v>
      </c>
      <c r="D41" s="13" t="s">
        <v>55</v>
      </c>
      <c r="E41" s="13">
        <v>1</v>
      </c>
      <c r="F41" s="15"/>
      <c r="G41" s="13">
        <f t="shared" si="0"/>
        <v>0</v>
      </c>
      <c r="H41" s="13"/>
    </row>
    <row r="42" s="3" customFormat="1" customHeight="1" spans="1:8">
      <c r="A42" s="13">
        <v>-2</v>
      </c>
      <c r="B42" s="13" t="s">
        <v>100</v>
      </c>
      <c r="C42" s="14" t="s">
        <v>54</v>
      </c>
      <c r="D42" s="13" t="s">
        <v>55</v>
      </c>
      <c r="E42" s="13">
        <v>1</v>
      </c>
      <c r="F42" s="15"/>
      <c r="G42" s="13">
        <f t="shared" si="0"/>
        <v>0</v>
      </c>
      <c r="H42" s="13"/>
    </row>
    <row r="43" s="3" customFormat="1" customHeight="1" spans="1:8">
      <c r="A43" s="13">
        <v>-3</v>
      </c>
      <c r="B43" s="13" t="s">
        <v>101</v>
      </c>
      <c r="C43" s="14" t="s">
        <v>54</v>
      </c>
      <c r="D43" s="13" t="s">
        <v>55</v>
      </c>
      <c r="E43" s="13">
        <v>1</v>
      </c>
      <c r="F43" s="15"/>
      <c r="G43" s="13">
        <f t="shared" si="0"/>
        <v>0</v>
      </c>
      <c r="H43" s="13"/>
    </row>
    <row r="44" s="3" customFormat="1" customHeight="1" spans="1:8">
      <c r="A44" s="13" t="s">
        <v>102</v>
      </c>
      <c r="B44" s="13" t="s">
        <v>103</v>
      </c>
      <c r="C44" s="14"/>
      <c r="D44" s="13"/>
      <c r="E44" s="13"/>
      <c r="F44" s="15"/>
      <c r="G44" s="13"/>
      <c r="H44" s="13"/>
    </row>
    <row r="45" s="3" customFormat="1" ht="30" customHeight="1" spans="1:8">
      <c r="A45" s="13">
        <v>-1</v>
      </c>
      <c r="B45" s="13" t="s">
        <v>104</v>
      </c>
      <c r="C45" s="14" t="s">
        <v>54</v>
      </c>
      <c r="D45" s="13" t="s">
        <v>55</v>
      </c>
      <c r="E45" s="13">
        <v>1</v>
      </c>
      <c r="F45" s="15"/>
      <c r="G45" s="13">
        <f t="shared" si="0"/>
        <v>0</v>
      </c>
      <c r="H45" s="13"/>
    </row>
    <row r="46" s="3" customFormat="1" ht="30" customHeight="1" spans="1:8">
      <c r="A46" s="13">
        <v>-2</v>
      </c>
      <c r="B46" s="13" t="s">
        <v>105</v>
      </c>
      <c r="C46" s="14" t="s">
        <v>54</v>
      </c>
      <c r="D46" s="13" t="s">
        <v>55</v>
      </c>
      <c r="E46" s="13">
        <v>1</v>
      </c>
      <c r="F46" s="15"/>
      <c r="G46" s="13">
        <f t="shared" si="0"/>
        <v>0</v>
      </c>
      <c r="H46" s="13"/>
    </row>
    <row r="47" s="3" customFormat="1" customHeight="1" spans="1:8">
      <c r="A47" s="13" t="s">
        <v>106</v>
      </c>
      <c r="B47" s="13" t="s">
        <v>107</v>
      </c>
      <c r="C47" s="14"/>
      <c r="D47" s="13"/>
      <c r="E47" s="13"/>
      <c r="F47" s="15"/>
      <c r="G47" s="13"/>
      <c r="H47" s="13"/>
    </row>
    <row r="48" s="3" customFormat="1" customHeight="1" spans="1:8">
      <c r="A48" s="13">
        <v>-1</v>
      </c>
      <c r="B48" s="13" t="s">
        <v>108</v>
      </c>
      <c r="C48" s="14" t="s">
        <v>54</v>
      </c>
      <c r="D48" s="13" t="s">
        <v>55</v>
      </c>
      <c r="E48" s="13">
        <v>1</v>
      </c>
      <c r="F48" s="15"/>
      <c r="G48" s="13">
        <f t="shared" si="0"/>
        <v>0</v>
      </c>
      <c r="H48" s="13"/>
    </row>
    <row r="49" s="3" customFormat="1" customHeight="1" spans="1:8">
      <c r="A49" s="13">
        <v>-2</v>
      </c>
      <c r="B49" s="13" t="s">
        <v>109</v>
      </c>
      <c r="C49" s="14" t="s">
        <v>54</v>
      </c>
      <c r="D49" s="13" t="s">
        <v>55</v>
      </c>
      <c r="E49" s="13">
        <v>1</v>
      </c>
      <c r="F49" s="15"/>
      <c r="G49" s="13">
        <f t="shared" si="0"/>
        <v>0</v>
      </c>
      <c r="H49" s="13"/>
    </row>
    <row r="50" s="3" customFormat="1" customHeight="1" spans="1:8">
      <c r="A50" s="13">
        <v>-3</v>
      </c>
      <c r="B50" s="13" t="s">
        <v>110</v>
      </c>
      <c r="C50" s="14" t="s">
        <v>54</v>
      </c>
      <c r="D50" s="13" t="s">
        <v>55</v>
      </c>
      <c r="E50" s="13">
        <v>1</v>
      </c>
      <c r="F50" s="15"/>
      <c r="G50" s="13">
        <f t="shared" si="0"/>
        <v>0</v>
      </c>
      <c r="H50" s="13"/>
    </row>
    <row r="51" s="3" customFormat="1" customHeight="1" spans="1:8">
      <c r="A51" s="13" t="s">
        <v>111</v>
      </c>
      <c r="B51" s="13" t="s">
        <v>112</v>
      </c>
      <c r="C51" s="14"/>
      <c r="D51" s="13"/>
      <c r="E51" s="13"/>
      <c r="F51" s="15"/>
      <c r="G51" s="13"/>
      <c r="H51" s="13"/>
    </row>
    <row r="52" s="3" customFormat="1" customHeight="1" spans="1:8">
      <c r="A52" s="13">
        <v>-1</v>
      </c>
      <c r="B52" s="13" t="s">
        <v>113</v>
      </c>
      <c r="C52" s="14" t="s">
        <v>54</v>
      </c>
      <c r="D52" s="13" t="s">
        <v>55</v>
      </c>
      <c r="E52" s="13">
        <v>1</v>
      </c>
      <c r="F52" s="15"/>
      <c r="G52" s="13">
        <f t="shared" si="0"/>
        <v>0</v>
      </c>
      <c r="H52" s="13"/>
    </row>
    <row r="53" s="3" customFormat="1" customHeight="1" spans="1:8">
      <c r="A53" s="13">
        <v>-2</v>
      </c>
      <c r="B53" s="13" t="s">
        <v>114</v>
      </c>
      <c r="C53" s="14" t="s">
        <v>54</v>
      </c>
      <c r="D53" s="13" t="s">
        <v>55</v>
      </c>
      <c r="E53" s="13">
        <v>1</v>
      </c>
      <c r="F53" s="15"/>
      <c r="G53" s="13">
        <f t="shared" si="0"/>
        <v>0</v>
      </c>
      <c r="H53" s="13"/>
    </row>
    <row r="54" s="3" customFormat="1" customHeight="1" spans="1:8">
      <c r="A54" s="13" t="s">
        <v>115</v>
      </c>
      <c r="B54" s="13" t="s">
        <v>116</v>
      </c>
      <c r="C54" s="14"/>
      <c r="D54" s="13"/>
      <c r="E54" s="13"/>
      <c r="F54" s="15"/>
      <c r="G54" s="13"/>
      <c r="H54" s="13"/>
    </row>
    <row r="55" s="3" customFormat="1" customHeight="1" spans="1:8">
      <c r="A55" s="13" t="s">
        <v>117</v>
      </c>
      <c r="B55" s="13" t="s">
        <v>118</v>
      </c>
      <c r="C55" s="14"/>
      <c r="D55" s="13"/>
      <c r="E55" s="13"/>
      <c r="F55" s="15"/>
      <c r="G55" s="13"/>
      <c r="H55" s="13"/>
    </row>
    <row r="56" s="3" customFormat="1" customHeight="1" spans="1:8">
      <c r="A56" s="13">
        <v>-1</v>
      </c>
      <c r="B56" s="13" t="s">
        <v>119</v>
      </c>
      <c r="C56" s="14" t="s">
        <v>54</v>
      </c>
      <c r="D56" s="13" t="s">
        <v>55</v>
      </c>
      <c r="E56" s="13">
        <v>1</v>
      </c>
      <c r="F56" s="15"/>
      <c r="G56" s="13">
        <f t="shared" si="0"/>
        <v>0</v>
      </c>
      <c r="H56" s="13"/>
    </row>
    <row r="57" s="3" customFormat="1" customHeight="1" spans="1:8">
      <c r="A57" s="13">
        <v>-2</v>
      </c>
      <c r="B57" s="13" t="s">
        <v>120</v>
      </c>
      <c r="C57" s="14" t="s">
        <v>54</v>
      </c>
      <c r="D57" s="13" t="s">
        <v>55</v>
      </c>
      <c r="E57" s="13">
        <v>1</v>
      </c>
      <c r="F57" s="15"/>
      <c r="G57" s="13">
        <f t="shared" si="0"/>
        <v>0</v>
      </c>
      <c r="H57" s="13"/>
    </row>
    <row r="58" s="3" customFormat="1" customHeight="1" spans="1:8">
      <c r="A58" s="13">
        <v>-3</v>
      </c>
      <c r="B58" s="13" t="s">
        <v>121</v>
      </c>
      <c r="C58" s="14" t="s">
        <v>54</v>
      </c>
      <c r="D58" s="13" t="s">
        <v>55</v>
      </c>
      <c r="E58" s="13">
        <v>1</v>
      </c>
      <c r="F58" s="15"/>
      <c r="G58" s="13">
        <f t="shared" si="0"/>
        <v>0</v>
      </c>
      <c r="H58" s="13"/>
    </row>
    <row r="59" s="3" customFormat="1" customHeight="1" spans="1:8">
      <c r="A59" s="13" t="s">
        <v>122</v>
      </c>
      <c r="B59" s="13" t="s">
        <v>123</v>
      </c>
      <c r="C59" s="14"/>
      <c r="D59" s="13"/>
      <c r="E59" s="13"/>
      <c r="F59" s="15"/>
      <c r="G59" s="13"/>
      <c r="H59" s="13"/>
    </row>
    <row r="60" s="3" customFormat="1" customHeight="1" spans="1:8">
      <c r="A60" s="13">
        <v>-1</v>
      </c>
      <c r="B60" s="13" t="s">
        <v>119</v>
      </c>
      <c r="C60" s="14" t="s">
        <v>54</v>
      </c>
      <c r="D60" s="13" t="s">
        <v>55</v>
      </c>
      <c r="E60" s="13">
        <v>1</v>
      </c>
      <c r="F60" s="15"/>
      <c r="G60" s="13">
        <f t="shared" si="0"/>
        <v>0</v>
      </c>
      <c r="H60" s="13"/>
    </row>
    <row r="61" s="3" customFormat="1" customHeight="1" spans="1:8">
      <c r="A61" s="13">
        <v>-2</v>
      </c>
      <c r="B61" s="13" t="s">
        <v>124</v>
      </c>
      <c r="C61" s="14" t="s">
        <v>54</v>
      </c>
      <c r="D61" s="13" t="s">
        <v>55</v>
      </c>
      <c r="E61" s="13">
        <v>1</v>
      </c>
      <c r="F61" s="15"/>
      <c r="G61" s="13">
        <f t="shared" si="0"/>
        <v>0</v>
      </c>
      <c r="H61" s="13"/>
    </row>
    <row r="62" s="3" customFormat="1" customHeight="1" spans="1:8">
      <c r="A62" s="13">
        <v>-3</v>
      </c>
      <c r="B62" s="13" t="s">
        <v>121</v>
      </c>
      <c r="C62" s="14" t="s">
        <v>54</v>
      </c>
      <c r="D62" s="13" t="s">
        <v>55</v>
      </c>
      <c r="E62" s="13">
        <v>1</v>
      </c>
      <c r="F62" s="15"/>
      <c r="G62" s="13">
        <f t="shared" si="0"/>
        <v>0</v>
      </c>
      <c r="H62" s="13"/>
    </row>
    <row r="63" s="3" customFormat="1" customHeight="1" spans="1:8">
      <c r="A63" s="13">
        <v>-4</v>
      </c>
      <c r="B63" s="13" t="s">
        <v>125</v>
      </c>
      <c r="C63" s="14" t="s">
        <v>54</v>
      </c>
      <c r="D63" s="13" t="s">
        <v>55</v>
      </c>
      <c r="E63" s="13">
        <v>1</v>
      </c>
      <c r="F63" s="15"/>
      <c r="G63" s="13">
        <f t="shared" si="0"/>
        <v>0</v>
      </c>
      <c r="H63" s="13"/>
    </row>
    <row r="64" s="3" customFormat="1" customHeight="1" spans="1:8">
      <c r="A64" s="13" t="s">
        <v>126</v>
      </c>
      <c r="B64" s="13" t="s">
        <v>127</v>
      </c>
      <c r="C64" s="14"/>
      <c r="D64" s="13"/>
      <c r="E64" s="13"/>
      <c r="F64" s="15"/>
      <c r="G64" s="13"/>
      <c r="H64" s="13"/>
    </row>
    <row r="65" s="3" customFormat="1" customHeight="1" spans="1:8">
      <c r="A65" s="13">
        <v>-1</v>
      </c>
      <c r="B65" s="13" t="s">
        <v>128</v>
      </c>
      <c r="C65" s="14" t="s">
        <v>54</v>
      </c>
      <c r="D65" s="13" t="s">
        <v>55</v>
      </c>
      <c r="E65" s="13">
        <v>1</v>
      </c>
      <c r="F65" s="15"/>
      <c r="G65" s="13">
        <f t="shared" si="0"/>
        <v>0</v>
      </c>
      <c r="H65" s="13"/>
    </row>
    <row r="66" s="3" customFormat="1" customHeight="1" spans="1:8">
      <c r="A66" s="13">
        <v>-2</v>
      </c>
      <c r="B66" s="13" t="s">
        <v>129</v>
      </c>
      <c r="C66" s="14" t="s">
        <v>54</v>
      </c>
      <c r="D66" s="13" t="s">
        <v>55</v>
      </c>
      <c r="E66" s="13">
        <v>1</v>
      </c>
      <c r="F66" s="15"/>
      <c r="G66" s="13">
        <f t="shared" si="0"/>
        <v>0</v>
      </c>
      <c r="H66" s="13"/>
    </row>
    <row r="67" s="3" customFormat="1" customHeight="1" spans="1:8">
      <c r="A67" s="13">
        <v>-3</v>
      </c>
      <c r="B67" s="13" t="s">
        <v>130</v>
      </c>
      <c r="C67" s="14" t="s">
        <v>54</v>
      </c>
      <c r="D67" s="13" t="s">
        <v>55</v>
      </c>
      <c r="E67" s="13">
        <v>1</v>
      </c>
      <c r="F67" s="15"/>
      <c r="G67" s="13">
        <f t="shared" si="0"/>
        <v>0</v>
      </c>
      <c r="H67" s="13"/>
    </row>
    <row r="68" s="3" customFormat="1" customHeight="1" spans="1:8">
      <c r="A68" s="13">
        <v>-4</v>
      </c>
      <c r="B68" s="13" t="s">
        <v>121</v>
      </c>
      <c r="C68" s="14" t="s">
        <v>54</v>
      </c>
      <c r="D68" s="13" t="s">
        <v>55</v>
      </c>
      <c r="E68" s="13">
        <v>1</v>
      </c>
      <c r="F68" s="15"/>
      <c r="G68" s="13">
        <f t="shared" si="0"/>
        <v>0</v>
      </c>
      <c r="H68" s="13"/>
    </row>
    <row r="69" s="3" customFormat="1" customHeight="1" spans="1:8">
      <c r="A69" s="13" t="s">
        <v>131</v>
      </c>
      <c r="B69" s="13" t="s">
        <v>132</v>
      </c>
      <c r="C69" s="14"/>
      <c r="D69" s="13"/>
      <c r="E69" s="13"/>
      <c r="F69" s="15"/>
      <c r="G69" s="13"/>
      <c r="H69" s="13"/>
    </row>
    <row r="70" s="3" customFormat="1" customHeight="1" spans="1:8">
      <c r="A70" s="13">
        <v>-1</v>
      </c>
      <c r="B70" s="13" t="s">
        <v>133</v>
      </c>
      <c r="C70" s="14" t="s">
        <v>54</v>
      </c>
      <c r="D70" s="13" t="s">
        <v>55</v>
      </c>
      <c r="E70" s="13">
        <v>1</v>
      </c>
      <c r="F70" s="15"/>
      <c r="G70" s="13">
        <f t="shared" si="0"/>
        <v>0</v>
      </c>
      <c r="H70" s="13"/>
    </row>
    <row r="71" s="3" customFormat="1" customHeight="1" spans="1:8">
      <c r="A71" s="13">
        <v>-2</v>
      </c>
      <c r="B71" s="13" t="s">
        <v>134</v>
      </c>
      <c r="C71" s="14" t="s">
        <v>54</v>
      </c>
      <c r="D71" s="13" t="s">
        <v>55</v>
      </c>
      <c r="E71" s="13">
        <v>1</v>
      </c>
      <c r="F71" s="15"/>
      <c r="G71" s="13">
        <f t="shared" si="0"/>
        <v>0</v>
      </c>
      <c r="H71" s="13"/>
    </row>
    <row r="72" s="3" customFormat="1" customHeight="1" spans="1:8">
      <c r="A72" s="13">
        <v>-3</v>
      </c>
      <c r="B72" s="13" t="s">
        <v>135</v>
      </c>
      <c r="C72" s="14" t="s">
        <v>54</v>
      </c>
      <c r="D72" s="13" t="s">
        <v>55</v>
      </c>
      <c r="E72" s="13">
        <v>1</v>
      </c>
      <c r="F72" s="15"/>
      <c r="G72" s="13">
        <f t="shared" si="0"/>
        <v>0</v>
      </c>
      <c r="H72" s="13"/>
    </row>
    <row r="73" s="3" customFormat="1" customHeight="1" spans="1:8">
      <c r="A73" s="13">
        <v>-4</v>
      </c>
      <c r="B73" s="13" t="s">
        <v>136</v>
      </c>
      <c r="C73" s="14" t="s">
        <v>54</v>
      </c>
      <c r="D73" s="13" t="s">
        <v>55</v>
      </c>
      <c r="E73" s="13">
        <v>1</v>
      </c>
      <c r="F73" s="15"/>
      <c r="G73" s="13">
        <f t="shared" ref="G73:G136" si="1">ROUND(E73*F73,2)</f>
        <v>0</v>
      </c>
      <c r="H73" s="13"/>
    </row>
    <row r="74" s="3" customFormat="1" customHeight="1" spans="1:8">
      <c r="A74" s="13" t="s">
        <v>137</v>
      </c>
      <c r="B74" s="13" t="s">
        <v>138</v>
      </c>
      <c r="C74" s="14"/>
      <c r="D74" s="13"/>
      <c r="E74" s="13"/>
      <c r="F74" s="15"/>
      <c r="G74" s="13"/>
      <c r="H74" s="13"/>
    </row>
    <row r="75" s="3" customFormat="1" customHeight="1" spans="1:8">
      <c r="A75" s="13">
        <v>-1</v>
      </c>
      <c r="B75" s="13" t="s">
        <v>139</v>
      </c>
      <c r="C75" s="14" t="s">
        <v>54</v>
      </c>
      <c r="D75" s="13" t="s">
        <v>55</v>
      </c>
      <c r="E75" s="13">
        <v>1</v>
      </c>
      <c r="F75" s="15"/>
      <c r="G75" s="13">
        <f t="shared" si="1"/>
        <v>0</v>
      </c>
      <c r="H75" s="13"/>
    </row>
    <row r="76" s="3" customFormat="1" customHeight="1" spans="1:8">
      <c r="A76" s="13">
        <v>-2</v>
      </c>
      <c r="B76" s="13" t="s">
        <v>140</v>
      </c>
      <c r="C76" s="14" t="s">
        <v>54</v>
      </c>
      <c r="D76" s="13" t="s">
        <v>55</v>
      </c>
      <c r="E76" s="13">
        <v>1</v>
      </c>
      <c r="F76" s="15"/>
      <c r="G76" s="13">
        <f t="shared" si="1"/>
        <v>0</v>
      </c>
      <c r="H76" s="13"/>
    </row>
    <row r="77" s="3" customFormat="1" customHeight="1" spans="1:8">
      <c r="A77" s="13">
        <v>-3</v>
      </c>
      <c r="B77" s="13" t="s">
        <v>141</v>
      </c>
      <c r="C77" s="14" t="s">
        <v>54</v>
      </c>
      <c r="D77" s="13" t="s">
        <v>55</v>
      </c>
      <c r="E77" s="13">
        <v>1</v>
      </c>
      <c r="F77" s="15"/>
      <c r="G77" s="13">
        <f t="shared" si="1"/>
        <v>0</v>
      </c>
      <c r="H77" s="13"/>
    </row>
    <row r="78" s="3" customFormat="1" customHeight="1" spans="1:8">
      <c r="A78" s="13" t="s">
        <v>142</v>
      </c>
      <c r="B78" s="13" t="s">
        <v>143</v>
      </c>
      <c r="C78" s="14" t="s">
        <v>54</v>
      </c>
      <c r="D78" s="13" t="s">
        <v>55</v>
      </c>
      <c r="E78" s="13">
        <v>2</v>
      </c>
      <c r="F78" s="15"/>
      <c r="G78" s="13">
        <f t="shared" si="1"/>
        <v>0</v>
      </c>
      <c r="H78" s="13"/>
    </row>
    <row r="79" s="3" customFormat="1" ht="30" customHeight="1" spans="1:8">
      <c r="A79" s="13" t="s">
        <v>144</v>
      </c>
      <c r="B79" s="13" t="s">
        <v>145</v>
      </c>
      <c r="C79" s="14"/>
      <c r="D79" s="13"/>
      <c r="E79" s="13"/>
      <c r="F79" s="15"/>
      <c r="G79" s="13"/>
      <c r="H79" s="13" t="s">
        <v>146</v>
      </c>
    </row>
    <row r="80" s="3" customFormat="1" customHeight="1" spans="1:8">
      <c r="A80" s="13" t="s">
        <v>147</v>
      </c>
      <c r="B80" s="13" t="s">
        <v>148</v>
      </c>
      <c r="C80" s="14"/>
      <c r="D80" s="13"/>
      <c r="E80" s="13"/>
      <c r="F80" s="15"/>
      <c r="G80" s="13"/>
      <c r="H80" s="13"/>
    </row>
    <row r="81" s="3" customFormat="1" customHeight="1" spans="1:8">
      <c r="A81" s="13">
        <v>-1</v>
      </c>
      <c r="B81" s="13" t="s">
        <v>149</v>
      </c>
      <c r="C81" s="14" t="s">
        <v>54</v>
      </c>
      <c r="D81" s="13" t="s">
        <v>55</v>
      </c>
      <c r="E81" s="13">
        <v>1</v>
      </c>
      <c r="F81" s="15"/>
      <c r="G81" s="13">
        <f t="shared" si="1"/>
        <v>0</v>
      </c>
      <c r="H81" s="13"/>
    </row>
    <row r="82" s="3" customFormat="1" customHeight="1" spans="1:8">
      <c r="A82" s="13">
        <v>-2</v>
      </c>
      <c r="B82" s="13" t="s">
        <v>114</v>
      </c>
      <c r="C82" s="14" t="s">
        <v>54</v>
      </c>
      <c r="D82" s="13" t="s">
        <v>55</v>
      </c>
      <c r="E82" s="13">
        <v>1</v>
      </c>
      <c r="F82" s="15"/>
      <c r="G82" s="13">
        <f t="shared" si="1"/>
        <v>0</v>
      </c>
      <c r="H82" s="13"/>
    </row>
    <row r="83" s="3" customFormat="1" customHeight="1" spans="1:8">
      <c r="A83" s="13">
        <v>-3</v>
      </c>
      <c r="B83" s="13" t="s">
        <v>150</v>
      </c>
      <c r="C83" s="14" t="s">
        <v>54</v>
      </c>
      <c r="D83" s="13" t="s">
        <v>55</v>
      </c>
      <c r="E83" s="13">
        <v>1</v>
      </c>
      <c r="F83" s="15"/>
      <c r="G83" s="13">
        <f t="shared" si="1"/>
        <v>0</v>
      </c>
      <c r="H83" s="13"/>
    </row>
    <row r="84" s="3" customFormat="1" customHeight="1" spans="1:8">
      <c r="A84" s="13" t="s">
        <v>151</v>
      </c>
      <c r="B84" s="13" t="s">
        <v>152</v>
      </c>
      <c r="C84" s="14"/>
      <c r="D84" s="13"/>
      <c r="E84" s="13"/>
      <c r="F84" s="15"/>
      <c r="G84" s="13"/>
      <c r="H84" s="13"/>
    </row>
    <row r="85" s="3" customFormat="1" customHeight="1" spans="1:8">
      <c r="A85" s="13">
        <v>-1</v>
      </c>
      <c r="B85" s="13" t="s">
        <v>153</v>
      </c>
      <c r="C85" s="14" t="s">
        <v>54</v>
      </c>
      <c r="D85" s="13" t="s">
        <v>55</v>
      </c>
      <c r="E85" s="13">
        <v>1</v>
      </c>
      <c r="F85" s="15"/>
      <c r="G85" s="13">
        <f t="shared" si="1"/>
        <v>0</v>
      </c>
      <c r="H85" s="13"/>
    </row>
    <row r="86" s="3" customFormat="1" customHeight="1" spans="1:8">
      <c r="A86" s="13">
        <v>-2</v>
      </c>
      <c r="B86" s="13" t="s">
        <v>154</v>
      </c>
      <c r="C86" s="14" t="s">
        <v>54</v>
      </c>
      <c r="D86" s="13" t="s">
        <v>55</v>
      </c>
      <c r="E86" s="13">
        <v>1</v>
      </c>
      <c r="F86" s="15"/>
      <c r="G86" s="13">
        <f t="shared" si="1"/>
        <v>0</v>
      </c>
      <c r="H86" s="13"/>
    </row>
    <row r="87" s="3" customFormat="1" customHeight="1" spans="1:8">
      <c r="A87" s="13" t="s">
        <v>155</v>
      </c>
      <c r="B87" s="13" t="s">
        <v>156</v>
      </c>
      <c r="C87" s="14"/>
      <c r="D87" s="13"/>
      <c r="E87" s="13"/>
      <c r="F87" s="15"/>
      <c r="G87" s="13"/>
      <c r="H87" s="13"/>
    </row>
    <row r="88" s="3" customFormat="1" customHeight="1" spans="1:8">
      <c r="A88" s="13">
        <v>-1</v>
      </c>
      <c r="B88" s="13" t="s">
        <v>157</v>
      </c>
      <c r="C88" s="14" t="s">
        <v>54</v>
      </c>
      <c r="D88" s="13" t="s">
        <v>55</v>
      </c>
      <c r="E88" s="13">
        <v>1</v>
      </c>
      <c r="F88" s="15"/>
      <c r="G88" s="13">
        <f t="shared" si="1"/>
        <v>0</v>
      </c>
      <c r="H88" s="13"/>
    </row>
    <row r="89" s="3" customFormat="1" customHeight="1" spans="1:8">
      <c r="A89" s="13">
        <v>-2</v>
      </c>
      <c r="B89" s="13" t="s">
        <v>158</v>
      </c>
      <c r="C89" s="14" t="s">
        <v>54</v>
      </c>
      <c r="D89" s="13" t="s">
        <v>55</v>
      </c>
      <c r="E89" s="13">
        <v>1</v>
      </c>
      <c r="F89" s="15"/>
      <c r="G89" s="13">
        <f t="shared" si="1"/>
        <v>0</v>
      </c>
      <c r="H89" s="13"/>
    </row>
    <row r="90" s="3" customFormat="1" customHeight="1" spans="1:8">
      <c r="A90" s="13">
        <v>-3</v>
      </c>
      <c r="B90" s="13" t="s">
        <v>159</v>
      </c>
      <c r="C90" s="14" t="s">
        <v>54</v>
      </c>
      <c r="D90" s="13" t="s">
        <v>55</v>
      </c>
      <c r="E90" s="13">
        <v>1</v>
      </c>
      <c r="F90" s="15"/>
      <c r="G90" s="13">
        <f t="shared" si="1"/>
        <v>0</v>
      </c>
      <c r="H90" s="13"/>
    </row>
    <row r="91" s="3" customFormat="1" customHeight="1" spans="1:8">
      <c r="A91" s="13">
        <v>-4</v>
      </c>
      <c r="B91" s="13" t="s">
        <v>160</v>
      </c>
      <c r="C91" s="14" t="s">
        <v>54</v>
      </c>
      <c r="D91" s="13" t="s">
        <v>55</v>
      </c>
      <c r="E91" s="13">
        <v>1</v>
      </c>
      <c r="F91" s="15"/>
      <c r="G91" s="13">
        <f t="shared" si="1"/>
        <v>0</v>
      </c>
      <c r="H91" s="13"/>
    </row>
    <row r="92" s="3" customFormat="1" customHeight="1" spans="1:8">
      <c r="A92" s="13" t="s">
        <v>144</v>
      </c>
      <c r="B92" s="13" t="s">
        <v>161</v>
      </c>
      <c r="C92" s="14"/>
      <c r="D92" s="13"/>
      <c r="E92" s="13"/>
      <c r="F92" s="15"/>
      <c r="G92" s="13"/>
      <c r="H92" s="13"/>
    </row>
    <row r="93" s="3" customFormat="1" customHeight="1" spans="1:8">
      <c r="A93" s="13">
        <v>-1</v>
      </c>
      <c r="B93" s="13" t="s">
        <v>162</v>
      </c>
      <c r="C93" s="14" t="s">
        <v>54</v>
      </c>
      <c r="D93" s="13" t="s">
        <v>55</v>
      </c>
      <c r="E93" s="13">
        <v>1</v>
      </c>
      <c r="F93" s="15"/>
      <c r="G93" s="13">
        <f t="shared" si="1"/>
        <v>0</v>
      </c>
      <c r="H93" s="13"/>
    </row>
    <row r="94" s="3" customFormat="1" ht="30" customHeight="1" spans="1:8">
      <c r="A94" s="13">
        <v>-2</v>
      </c>
      <c r="B94" s="13" t="s">
        <v>163</v>
      </c>
      <c r="C94" s="14" t="s">
        <v>54</v>
      </c>
      <c r="D94" s="13" t="s">
        <v>55</v>
      </c>
      <c r="E94" s="13">
        <v>2</v>
      </c>
      <c r="F94" s="15"/>
      <c r="G94" s="13">
        <f t="shared" si="1"/>
        <v>0</v>
      </c>
      <c r="H94" s="13"/>
    </row>
    <row r="95" s="3" customFormat="1" ht="30" customHeight="1" spans="1:8">
      <c r="A95" s="13">
        <v>-3</v>
      </c>
      <c r="B95" s="13" t="s">
        <v>164</v>
      </c>
      <c r="C95" s="14" t="s">
        <v>54</v>
      </c>
      <c r="D95" s="13" t="s">
        <v>55</v>
      </c>
      <c r="E95" s="13">
        <v>2</v>
      </c>
      <c r="F95" s="15"/>
      <c r="G95" s="13">
        <f t="shared" si="1"/>
        <v>0</v>
      </c>
      <c r="H95" s="13"/>
    </row>
    <row r="96" s="3" customFormat="1" customHeight="1" spans="1:8">
      <c r="A96" s="13">
        <v>-4</v>
      </c>
      <c r="B96" s="13" t="s">
        <v>165</v>
      </c>
      <c r="C96" s="14" t="s">
        <v>54</v>
      </c>
      <c r="D96" s="13" t="s">
        <v>55</v>
      </c>
      <c r="E96" s="13">
        <v>1</v>
      </c>
      <c r="F96" s="15"/>
      <c r="G96" s="13">
        <f t="shared" si="1"/>
        <v>0</v>
      </c>
      <c r="H96" s="13"/>
    </row>
    <row r="97" s="3" customFormat="1" ht="30" customHeight="1" spans="1:8">
      <c r="A97" s="13">
        <v>-5</v>
      </c>
      <c r="B97" s="13" t="s">
        <v>166</v>
      </c>
      <c r="C97" s="14"/>
      <c r="D97" s="13" t="s">
        <v>55</v>
      </c>
      <c r="E97" s="13">
        <v>1</v>
      </c>
      <c r="F97" s="15"/>
      <c r="G97" s="13">
        <f t="shared" si="1"/>
        <v>0</v>
      </c>
      <c r="H97" s="13"/>
    </row>
    <row r="98" s="3" customFormat="1" customHeight="1" spans="1:8">
      <c r="A98" s="13" t="s">
        <v>167</v>
      </c>
      <c r="B98" s="13" t="s">
        <v>168</v>
      </c>
      <c r="C98" s="14"/>
      <c r="D98" s="13"/>
      <c r="E98" s="13"/>
      <c r="F98" s="15"/>
      <c r="G98" s="13"/>
      <c r="H98" s="13"/>
    </row>
    <row r="99" s="3" customFormat="1" ht="30" customHeight="1" spans="1:8">
      <c r="A99" s="13" t="s">
        <v>169</v>
      </c>
      <c r="B99" s="13" t="s">
        <v>170</v>
      </c>
      <c r="C99" s="14"/>
      <c r="D99" s="13"/>
      <c r="E99" s="13"/>
      <c r="F99" s="15"/>
      <c r="G99" s="13"/>
      <c r="H99" s="13"/>
    </row>
    <row r="100" s="3" customFormat="1" customHeight="1" spans="1:8">
      <c r="A100" s="13">
        <v>-1</v>
      </c>
      <c r="B100" s="13" t="s">
        <v>171</v>
      </c>
      <c r="C100" s="14" t="s">
        <v>54</v>
      </c>
      <c r="D100" s="13" t="s">
        <v>55</v>
      </c>
      <c r="E100" s="13">
        <v>1</v>
      </c>
      <c r="F100" s="15"/>
      <c r="G100" s="13">
        <f t="shared" si="1"/>
        <v>0</v>
      </c>
      <c r="H100" s="13"/>
    </row>
    <row r="101" s="3" customFormat="1" customHeight="1" spans="1:8">
      <c r="A101" s="13">
        <v>-2</v>
      </c>
      <c r="B101" s="13" t="s">
        <v>172</v>
      </c>
      <c r="C101" s="14" t="s">
        <v>54</v>
      </c>
      <c r="D101" s="13" t="s">
        <v>55</v>
      </c>
      <c r="E101" s="13">
        <v>1</v>
      </c>
      <c r="F101" s="15"/>
      <c r="G101" s="13">
        <f t="shared" si="1"/>
        <v>0</v>
      </c>
      <c r="H101" s="13"/>
    </row>
    <row r="102" s="3" customFormat="1" customHeight="1" spans="1:8">
      <c r="A102" s="13">
        <v>-3</v>
      </c>
      <c r="B102" s="13" t="s">
        <v>173</v>
      </c>
      <c r="C102" s="14" t="s">
        <v>54</v>
      </c>
      <c r="D102" s="13" t="s">
        <v>55</v>
      </c>
      <c r="E102" s="13">
        <v>1</v>
      </c>
      <c r="F102" s="15"/>
      <c r="G102" s="13">
        <f t="shared" si="1"/>
        <v>0</v>
      </c>
      <c r="H102" s="13"/>
    </row>
    <row r="103" s="3" customFormat="1" customHeight="1" spans="1:8">
      <c r="A103" s="13">
        <v>-4</v>
      </c>
      <c r="B103" s="13" t="s">
        <v>174</v>
      </c>
      <c r="C103" s="14" t="s">
        <v>54</v>
      </c>
      <c r="D103" s="13" t="s">
        <v>55</v>
      </c>
      <c r="E103" s="13">
        <v>1</v>
      </c>
      <c r="F103" s="15"/>
      <c r="G103" s="13">
        <f t="shared" si="1"/>
        <v>0</v>
      </c>
      <c r="H103" s="13"/>
    </row>
    <row r="104" s="3" customFormat="1" customHeight="1" spans="1:8">
      <c r="A104" s="13" t="s">
        <v>175</v>
      </c>
      <c r="B104" s="13" t="s">
        <v>176</v>
      </c>
      <c r="C104" s="14"/>
      <c r="D104" s="13"/>
      <c r="E104" s="13"/>
      <c r="F104" s="15"/>
      <c r="G104" s="13"/>
      <c r="H104" s="13"/>
    </row>
    <row r="105" s="3" customFormat="1" customHeight="1" spans="1:8">
      <c r="A105" s="13">
        <v>-1</v>
      </c>
      <c r="B105" s="13" t="s">
        <v>177</v>
      </c>
      <c r="C105" s="14" t="s">
        <v>54</v>
      </c>
      <c r="D105" s="13" t="s">
        <v>55</v>
      </c>
      <c r="E105" s="13">
        <v>1</v>
      </c>
      <c r="F105" s="15"/>
      <c r="G105" s="13">
        <f t="shared" si="1"/>
        <v>0</v>
      </c>
      <c r="H105" s="13"/>
    </row>
    <row r="106" s="3" customFormat="1" customHeight="1" spans="1:8">
      <c r="A106" s="13">
        <v>-2</v>
      </c>
      <c r="B106" s="13" t="s">
        <v>178</v>
      </c>
      <c r="C106" s="14" t="s">
        <v>54</v>
      </c>
      <c r="D106" s="13" t="s">
        <v>55</v>
      </c>
      <c r="E106" s="13">
        <v>1</v>
      </c>
      <c r="F106" s="15"/>
      <c r="G106" s="13">
        <f t="shared" si="1"/>
        <v>0</v>
      </c>
      <c r="H106" s="13"/>
    </row>
    <row r="107" s="3" customFormat="1" customHeight="1" spans="1:8">
      <c r="A107" s="13">
        <v>-3</v>
      </c>
      <c r="B107" s="13" t="s">
        <v>179</v>
      </c>
      <c r="C107" s="14" t="s">
        <v>54</v>
      </c>
      <c r="D107" s="13" t="s">
        <v>55</v>
      </c>
      <c r="E107" s="13">
        <v>1</v>
      </c>
      <c r="F107" s="15"/>
      <c r="G107" s="13">
        <f t="shared" si="1"/>
        <v>0</v>
      </c>
      <c r="H107" s="13"/>
    </row>
    <row r="108" s="3" customFormat="1" customHeight="1" spans="1:8">
      <c r="A108" s="13">
        <v>-4</v>
      </c>
      <c r="B108" s="13" t="s">
        <v>180</v>
      </c>
      <c r="C108" s="14" t="s">
        <v>54</v>
      </c>
      <c r="D108" s="13" t="s">
        <v>55</v>
      </c>
      <c r="E108" s="13">
        <v>1</v>
      </c>
      <c r="F108" s="15"/>
      <c r="G108" s="13">
        <f t="shared" si="1"/>
        <v>0</v>
      </c>
      <c r="H108" s="13"/>
    </row>
    <row r="109" s="3" customFormat="1" customHeight="1" spans="1:8">
      <c r="A109" s="13">
        <v>-5</v>
      </c>
      <c r="B109" s="13" t="s">
        <v>181</v>
      </c>
      <c r="C109" s="14"/>
      <c r="D109" s="13" t="s">
        <v>55</v>
      </c>
      <c r="E109" s="13">
        <v>1</v>
      </c>
      <c r="F109" s="15"/>
      <c r="G109" s="13">
        <f t="shared" si="1"/>
        <v>0</v>
      </c>
      <c r="H109" s="13"/>
    </row>
    <row r="110" s="3" customFormat="1" customHeight="1" spans="1:8">
      <c r="A110" s="13" t="s">
        <v>182</v>
      </c>
      <c r="B110" s="13" t="s">
        <v>183</v>
      </c>
      <c r="C110" s="14"/>
      <c r="D110" s="13"/>
      <c r="E110" s="13"/>
      <c r="F110" s="15"/>
      <c r="G110" s="13"/>
      <c r="H110" s="13"/>
    </row>
    <row r="111" s="3" customFormat="1" customHeight="1" spans="1:8">
      <c r="A111" s="13">
        <v>-1</v>
      </c>
      <c r="B111" s="13" t="s">
        <v>184</v>
      </c>
      <c r="C111" s="14" t="s">
        <v>54</v>
      </c>
      <c r="D111" s="13" t="s">
        <v>55</v>
      </c>
      <c r="E111" s="13">
        <v>1</v>
      </c>
      <c r="F111" s="15"/>
      <c r="G111" s="13">
        <f t="shared" si="1"/>
        <v>0</v>
      </c>
      <c r="H111" s="13"/>
    </row>
    <row r="112" s="3" customFormat="1" ht="30" customHeight="1" spans="1:8">
      <c r="A112" s="13">
        <v>-2</v>
      </c>
      <c r="B112" s="13" t="s">
        <v>185</v>
      </c>
      <c r="C112" s="14" t="s">
        <v>54</v>
      </c>
      <c r="D112" s="13" t="s">
        <v>55</v>
      </c>
      <c r="E112" s="13">
        <v>1</v>
      </c>
      <c r="F112" s="15"/>
      <c r="G112" s="13">
        <f t="shared" si="1"/>
        <v>0</v>
      </c>
      <c r="H112" s="13"/>
    </row>
    <row r="113" s="3" customFormat="1" customHeight="1" spans="1:8">
      <c r="A113" s="13">
        <v>-3</v>
      </c>
      <c r="B113" s="13" t="s">
        <v>186</v>
      </c>
      <c r="C113" s="14" t="s">
        <v>54</v>
      </c>
      <c r="D113" s="13" t="s">
        <v>55</v>
      </c>
      <c r="E113" s="13">
        <v>1</v>
      </c>
      <c r="F113" s="15"/>
      <c r="G113" s="13">
        <f t="shared" si="1"/>
        <v>0</v>
      </c>
      <c r="H113" s="13"/>
    </row>
    <row r="114" s="3" customFormat="1" customHeight="1" spans="1:8">
      <c r="A114" s="13">
        <v>-4</v>
      </c>
      <c r="B114" s="13" t="s">
        <v>187</v>
      </c>
      <c r="C114" s="14" t="s">
        <v>54</v>
      </c>
      <c r="D114" s="13" t="s">
        <v>55</v>
      </c>
      <c r="E114" s="13">
        <v>1</v>
      </c>
      <c r="F114" s="15"/>
      <c r="G114" s="13">
        <f t="shared" si="1"/>
        <v>0</v>
      </c>
      <c r="H114" s="13"/>
    </row>
    <row r="115" s="3" customFormat="1" customHeight="1" spans="1:8">
      <c r="A115" s="13">
        <v>-5</v>
      </c>
      <c r="B115" s="13" t="s">
        <v>188</v>
      </c>
      <c r="C115" s="14" t="s">
        <v>54</v>
      </c>
      <c r="D115" s="13" t="s">
        <v>55</v>
      </c>
      <c r="E115" s="13">
        <v>1</v>
      </c>
      <c r="F115" s="15"/>
      <c r="G115" s="13">
        <f t="shared" si="1"/>
        <v>0</v>
      </c>
      <c r="H115" s="13"/>
    </row>
    <row r="116" s="3" customFormat="1" customHeight="1" spans="1:8">
      <c r="A116" s="13">
        <v>-6</v>
      </c>
      <c r="B116" s="13" t="s">
        <v>189</v>
      </c>
      <c r="C116" s="14" t="s">
        <v>54</v>
      </c>
      <c r="D116" s="13" t="s">
        <v>55</v>
      </c>
      <c r="E116" s="13">
        <v>1</v>
      </c>
      <c r="F116" s="15"/>
      <c r="G116" s="13">
        <f t="shared" si="1"/>
        <v>0</v>
      </c>
      <c r="H116" s="13"/>
    </row>
    <row r="117" s="3" customFormat="1" customHeight="1" spans="1:8">
      <c r="A117" s="13">
        <v>-7</v>
      </c>
      <c r="B117" s="13" t="s">
        <v>190</v>
      </c>
      <c r="C117" s="14" t="s">
        <v>54</v>
      </c>
      <c r="D117" s="13" t="s">
        <v>55</v>
      </c>
      <c r="E117" s="13">
        <v>1</v>
      </c>
      <c r="F117" s="15"/>
      <c r="G117" s="13">
        <f t="shared" si="1"/>
        <v>0</v>
      </c>
      <c r="H117" s="13"/>
    </row>
    <row r="118" s="3" customFormat="1" customHeight="1" spans="1:8">
      <c r="A118" s="13">
        <v>-8</v>
      </c>
      <c r="B118" s="13" t="s">
        <v>191</v>
      </c>
      <c r="C118" s="14" t="s">
        <v>54</v>
      </c>
      <c r="D118" s="13" t="s">
        <v>55</v>
      </c>
      <c r="E118" s="13">
        <v>1</v>
      </c>
      <c r="F118" s="15"/>
      <c r="G118" s="13">
        <f t="shared" si="1"/>
        <v>0</v>
      </c>
      <c r="H118" s="13"/>
    </row>
    <row r="119" s="3" customFormat="1" customHeight="1" spans="1:8">
      <c r="A119" s="13">
        <v>-9</v>
      </c>
      <c r="B119" s="13" t="s">
        <v>192</v>
      </c>
      <c r="C119" s="14" t="s">
        <v>54</v>
      </c>
      <c r="D119" s="13" t="s">
        <v>55</v>
      </c>
      <c r="E119" s="13">
        <v>1</v>
      </c>
      <c r="F119" s="15"/>
      <c r="G119" s="13">
        <f t="shared" si="1"/>
        <v>0</v>
      </c>
      <c r="H119" s="13"/>
    </row>
    <row r="120" s="3" customFormat="1" customHeight="1" spans="1:8">
      <c r="A120" s="13" t="s">
        <v>193</v>
      </c>
      <c r="B120" s="13" t="s">
        <v>194</v>
      </c>
      <c r="C120" s="14" t="s">
        <v>54</v>
      </c>
      <c r="D120" s="13" t="s">
        <v>195</v>
      </c>
      <c r="E120" s="13">
        <v>1</v>
      </c>
      <c r="F120" s="15"/>
      <c r="G120" s="13">
        <f t="shared" si="1"/>
        <v>0</v>
      </c>
      <c r="H120" s="13"/>
    </row>
    <row r="121" s="3" customFormat="1" customHeight="1" spans="1:8">
      <c r="A121" s="13" t="s">
        <v>23</v>
      </c>
      <c r="B121" s="13" t="s">
        <v>24</v>
      </c>
      <c r="C121" s="14"/>
      <c r="D121" s="13"/>
      <c r="E121" s="13"/>
      <c r="F121" s="15"/>
      <c r="G121" s="13"/>
      <c r="H121" s="13"/>
    </row>
    <row r="122" s="3" customFormat="1" customHeight="1" spans="1:8">
      <c r="A122" s="13">
        <v>2.1</v>
      </c>
      <c r="B122" s="13" t="s">
        <v>47</v>
      </c>
      <c r="C122" s="14"/>
      <c r="D122" s="13"/>
      <c r="E122" s="13"/>
      <c r="F122" s="15"/>
      <c r="G122" s="13"/>
      <c r="H122" s="13"/>
    </row>
    <row r="123" s="3" customFormat="1" customHeight="1" spans="1:8">
      <c r="A123" s="13" t="s">
        <v>196</v>
      </c>
      <c r="B123" s="13" t="s">
        <v>49</v>
      </c>
      <c r="C123" s="14"/>
      <c r="D123" s="13"/>
      <c r="E123" s="13"/>
      <c r="F123" s="15"/>
      <c r="G123" s="13"/>
      <c r="H123" s="13"/>
    </row>
    <row r="124" s="3" customFormat="1" ht="30" customHeight="1" spans="1:8">
      <c r="A124" s="13" t="s">
        <v>197</v>
      </c>
      <c r="B124" s="13" t="s">
        <v>198</v>
      </c>
      <c r="C124" s="14"/>
      <c r="D124" s="13"/>
      <c r="E124" s="13"/>
      <c r="F124" s="15"/>
      <c r="G124" s="13"/>
      <c r="H124" s="13" t="s">
        <v>50</v>
      </c>
    </row>
    <row r="125" s="3" customFormat="1" ht="40" customHeight="1" spans="1:8">
      <c r="A125" s="13" t="s">
        <v>199</v>
      </c>
      <c r="B125" s="13" t="s">
        <v>200</v>
      </c>
      <c r="C125" s="14" t="s">
        <v>201</v>
      </c>
      <c r="D125" s="13"/>
      <c r="E125" s="13"/>
      <c r="F125" s="15"/>
      <c r="G125" s="13"/>
      <c r="H125" s="13"/>
    </row>
    <row r="126" s="3" customFormat="1" ht="60" customHeight="1" spans="1:8">
      <c r="A126" s="13">
        <v>-1</v>
      </c>
      <c r="B126" s="13" t="s">
        <v>202</v>
      </c>
      <c r="C126" s="14" t="s">
        <v>203</v>
      </c>
      <c r="D126" s="13" t="s">
        <v>204</v>
      </c>
      <c r="E126" s="13">
        <v>6</v>
      </c>
      <c r="F126" s="15"/>
      <c r="G126" s="13">
        <f t="shared" si="1"/>
        <v>0</v>
      </c>
      <c r="H126" s="13" t="s">
        <v>205</v>
      </c>
    </row>
    <row r="127" s="3" customFormat="1" customHeight="1" spans="1:8">
      <c r="A127" s="13">
        <v>-2</v>
      </c>
      <c r="B127" s="13" t="s">
        <v>206</v>
      </c>
      <c r="C127" s="14" t="s">
        <v>207</v>
      </c>
      <c r="D127" s="13" t="s">
        <v>208</v>
      </c>
      <c r="E127" s="13">
        <v>8</v>
      </c>
      <c r="F127" s="15"/>
      <c r="G127" s="13">
        <f t="shared" si="1"/>
        <v>0</v>
      </c>
      <c r="H127" s="13" t="s">
        <v>209</v>
      </c>
    </row>
    <row r="128" s="3" customFormat="1" ht="40" customHeight="1" spans="1:8">
      <c r="A128" s="13">
        <v>-3</v>
      </c>
      <c r="B128" s="13" t="s">
        <v>210</v>
      </c>
      <c r="C128" s="14" t="s">
        <v>211</v>
      </c>
      <c r="D128" s="13" t="s">
        <v>55</v>
      </c>
      <c r="E128" s="13">
        <v>2</v>
      </c>
      <c r="F128" s="15"/>
      <c r="G128" s="13">
        <f t="shared" si="1"/>
        <v>0</v>
      </c>
      <c r="H128" s="13"/>
    </row>
    <row r="129" s="3" customFormat="1" customHeight="1" spans="1:8">
      <c r="A129" s="13">
        <v>-4</v>
      </c>
      <c r="B129" s="13" t="s">
        <v>212</v>
      </c>
      <c r="C129" s="14" t="s">
        <v>213</v>
      </c>
      <c r="D129" s="13" t="s">
        <v>55</v>
      </c>
      <c r="E129" s="13">
        <v>2</v>
      </c>
      <c r="F129" s="15"/>
      <c r="G129" s="13">
        <f t="shared" si="1"/>
        <v>0</v>
      </c>
      <c r="H129" s="13"/>
    </row>
    <row r="130" s="3" customFormat="1" customHeight="1" spans="1:8">
      <c r="A130" s="13">
        <v>-5</v>
      </c>
      <c r="B130" s="13" t="s">
        <v>214</v>
      </c>
      <c r="C130" s="14"/>
      <c r="D130" s="13" t="s">
        <v>55</v>
      </c>
      <c r="E130" s="13">
        <v>1</v>
      </c>
      <c r="F130" s="15"/>
      <c r="G130" s="13">
        <f t="shared" si="1"/>
        <v>0</v>
      </c>
      <c r="H130" s="13"/>
    </row>
    <row r="131" s="3" customFormat="1" ht="60" customHeight="1" spans="1:8">
      <c r="A131" s="13" t="s">
        <v>215</v>
      </c>
      <c r="B131" s="13" t="s">
        <v>216</v>
      </c>
      <c r="C131" s="14" t="s">
        <v>217</v>
      </c>
      <c r="D131" s="13"/>
      <c r="E131" s="13"/>
      <c r="F131" s="15"/>
      <c r="G131" s="13"/>
      <c r="H131" s="13"/>
    </row>
    <row r="132" s="3" customFormat="1" customHeight="1" spans="1:8">
      <c r="A132" s="13">
        <v>-1</v>
      </c>
      <c r="B132" s="13" t="s">
        <v>218</v>
      </c>
      <c r="C132" s="14"/>
      <c r="D132" s="13" t="s">
        <v>55</v>
      </c>
      <c r="E132" s="13">
        <v>2</v>
      </c>
      <c r="F132" s="15"/>
      <c r="G132" s="13">
        <f t="shared" si="1"/>
        <v>0</v>
      </c>
      <c r="H132" s="13"/>
    </row>
    <row r="133" s="3" customFormat="1" customHeight="1" spans="1:8">
      <c r="A133" s="13">
        <v>-2</v>
      </c>
      <c r="B133" s="13" t="s">
        <v>219</v>
      </c>
      <c r="C133" s="14"/>
      <c r="D133" s="13" t="s">
        <v>55</v>
      </c>
      <c r="E133" s="13">
        <v>2</v>
      </c>
      <c r="F133" s="15"/>
      <c r="G133" s="13">
        <f t="shared" si="1"/>
        <v>0</v>
      </c>
      <c r="H133" s="13"/>
    </row>
    <row r="134" s="3" customFormat="1" customHeight="1" spans="1:8">
      <c r="A134" s="13">
        <v>-3</v>
      </c>
      <c r="B134" s="13" t="s">
        <v>220</v>
      </c>
      <c r="C134" s="14"/>
      <c r="D134" s="13" t="s">
        <v>55</v>
      </c>
      <c r="E134" s="13">
        <v>2</v>
      </c>
      <c r="F134" s="15"/>
      <c r="G134" s="13">
        <f t="shared" si="1"/>
        <v>0</v>
      </c>
      <c r="H134" s="13"/>
    </row>
    <row r="135" s="3" customFormat="1" customHeight="1" spans="1:8">
      <c r="A135" s="13">
        <v>-4</v>
      </c>
      <c r="B135" s="13" t="s">
        <v>216</v>
      </c>
      <c r="C135" s="14"/>
      <c r="D135" s="13" t="s">
        <v>55</v>
      </c>
      <c r="E135" s="13">
        <v>2</v>
      </c>
      <c r="F135" s="15"/>
      <c r="G135" s="13">
        <f t="shared" si="1"/>
        <v>0</v>
      </c>
      <c r="H135" s="13"/>
    </row>
    <row r="136" s="3" customFormat="1" customHeight="1" spans="1:8">
      <c r="A136" s="13" t="s">
        <v>221</v>
      </c>
      <c r="B136" s="13" t="s">
        <v>222</v>
      </c>
      <c r="C136" s="14"/>
      <c r="D136" s="13"/>
      <c r="E136" s="13"/>
      <c r="F136" s="15"/>
      <c r="G136" s="13"/>
      <c r="H136" s="13" t="s">
        <v>223</v>
      </c>
    </row>
    <row r="137" s="3" customFormat="1" ht="30" customHeight="1" spans="1:8">
      <c r="A137" s="13" t="s">
        <v>224</v>
      </c>
      <c r="B137" s="13" t="s">
        <v>225</v>
      </c>
      <c r="C137" s="14" t="s">
        <v>226</v>
      </c>
      <c r="D137" s="13"/>
      <c r="E137" s="13"/>
      <c r="F137" s="15"/>
      <c r="G137" s="13"/>
      <c r="H137" s="13"/>
    </row>
    <row r="138" s="3" customFormat="1" ht="60" customHeight="1" spans="1:8">
      <c r="A138" s="13">
        <v>-1</v>
      </c>
      <c r="B138" s="13" t="s">
        <v>202</v>
      </c>
      <c r="C138" s="14" t="s">
        <v>203</v>
      </c>
      <c r="D138" s="13" t="s">
        <v>204</v>
      </c>
      <c r="E138" s="13">
        <v>26</v>
      </c>
      <c r="F138" s="15"/>
      <c r="G138" s="13">
        <f>ROUND(E138*F138,2)</f>
        <v>0</v>
      </c>
      <c r="H138" s="13"/>
    </row>
    <row r="139" s="3" customFormat="1" ht="30" customHeight="1" spans="1:8">
      <c r="A139" s="13">
        <v>-2</v>
      </c>
      <c r="B139" s="13" t="s">
        <v>227</v>
      </c>
      <c r="C139" s="14" t="s">
        <v>228</v>
      </c>
      <c r="D139" s="13" t="s">
        <v>208</v>
      </c>
      <c r="E139" s="13">
        <v>47.6</v>
      </c>
      <c r="F139" s="15"/>
      <c r="G139" s="13">
        <f>ROUND(E139*F139,2)</f>
        <v>0</v>
      </c>
      <c r="H139" s="13" t="s">
        <v>229</v>
      </c>
    </row>
    <row r="140" s="3" customFormat="1" customHeight="1" spans="1:8">
      <c r="A140" s="13">
        <v>-3</v>
      </c>
      <c r="B140" s="13" t="s">
        <v>230</v>
      </c>
      <c r="C140" s="14" t="s">
        <v>231</v>
      </c>
      <c r="D140" s="13" t="s">
        <v>232</v>
      </c>
      <c r="E140" s="13">
        <v>23</v>
      </c>
      <c r="F140" s="15"/>
      <c r="G140" s="13">
        <f>ROUND(E140*F140,2)</f>
        <v>0</v>
      </c>
      <c r="H140" s="13" t="s">
        <v>233</v>
      </c>
    </row>
    <row r="141" s="3" customFormat="1" customHeight="1" spans="1:8">
      <c r="A141" s="13">
        <v>-4</v>
      </c>
      <c r="B141" s="13" t="s">
        <v>234</v>
      </c>
      <c r="C141" s="14"/>
      <c r="D141" s="13" t="s">
        <v>55</v>
      </c>
      <c r="E141" s="13">
        <v>1</v>
      </c>
      <c r="F141" s="15"/>
      <c r="G141" s="13">
        <f>ROUND(E141*F141,2)</f>
        <v>0</v>
      </c>
      <c r="H141" s="13" t="s">
        <v>235</v>
      </c>
    </row>
    <row r="142" s="3" customFormat="1" ht="60" customHeight="1" spans="1:8">
      <c r="A142" s="13" t="s">
        <v>236</v>
      </c>
      <c r="B142" s="13" t="s">
        <v>216</v>
      </c>
      <c r="C142" s="14" t="s">
        <v>217</v>
      </c>
      <c r="D142" s="13"/>
      <c r="E142" s="13"/>
      <c r="F142" s="15"/>
      <c r="G142" s="13"/>
      <c r="H142" s="13"/>
    </row>
    <row r="143" s="3" customFormat="1" customHeight="1" spans="1:8">
      <c r="A143" s="13">
        <v>-1</v>
      </c>
      <c r="B143" s="13" t="s">
        <v>218</v>
      </c>
      <c r="C143" s="14"/>
      <c r="D143" s="13" t="s">
        <v>55</v>
      </c>
      <c r="E143" s="13">
        <v>1</v>
      </c>
      <c r="F143" s="15"/>
      <c r="G143" s="13">
        <f>ROUND(E143*F143,2)</f>
        <v>0</v>
      </c>
      <c r="H143" s="13"/>
    </row>
    <row r="144" s="3" customFormat="1" customHeight="1" spans="1:8">
      <c r="A144" s="13">
        <v>-2</v>
      </c>
      <c r="B144" s="13" t="s">
        <v>219</v>
      </c>
      <c r="C144" s="14"/>
      <c r="D144" s="13" t="s">
        <v>55</v>
      </c>
      <c r="E144" s="13">
        <v>1</v>
      </c>
      <c r="F144" s="15"/>
      <c r="G144" s="13">
        <f>ROUND(E144*F144,2)</f>
        <v>0</v>
      </c>
      <c r="H144" s="13"/>
    </row>
    <row r="145" s="3" customFormat="1" customHeight="1" spans="1:8">
      <c r="A145" s="13">
        <v>-3</v>
      </c>
      <c r="B145" s="13" t="s">
        <v>220</v>
      </c>
      <c r="C145" s="14"/>
      <c r="D145" s="13" t="s">
        <v>55</v>
      </c>
      <c r="E145" s="13">
        <v>1</v>
      </c>
      <c r="F145" s="15"/>
      <c r="G145" s="13">
        <f>ROUND(E145*F145,2)</f>
        <v>0</v>
      </c>
      <c r="H145" s="13"/>
    </row>
    <row r="146" s="3" customFormat="1" customHeight="1" spans="1:8">
      <c r="A146" s="13">
        <v>-4</v>
      </c>
      <c r="B146" s="13" t="s">
        <v>216</v>
      </c>
      <c r="C146" s="14"/>
      <c r="D146" s="13" t="s">
        <v>55</v>
      </c>
      <c r="E146" s="13">
        <v>1</v>
      </c>
      <c r="F146" s="15"/>
      <c r="G146" s="13">
        <f>ROUND(E146*F146,2)</f>
        <v>0</v>
      </c>
      <c r="H146" s="13"/>
    </row>
    <row r="147" s="3" customFormat="1" customHeight="1" spans="1:8">
      <c r="A147" s="13" t="s">
        <v>237</v>
      </c>
      <c r="B147" s="13" t="s">
        <v>238</v>
      </c>
      <c r="C147" s="14" t="s">
        <v>54</v>
      </c>
      <c r="D147" s="13" t="s">
        <v>55</v>
      </c>
      <c r="E147" s="13">
        <v>1</v>
      </c>
      <c r="F147" s="15"/>
      <c r="G147" s="13">
        <f>ROUND(E147*F147,2)</f>
        <v>0</v>
      </c>
      <c r="H147" s="13"/>
    </row>
    <row r="148" s="3" customFormat="1" customHeight="1" spans="1:8">
      <c r="A148" s="13">
        <v>2.2</v>
      </c>
      <c r="B148" s="13" t="s">
        <v>239</v>
      </c>
      <c r="C148" s="14"/>
      <c r="D148" s="13"/>
      <c r="E148" s="13"/>
      <c r="F148" s="15"/>
      <c r="G148" s="13"/>
      <c r="H148" s="13"/>
    </row>
    <row r="149" s="3" customFormat="1" customHeight="1" spans="1:8">
      <c r="A149" s="13" t="s">
        <v>240</v>
      </c>
      <c r="B149" s="13" t="s">
        <v>238</v>
      </c>
      <c r="C149" s="14" t="s">
        <v>54</v>
      </c>
      <c r="D149" s="13" t="s">
        <v>55</v>
      </c>
      <c r="E149" s="13">
        <v>1</v>
      </c>
      <c r="F149" s="15"/>
      <c r="G149" s="13">
        <f>ROUND(E149*F149,2)</f>
        <v>0</v>
      </c>
      <c r="H149" s="13"/>
    </row>
    <row r="150" s="3" customFormat="1" customHeight="1" spans="1:8">
      <c r="A150" s="13" t="s">
        <v>25</v>
      </c>
      <c r="B150" s="13" t="s">
        <v>241</v>
      </c>
      <c r="C150" s="14"/>
      <c r="D150" s="13"/>
      <c r="E150" s="13"/>
      <c r="F150" s="15"/>
      <c r="G150" s="13"/>
      <c r="H150" s="16"/>
    </row>
    <row r="151" s="3" customFormat="1" customHeight="1" spans="1:8">
      <c r="A151" s="13">
        <v>3.1</v>
      </c>
      <c r="B151" s="13" t="s">
        <v>242</v>
      </c>
      <c r="C151" s="14"/>
      <c r="D151" s="13"/>
      <c r="E151" s="13"/>
      <c r="F151" s="15"/>
      <c r="G151" s="13"/>
      <c r="H151" s="13"/>
    </row>
    <row r="152" s="3" customFormat="1" customHeight="1" spans="1:8">
      <c r="A152" s="13" t="s">
        <v>243</v>
      </c>
      <c r="B152" s="13" t="s">
        <v>47</v>
      </c>
      <c r="C152" s="14"/>
      <c r="D152" s="13"/>
      <c r="E152" s="13"/>
      <c r="F152" s="15"/>
      <c r="G152" s="13"/>
      <c r="H152" s="13"/>
    </row>
    <row r="153" s="3" customFormat="1" customHeight="1" spans="1:8">
      <c r="A153" s="13" t="s">
        <v>244</v>
      </c>
      <c r="B153" s="13" t="s">
        <v>245</v>
      </c>
      <c r="C153" s="14"/>
      <c r="D153" s="13"/>
      <c r="E153" s="13"/>
      <c r="F153" s="15"/>
      <c r="G153" s="13"/>
      <c r="H153" s="13"/>
    </row>
    <row r="154" s="3" customFormat="1" ht="60" customHeight="1" spans="1:8">
      <c r="A154" s="13" t="s">
        <v>246</v>
      </c>
      <c r="B154" s="13" t="s">
        <v>247</v>
      </c>
      <c r="C154" s="14"/>
      <c r="D154" s="13"/>
      <c r="E154" s="13"/>
      <c r="F154" s="15"/>
      <c r="G154" s="13"/>
      <c r="H154" s="13" t="s">
        <v>248</v>
      </c>
    </row>
    <row r="155" s="3" customFormat="1" ht="300" customHeight="1" spans="1:8">
      <c r="A155" s="13">
        <v>-1</v>
      </c>
      <c r="B155" s="13" t="s">
        <v>249</v>
      </c>
      <c r="C155" s="14" t="s">
        <v>250</v>
      </c>
      <c r="D155" s="13" t="s">
        <v>251</v>
      </c>
      <c r="E155" s="13">
        <v>2</v>
      </c>
      <c r="F155" s="15"/>
      <c r="G155" s="13">
        <f t="shared" ref="G155:G164" si="2">ROUND(E155*F155,2)</f>
        <v>0</v>
      </c>
      <c r="H155" s="13"/>
    </row>
    <row r="156" s="3" customFormat="1" ht="320" customHeight="1" spans="1:8">
      <c r="A156" s="13">
        <v>-2</v>
      </c>
      <c r="B156" s="13" t="s">
        <v>252</v>
      </c>
      <c r="C156" s="14" t="s">
        <v>253</v>
      </c>
      <c r="D156" s="13" t="s">
        <v>251</v>
      </c>
      <c r="E156" s="13">
        <v>2</v>
      </c>
      <c r="F156" s="15"/>
      <c r="G156" s="13">
        <f t="shared" si="2"/>
        <v>0</v>
      </c>
      <c r="H156" s="13"/>
    </row>
    <row r="157" s="3" customFormat="1" ht="250" customHeight="1" spans="1:8">
      <c r="A157" s="13">
        <v>-3</v>
      </c>
      <c r="B157" s="13" t="s">
        <v>254</v>
      </c>
      <c r="C157" s="14" t="s">
        <v>255</v>
      </c>
      <c r="D157" s="13" t="s">
        <v>251</v>
      </c>
      <c r="E157" s="13">
        <v>2</v>
      </c>
      <c r="F157" s="15"/>
      <c r="G157" s="13">
        <f t="shared" si="2"/>
        <v>0</v>
      </c>
      <c r="H157" s="13"/>
    </row>
    <row r="158" s="3" customFormat="1" ht="180" customHeight="1" spans="1:8">
      <c r="A158" s="13">
        <v>-4</v>
      </c>
      <c r="B158" s="13" t="s">
        <v>256</v>
      </c>
      <c r="C158" s="14" t="s">
        <v>257</v>
      </c>
      <c r="D158" s="13" t="s">
        <v>251</v>
      </c>
      <c r="E158" s="13">
        <v>2</v>
      </c>
      <c r="F158" s="15"/>
      <c r="G158" s="13">
        <f t="shared" si="2"/>
        <v>0</v>
      </c>
      <c r="H158" s="13"/>
    </row>
    <row r="159" s="3" customFormat="1" ht="80" customHeight="1" spans="1:8">
      <c r="A159" s="13">
        <v>-5</v>
      </c>
      <c r="B159" s="13" t="s">
        <v>258</v>
      </c>
      <c r="C159" s="14" t="s">
        <v>259</v>
      </c>
      <c r="D159" s="13" t="s">
        <v>251</v>
      </c>
      <c r="E159" s="13">
        <v>2</v>
      </c>
      <c r="F159" s="15"/>
      <c r="G159" s="13">
        <f t="shared" si="2"/>
        <v>0</v>
      </c>
      <c r="H159" s="13"/>
    </row>
    <row r="160" s="3" customFormat="1" ht="150" customHeight="1" spans="1:8">
      <c r="A160" s="13">
        <v>-6</v>
      </c>
      <c r="B160" s="13" t="s">
        <v>260</v>
      </c>
      <c r="C160" s="14" t="s">
        <v>261</v>
      </c>
      <c r="D160" s="13" t="s">
        <v>251</v>
      </c>
      <c r="E160" s="13">
        <v>2</v>
      </c>
      <c r="F160" s="15"/>
      <c r="G160" s="13">
        <f t="shared" si="2"/>
        <v>0</v>
      </c>
      <c r="H160" s="13"/>
    </row>
    <row r="161" s="3" customFormat="1" ht="30" customHeight="1" spans="1:8">
      <c r="A161" s="13">
        <v>-7</v>
      </c>
      <c r="B161" s="13" t="s">
        <v>262</v>
      </c>
      <c r="C161" s="14" t="s">
        <v>263</v>
      </c>
      <c r="D161" s="13" t="s">
        <v>264</v>
      </c>
      <c r="E161" s="13">
        <v>1</v>
      </c>
      <c r="F161" s="17"/>
      <c r="G161" s="13">
        <f t="shared" si="2"/>
        <v>0</v>
      </c>
      <c r="H161" s="13" t="s">
        <v>265</v>
      </c>
    </row>
    <row r="162" s="3" customFormat="1" customHeight="1" spans="1:8">
      <c r="A162" s="13">
        <v>-8</v>
      </c>
      <c r="B162" s="13" t="s">
        <v>266</v>
      </c>
      <c r="C162" s="14" t="s">
        <v>267</v>
      </c>
      <c r="D162" s="13" t="s">
        <v>268</v>
      </c>
      <c r="E162" s="13">
        <v>250</v>
      </c>
      <c r="F162" s="15"/>
      <c r="G162" s="13">
        <f t="shared" si="2"/>
        <v>0</v>
      </c>
      <c r="H162" s="13"/>
    </row>
    <row r="163" s="3" customFormat="1" ht="30" customHeight="1" spans="1:8">
      <c r="A163" s="13">
        <v>-9</v>
      </c>
      <c r="B163" s="13" t="s">
        <v>269</v>
      </c>
      <c r="C163" s="14"/>
      <c r="D163" s="13" t="s">
        <v>270</v>
      </c>
      <c r="E163" s="13">
        <v>4</v>
      </c>
      <c r="F163" s="15"/>
      <c r="G163" s="13">
        <f t="shared" si="2"/>
        <v>0</v>
      </c>
      <c r="H163" s="13" t="s">
        <v>271</v>
      </c>
    </row>
    <row r="164" s="3" customFormat="1" ht="30" customHeight="1" spans="1:8">
      <c r="A164" s="13">
        <v>-10</v>
      </c>
      <c r="B164" s="13" t="s">
        <v>272</v>
      </c>
      <c r="C164" s="14" t="s">
        <v>273</v>
      </c>
      <c r="D164" s="13" t="s">
        <v>268</v>
      </c>
      <c r="E164" s="13">
        <v>250</v>
      </c>
      <c r="F164" s="15"/>
      <c r="G164" s="13">
        <f t="shared" si="2"/>
        <v>0</v>
      </c>
      <c r="H164" s="13" t="s">
        <v>271</v>
      </c>
    </row>
    <row r="165" s="3" customFormat="1" ht="120" customHeight="1" spans="1:8">
      <c r="A165" s="13">
        <v>-12</v>
      </c>
      <c r="B165" s="13" t="s">
        <v>274</v>
      </c>
      <c r="C165" s="14" t="s">
        <v>275</v>
      </c>
      <c r="D165" s="13" t="s">
        <v>251</v>
      </c>
      <c r="E165" s="13">
        <v>1</v>
      </c>
      <c r="F165" s="15"/>
      <c r="G165" s="13">
        <f t="shared" ref="G165:G199" si="3">ROUND(E165*F165,2)</f>
        <v>0</v>
      </c>
      <c r="H165" s="13"/>
    </row>
    <row r="166" s="3" customFormat="1" ht="30" customHeight="1" spans="1:8">
      <c r="A166" s="13">
        <v>-13</v>
      </c>
      <c r="B166" s="13" t="s">
        <v>276</v>
      </c>
      <c r="C166" s="14" t="s">
        <v>277</v>
      </c>
      <c r="D166" s="13" t="s">
        <v>268</v>
      </c>
      <c r="E166" s="13">
        <v>20</v>
      </c>
      <c r="F166" s="15"/>
      <c r="G166" s="13">
        <f t="shared" si="3"/>
        <v>0</v>
      </c>
      <c r="H166" s="13" t="s">
        <v>271</v>
      </c>
    </row>
    <row r="167" s="3" customFormat="1" ht="320" customHeight="1" spans="1:8">
      <c r="A167" s="13">
        <v>-14</v>
      </c>
      <c r="B167" s="13" t="s">
        <v>278</v>
      </c>
      <c r="C167" s="14" t="s">
        <v>279</v>
      </c>
      <c r="D167" s="13" t="s">
        <v>195</v>
      </c>
      <c r="E167" s="13">
        <v>1</v>
      </c>
      <c r="F167" s="15"/>
      <c r="G167" s="13">
        <f t="shared" si="3"/>
        <v>0</v>
      </c>
      <c r="H167" s="13"/>
    </row>
    <row r="168" s="3" customFormat="1" ht="30" customHeight="1" spans="1:8">
      <c r="A168" s="13">
        <v>-15</v>
      </c>
      <c r="B168" s="13" t="s">
        <v>280</v>
      </c>
      <c r="C168" s="14" t="s">
        <v>281</v>
      </c>
      <c r="D168" s="13" t="s">
        <v>55</v>
      </c>
      <c r="E168" s="13">
        <v>1</v>
      </c>
      <c r="F168" s="15"/>
      <c r="G168" s="13">
        <f t="shared" si="3"/>
        <v>0</v>
      </c>
      <c r="H168" s="13"/>
    </row>
    <row r="169" s="3" customFormat="1" ht="30" customHeight="1" spans="1:8">
      <c r="A169" s="13" t="s">
        <v>282</v>
      </c>
      <c r="B169" s="13" t="s">
        <v>283</v>
      </c>
      <c r="C169" s="14" t="s">
        <v>284</v>
      </c>
      <c r="D169" s="13"/>
      <c r="E169" s="13"/>
      <c r="F169" s="15"/>
      <c r="G169" s="13"/>
      <c r="H169" s="13"/>
    </row>
    <row r="170" s="3" customFormat="1" ht="280" customHeight="1" spans="1:8">
      <c r="A170" s="13">
        <v>-1</v>
      </c>
      <c r="B170" s="13" t="s">
        <v>249</v>
      </c>
      <c r="C170" s="14" t="s">
        <v>250</v>
      </c>
      <c r="D170" s="13" t="s">
        <v>251</v>
      </c>
      <c r="E170" s="13">
        <v>2</v>
      </c>
      <c r="F170" s="15"/>
      <c r="G170" s="13">
        <f t="shared" si="3"/>
        <v>0</v>
      </c>
      <c r="H170" s="13"/>
    </row>
    <row r="171" s="3" customFormat="1" ht="320" customHeight="1" spans="1:8">
      <c r="A171" s="13">
        <v>-2</v>
      </c>
      <c r="B171" s="13" t="s">
        <v>252</v>
      </c>
      <c r="C171" s="14" t="s">
        <v>253</v>
      </c>
      <c r="D171" s="13" t="s">
        <v>251</v>
      </c>
      <c r="E171" s="13">
        <v>4</v>
      </c>
      <c r="F171" s="15"/>
      <c r="G171" s="13">
        <f t="shared" si="3"/>
        <v>0</v>
      </c>
      <c r="H171" s="13"/>
    </row>
    <row r="172" s="3" customFormat="1" ht="150" customHeight="1" spans="1:8">
      <c r="A172" s="13">
        <v>-3</v>
      </c>
      <c r="B172" s="13" t="s">
        <v>285</v>
      </c>
      <c r="C172" s="14" t="s">
        <v>286</v>
      </c>
      <c r="D172" s="13" t="s">
        <v>195</v>
      </c>
      <c r="E172" s="13">
        <v>1</v>
      </c>
      <c r="F172" s="15"/>
      <c r="G172" s="13">
        <f t="shared" si="3"/>
        <v>0</v>
      </c>
      <c r="H172" s="13"/>
    </row>
    <row r="173" s="3" customFormat="1" ht="180" customHeight="1" spans="1:8">
      <c r="A173" s="13">
        <v>-4</v>
      </c>
      <c r="B173" s="13" t="s">
        <v>256</v>
      </c>
      <c r="C173" s="14" t="s">
        <v>257</v>
      </c>
      <c r="D173" s="13" t="s">
        <v>251</v>
      </c>
      <c r="E173" s="13">
        <v>4</v>
      </c>
      <c r="F173" s="15"/>
      <c r="G173" s="13">
        <f t="shared" si="3"/>
        <v>0</v>
      </c>
      <c r="H173" s="13"/>
    </row>
    <row r="174" s="3" customFormat="1" ht="80" customHeight="1" spans="1:8">
      <c r="A174" s="13">
        <v>-5</v>
      </c>
      <c r="B174" s="13" t="s">
        <v>258</v>
      </c>
      <c r="C174" s="14" t="s">
        <v>259</v>
      </c>
      <c r="D174" s="13" t="s">
        <v>251</v>
      </c>
      <c r="E174" s="13">
        <v>4</v>
      </c>
      <c r="F174" s="15"/>
      <c r="G174" s="13">
        <f t="shared" si="3"/>
        <v>0</v>
      </c>
      <c r="H174" s="13"/>
    </row>
    <row r="175" s="3" customFormat="1" ht="120" customHeight="1" spans="1:8">
      <c r="A175" s="13">
        <v>-6</v>
      </c>
      <c r="B175" s="13" t="s">
        <v>274</v>
      </c>
      <c r="C175" s="14" t="s">
        <v>275</v>
      </c>
      <c r="D175" s="13" t="s">
        <v>251</v>
      </c>
      <c r="E175" s="13">
        <v>8</v>
      </c>
      <c r="F175" s="15"/>
      <c r="G175" s="13">
        <f t="shared" si="3"/>
        <v>0</v>
      </c>
      <c r="H175" s="13"/>
    </row>
    <row r="176" s="3" customFormat="1" customHeight="1" spans="1:8">
      <c r="A176" s="13">
        <v>-7</v>
      </c>
      <c r="B176" s="13" t="s">
        <v>287</v>
      </c>
      <c r="C176" s="14" t="s">
        <v>263</v>
      </c>
      <c r="D176" s="13" t="s">
        <v>264</v>
      </c>
      <c r="E176" s="13">
        <v>2</v>
      </c>
      <c r="F176" s="15"/>
      <c r="G176" s="13">
        <f t="shared" si="3"/>
        <v>0</v>
      </c>
      <c r="H176" s="13"/>
    </row>
    <row r="177" s="3" customFormat="1" customHeight="1" spans="1:8">
      <c r="A177" s="13">
        <v>-8</v>
      </c>
      <c r="B177" s="13" t="s">
        <v>262</v>
      </c>
      <c r="C177" s="14" t="s">
        <v>263</v>
      </c>
      <c r="D177" s="13" t="s">
        <v>264</v>
      </c>
      <c r="E177" s="13">
        <v>2</v>
      </c>
      <c r="F177" s="17"/>
      <c r="G177" s="13">
        <f t="shared" si="3"/>
        <v>0</v>
      </c>
      <c r="H177" s="13"/>
    </row>
    <row r="178" s="3" customFormat="1" ht="320" customHeight="1" spans="1:8">
      <c r="A178" s="13">
        <v>-9</v>
      </c>
      <c r="B178" s="13" t="s">
        <v>278</v>
      </c>
      <c r="C178" s="14" t="s">
        <v>279</v>
      </c>
      <c r="D178" s="13" t="s">
        <v>195</v>
      </c>
      <c r="E178" s="13">
        <v>4</v>
      </c>
      <c r="F178" s="15"/>
      <c r="G178" s="13">
        <f t="shared" si="3"/>
        <v>0</v>
      </c>
      <c r="H178" s="13"/>
    </row>
    <row r="179" s="3" customFormat="1" ht="30" customHeight="1" spans="1:8">
      <c r="A179" s="13">
        <v>-12</v>
      </c>
      <c r="B179" s="13" t="s">
        <v>280</v>
      </c>
      <c r="C179" s="14" t="s">
        <v>281</v>
      </c>
      <c r="D179" s="13" t="s">
        <v>55</v>
      </c>
      <c r="E179" s="13">
        <v>1</v>
      </c>
      <c r="F179" s="15"/>
      <c r="G179" s="13">
        <f t="shared" si="3"/>
        <v>0</v>
      </c>
      <c r="H179" s="13"/>
    </row>
    <row r="180" s="3" customFormat="1" customHeight="1" spans="1:8">
      <c r="A180" s="13" t="s">
        <v>288</v>
      </c>
      <c r="B180" s="13" t="s">
        <v>289</v>
      </c>
      <c r="C180" s="14" t="s">
        <v>290</v>
      </c>
      <c r="D180" s="13"/>
      <c r="E180" s="13"/>
      <c r="F180" s="15"/>
      <c r="G180" s="13"/>
      <c r="H180" s="13"/>
    </row>
    <row r="181" s="3" customFormat="1" ht="300" customHeight="1" spans="1:8">
      <c r="A181" s="13">
        <v>-1</v>
      </c>
      <c r="B181" s="13" t="s">
        <v>291</v>
      </c>
      <c r="C181" s="14" t="s">
        <v>292</v>
      </c>
      <c r="D181" s="13" t="s">
        <v>251</v>
      </c>
      <c r="E181" s="13">
        <v>4</v>
      </c>
      <c r="F181" s="15"/>
      <c r="G181" s="13">
        <f t="shared" si="3"/>
        <v>0</v>
      </c>
      <c r="H181" s="13"/>
    </row>
    <row r="182" s="3" customFormat="1" ht="150" customHeight="1" spans="1:8">
      <c r="A182" s="13">
        <v>-2</v>
      </c>
      <c r="B182" s="13" t="s">
        <v>293</v>
      </c>
      <c r="C182" s="14" t="s">
        <v>286</v>
      </c>
      <c r="D182" s="13" t="s">
        <v>195</v>
      </c>
      <c r="E182" s="13">
        <v>1</v>
      </c>
      <c r="F182" s="15"/>
      <c r="G182" s="13">
        <f t="shared" si="3"/>
        <v>0</v>
      </c>
      <c r="H182" s="13"/>
    </row>
    <row r="183" s="3" customFormat="1" customHeight="1" spans="1:8">
      <c r="A183" s="13">
        <v>-3</v>
      </c>
      <c r="B183" s="13" t="s">
        <v>294</v>
      </c>
      <c r="C183" s="14" t="s">
        <v>295</v>
      </c>
      <c r="D183" s="13" t="s">
        <v>195</v>
      </c>
      <c r="E183" s="13">
        <v>4</v>
      </c>
      <c r="F183" s="15"/>
      <c r="G183" s="13">
        <f t="shared" si="3"/>
        <v>0</v>
      </c>
      <c r="H183" s="13"/>
    </row>
    <row r="184" s="3" customFormat="1" ht="30" customHeight="1" spans="1:8">
      <c r="A184" s="13">
        <v>-4</v>
      </c>
      <c r="B184" s="13" t="s">
        <v>280</v>
      </c>
      <c r="C184" s="14" t="s">
        <v>281</v>
      </c>
      <c r="D184" s="13" t="s">
        <v>55</v>
      </c>
      <c r="E184" s="13">
        <v>1</v>
      </c>
      <c r="F184" s="15"/>
      <c r="G184" s="13">
        <f t="shared" si="3"/>
        <v>0</v>
      </c>
      <c r="H184" s="13"/>
    </row>
    <row r="185" s="3" customFormat="1" customHeight="1" spans="1:8">
      <c r="A185" s="13" t="s">
        <v>296</v>
      </c>
      <c r="B185" s="13" t="s">
        <v>297</v>
      </c>
      <c r="C185" s="14" t="s">
        <v>298</v>
      </c>
      <c r="D185" s="13"/>
      <c r="E185" s="13"/>
      <c r="F185" s="15"/>
      <c r="G185" s="13"/>
      <c r="H185" s="13"/>
    </row>
    <row r="186" s="3" customFormat="1" ht="300" customHeight="1" spans="1:8">
      <c r="A186" s="13">
        <v>-1</v>
      </c>
      <c r="B186" s="13" t="s">
        <v>249</v>
      </c>
      <c r="C186" s="14" t="s">
        <v>250</v>
      </c>
      <c r="D186" s="13" t="s">
        <v>195</v>
      </c>
      <c r="E186" s="13">
        <v>2</v>
      </c>
      <c r="F186" s="15"/>
      <c r="G186" s="13">
        <f t="shared" si="3"/>
        <v>0</v>
      </c>
      <c r="H186" s="13"/>
    </row>
    <row r="187" s="3" customFormat="1" customHeight="1" spans="1:8">
      <c r="A187" s="13">
        <v>-2</v>
      </c>
      <c r="B187" s="13" t="s">
        <v>299</v>
      </c>
      <c r="C187" s="14" t="s">
        <v>295</v>
      </c>
      <c r="D187" s="13" t="s">
        <v>195</v>
      </c>
      <c r="E187" s="13">
        <v>2</v>
      </c>
      <c r="F187" s="15"/>
      <c r="G187" s="13">
        <f t="shared" si="3"/>
        <v>0</v>
      </c>
      <c r="H187" s="13"/>
    </row>
    <row r="188" s="3" customFormat="1" ht="150" customHeight="1" spans="1:8">
      <c r="A188" s="13">
        <v>-3</v>
      </c>
      <c r="B188" s="13" t="s">
        <v>300</v>
      </c>
      <c r="C188" s="14" t="s">
        <v>286</v>
      </c>
      <c r="D188" s="13" t="s">
        <v>195</v>
      </c>
      <c r="E188" s="13">
        <v>2</v>
      </c>
      <c r="F188" s="15"/>
      <c r="G188" s="13">
        <f t="shared" si="3"/>
        <v>0</v>
      </c>
      <c r="H188" s="13"/>
    </row>
    <row r="189" s="3" customFormat="1" ht="30" customHeight="1" spans="1:8">
      <c r="A189" s="13">
        <v>-4</v>
      </c>
      <c r="B189" s="13" t="s">
        <v>280</v>
      </c>
      <c r="C189" s="14" t="s">
        <v>281</v>
      </c>
      <c r="D189" s="13" t="s">
        <v>55</v>
      </c>
      <c r="E189" s="13">
        <v>1</v>
      </c>
      <c r="F189" s="15"/>
      <c r="G189" s="13">
        <f t="shared" si="3"/>
        <v>0</v>
      </c>
      <c r="H189" s="13"/>
    </row>
    <row r="190" s="3" customFormat="1" ht="40" customHeight="1" spans="1:8">
      <c r="A190" s="13" t="s">
        <v>301</v>
      </c>
      <c r="B190" s="13" t="s">
        <v>302</v>
      </c>
      <c r="C190" s="14" t="s">
        <v>303</v>
      </c>
      <c r="D190" s="13"/>
      <c r="E190" s="13"/>
      <c r="F190" s="15"/>
      <c r="G190" s="13"/>
      <c r="H190" s="13"/>
    </row>
    <row r="191" s="3" customFormat="1" ht="250" customHeight="1" spans="1:8">
      <c r="A191" s="13">
        <v>-1</v>
      </c>
      <c r="B191" s="13" t="s">
        <v>254</v>
      </c>
      <c r="C191" s="14" t="s">
        <v>255</v>
      </c>
      <c r="D191" s="13" t="s">
        <v>195</v>
      </c>
      <c r="E191" s="13">
        <v>6</v>
      </c>
      <c r="F191" s="15"/>
      <c r="G191" s="13">
        <f t="shared" si="3"/>
        <v>0</v>
      </c>
      <c r="H191" s="13" t="s">
        <v>304</v>
      </c>
    </row>
    <row r="192" s="3" customFormat="1" ht="300" customHeight="1" spans="1:8">
      <c r="A192" s="13">
        <v>-2</v>
      </c>
      <c r="B192" s="13" t="s">
        <v>249</v>
      </c>
      <c r="C192" s="14" t="s">
        <v>250</v>
      </c>
      <c r="D192" s="13" t="s">
        <v>195</v>
      </c>
      <c r="E192" s="13">
        <v>2</v>
      </c>
      <c r="F192" s="15"/>
      <c r="G192" s="13">
        <f t="shared" si="3"/>
        <v>0</v>
      </c>
      <c r="H192" s="13" t="s">
        <v>305</v>
      </c>
    </row>
    <row r="193" s="3" customFormat="1" customHeight="1" spans="1:8">
      <c r="A193" s="13">
        <v>-3</v>
      </c>
      <c r="B193" s="13" t="s">
        <v>262</v>
      </c>
      <c r="C193" s="14" t="s">
        <v>263</v>
      </c>
      <c r="D193" s="13" t="s">
        <v>195</v>
      </c>
      <c r="E193" s="13">
        <v>2</v>
      </c>
      <c r="F193" s="17"/>
      <c r="G193" s="13">
        <f t="shared" si="3"/>
        <v>0</v>
      </c>
      <c r="H193" s="13" t="s">
        <v>306</v>
      </c>
    </row>
    <row r="194" s="3" customFormat="1" ht="150" customHeight="1" spans="1:8">
      <c r="A194" s="13">
        <v>-4</v>
      </c>
      <c r="B194" s="13" t="s">
        <v>307</v>
      </c>
      <c r="C194" s="14" t="s">
        <v>261</v>
      </c>
      <c r="D194" s="13" t="s">
        <v>195</v>
      </c>
      <c r="E194" s="13">
        <v>2</v>
      </c>
      <c r="F194" s="15"/>
      <c r="G194" s="13">
        <f t="shared" si="3"/>
        <v>0</v>
      </c>
      <c r="H194" s="13"/>
    </row>
    <row r="195" s="3" customFormat="1" ht="30" customHeight="1" spans="1:8">
      <c r="A195" s="13">
        <v>-5</v>
      </c>
      <c r="B195" s="13" t="s">
        <v>280</v>
      </c>
      <c r="C195" s="14" t="s">
        <v>281</v>
      </c>
      <c r="D195" s="13" t="s">
        <v>55</v>
      </c>
      <c r="E195" s="13">
        <v>1</v>
      </c>
      <c r="F195" s="15"/>
      <c r="G195" s="13">
        <f t="shared" si="3"/>
        <v>0</v>
      </c>
      <c r="H195" s="13"/>
    </row>
    <row r="196" s="3" customFormat="1" customHeight="1" spans="1:8">
      <c r="A196" s="13" t="s">
        <v>308</v>
      </c>
      <c r="B196" s="13" t="s">
        <v>309</v>
      </c>
      <c r="C196" s="14"/>
      <c r="D196" s="13"/>
      <c r="E196" s="13"/>
      <c r="F196" s="15"/>
      <c r="G196" s="13"/>
      <c r="H196" s="13"/>
    </row>
    <row r="197" s="3" customFormat="1" ht="409" customHeight="1" spans="1:8">
      <c r="A197" s="13">
        <v>-1</v>
      </c>
      <c r="B197" s="13" t="s">
        <v>310</v>
      </c>
      <c r="C197" s="14" t="s">
        <v>311</v>
      </c>
      <c r="D197" s="13" t="s">
        <v>195</v>
      </c>
      <c r="E197" s="13">
        <v>2</v>
      </c>
      <c r="F197" s="15"/>
      <c r="G197" s="13">
        <f t="shared" si="3"/>
        <v>0</v>
      </c>
      <c r="H197" s="13"/>
    </row>
    <row r="198" s="3" customFormat="1" ht="320" customHeight="1" spans="1:8">
      <c r="A198" s="13">
        <v>-2</v>
      </c>
      <c r="B198" s="13" t="s">
        <v>312</v>
      </c>
      <c r="C198" s="14" t="s">
        <v>313</v>
      </c>
      <c r="D198" s="13" t="s">
        <v>195</v>
      </c>
      <c r="E198" s="13">
        <v>2</v>
      </c>
      <c r="F198" s="15"/>
      <c r="G198" s="13">
        <f t="shared" si="3"/>
        <v>0</v>
      </c>
      <c r="H198" s="13"/>
    </row>
    <row r="199" s="3" customFormat="1" customHeight="1" spans="1:8">
      <c r="A199" s="13">
        <v>-3</v>
      </c>
      <c r="B199" s="13" t="s">
        <v>314</v>
      </c>
      <c r="C199" s="14" t="s">
        <v>263</v>
      </c>
      <c r="D199" s="13" t="s">
        <v>264</v>
      </c>
      <c r="E199" s="13">
        <v>2</v>
      </c>
      <c r="F199" s="15"/>
      <c r="G199" s="13">
        <f t="shared" si="3"/>
        <v>0</v>
      </c>
      <c r="H199" s="13"/>
    </row>
    <row r="200" s="3" customFormat="1" ht="150" customHeight="1" spans="1:8">
      <c r="A200" s="13">
        <v>-4</v>
      </c>
      <c r="B200" s="13" t="s">
        <v>315</v>
      </c>
      <c r="C200" s="14" t="s">
        <v>286</v>
      </c>
      <c r="D200" s="13" t="s">
        <v>55</v>
      </c>
      <c r="E200" s="13">
        <v>1</v>
      </c>
      <c r="F200" s="15"/>
      <c r="G200" s="13">
        <f t="shared" ref="G200:G263" si="4">ROUND(E200*F200,2)</f>
        <v>0</v>
      </c>
      <c r="H200" s="13"/>
    </row>
    <row r="201" s="3" customFormat="1" ht="320" customHeight="1" spans="1:8">
      <c r="A201" s="13">
        <v>-5</v>
      </c>
      <c r="B201" s="13" t="s">
        <v>278</v>
      </c>
      <c r="C201" s="14" t="s">
        <v>279</v>
      </c>
      <c r="D201" s="13" t="s">
        <v>195</v>
      </c>
      <c r="E201" s="13">
        <v>2</v>
      </c>
      <c r="F201" s="15"/>
      <c r="G201" s="13">
        <f t="shared" si="4"/>
        <v>0</v>
      </c>
      <c r="H201" s="13"/>
    </row>
    <row r="202" s="3" customFormat="1" ht="30" customHeight="1" spans="1:8">
      <c r="A202" s="13">
        <v>-6</v>
      </c>
      <c r="B202" s="13" t="s">
        <v>280</v>
      </c>
      <c r="C202" s="14" t="s">
        <v>281</v>
      </c>
      <c r="D202" s="13" t="s">
        <v>55</v>
      </c>
      <c r="E202" s="13">
        <v>1</v>
      </c>
      <c r="F202" s="15"/>
      <c r="G202" s="13">
        <f t="shared" si="4"/>
        <v>0</v>
      </c>
      <c r="H202" s="13"/>
    </row>
    <row r="203" s="3" customFormat="1" ht="30" customHeight="1" spans="1:8">
      <c r="A203" s="13" t="s">
        <v>316</v>
      </c>
      <c r="B203" s="13" t="s">
        <v>317</v>
      </c>
      <c r="C203" s="14" t="s">
        <v>318</v>
      </c>
      <c r="D203" s="13"/>
      <c r="E203" s="13"/>
      <c r="F203" s="15"/>
      <c r="G203" s="13"/>
      <c r="H203" s="13"/>
    </row>
    <row r="204" s="3" customFormat="1" ht="300" customHeight="1" spans="1:8">
      <c r="A204" s="13">
        <v>-1</v>
      </c>
      <c r="B204" s="13" t="s">
        <v>249</v>
      </c>
      <c r="C204" s="14" t="s">
        <v>250</v>
      </c>
      <c r="D204" s="13" t="s">
        <v>251</v>
      </c>
      <c r="E204" s="13">
        <v>2</v>
      </c>
      <c r="F204" s="15"/>
      <c r="G204" s="13">
        <f t="shared" si="4"/>
        <v>0</v>
      </c>
      <c r="H204" s="13"/>
    </row>
    <row r="205" s="3" customFormat="1" ht="250" customHeight="1" spans="1:8">
      <c r="A205" s="13">
        <v>-2</v>
      </c>
      <c r="B205" s="13" t="s">
        <v>319</v>
      </c>
      <c r="C205" s="14" t="s">
        <v>320</v>
      </c>
      <c r="D205" s="13" t="s">
        <v>251</v>
      </c>
      <c r="E205" s="13">
        <v>2</v>
      </c>
      <c r="F205" s="15"/>
      <c r="G205" s="13">
        <f t="shared" si="4"/>
        <v>0</v>
      </c>
      <c r="H205" s="13"/>
    </row>
    <row r="206" s="3" customFormat="1" ht="150" customHeight="1" spans="1:8">
      <c r="A206" s="13">
        <v>-3</v>
      </c>
      <c r="B206" s="13" t="s">
        <v>321</v>
      </c>
      <c r="C206" s="14" t="s">
        <v>322</v>
      </c>
      <c r="D206" s="13" t="s">
        <v>195</v>
      </c>
      <c r="E206" s="13">
        <v>2</v>
      </c>
      <c r="F206" s="15"/>
      <c r="G206" s="13">
        <f t="shared" si="4"/>
        <v>0</v>
      </c>
      <c r="H206" s="13"/>
    </row>
    <row r="207" s="3" customFormat="1" customHeight="1" spans="1:8">
      <c r="A207" s="13">
        <v>-4</v>
      </c>
      <c r="B207" s="13" t="s">
        <v>323</v>
      </c>
      <c r="C207" s="14" t="s">
        <v>324</v>
      </c>
      <c r="D207" s="13" t="s">
        <v>264</v>
      </c>
      <c r="E207" s="13">
        <v>2</v>
      </c>
      <c r="F207" s="15"/>
      <c r="G207" s="13">
        <f t="shared" si="4"/>
        <v>0</v>
      </c>
      <c r="H207" s="13"/>
    </row>
    <row r="208" s="3" customFormat="1" ht="150" customHeight="1" spans="1:8">
      <c r="A208" s="13">
        <v>-5</v>
      </c>
      <c r="B208" s="13" t="s">
        <v>325</v>
      </c>
      <c r="C208" s="14" t="s">
        <v>286</v>
      </c>
      <c r="D208" s="13" t="s">
        <v>195</v>
      </c>
      <c r="E208" s="13">
        <v>1</v>
      </c>
      <c r="F208" s="15"/>
      <c r="G208" s="13">
        <f t="shared" si="4"/>
        <v>0</v>
      </c>
      <c r="H208" s="13"/>
    </row>
    <row r="209" s="3" customFormat="1" ht="30" customHeight="1" spans="1:8">
      <c r="A209" s="13">
        <v>-6</v>
      </c>
      <c r="B209" s="13" t="s">
        <v>280</v>
      </c>
      <c r="C209" s="14" t="s">
        <v>281</v>
      </c>
      <c r="D209" s="13" t="s">
        <v>55</v>
      </c>
      <c r="E209" s="13">
        <v>1</v>
      </c>
      <c r="F209" s="15"/>
      <c r="G209" s="13">
        <f t="shared" si="4"/>
        <v>0</v>
      </c>
      <c r="H209" s="13"/>
    </row>
    <row r="210" s="3" customFormat="1" ht="30" customHeight="1" spans="1:8">
      <c r="A210" s="13" t="s">
        <v>326</v>
      </c>
      <c r="B210" s="13" t="s">
        <v>327</v>
      </c>
      <c r="C210" s="14"/>
      <c r="D210" s="13"/>
      <c r="E210" s="13"/>
      <c r="F210" s="15"/>
      <c r="G210" s="13"/>
      <c r="H210" s="13"/>
    </row>
    <row r="211" s="3" customFormat="1" ht="120" customHeight="1" spans="1:8">
      <c r="A211" s="13">
        <v>-1</v>
      </c>
      <c r="B211" s="13" t="s">
        <v>328</v>
      </c>
      <c r="C211" s="14" t="s">
        <v>329</v>
      </c>
      <c r="D211" s="13" t="s">
        <v>251</v>
      </c>
      <c r="E211" s="13">
        <v>1</v>
      </c>
      <c r="F211" s="15"/>
      <c r="G211" s="13">
        <f t="shared" si="4"/>
        <v>0</v>
      </c>
      <c r="H211" s="13" t="s">
        <v>330</v>
      </c>
    </row>
    <row r="212" s="3" customFormat="1" ht="30" customHeight="1" spans="1:8">
      <c r="A212" s="13">
        <v>-2</v>
      </c>
      <c r="B212" s="13" t="s">
        <v>331</v>
      </c>
      <c r="C212" s="14" t="s">
        <v>54</v>
      </c>
      <c r="D212" s="13" t="s">
        <v>55</v>
      </c>
      <c r="E212" s="13">
        <v>1</v>
      </c>
      <c r="F212" s="15"/>
      <c r="G212" s="13">
        <f t="shared" si="4"/>
        <v>0</v>
      </c>
      <c r="H212" s="13" t="s">
        <v>330</v>
      </c>
    </row>
    <row r="213" s="3" customFormat="1" ht="120" customHeight="1" spans="1:8">
      <c r="A213" s="13" t="s">
        <v>332</v>
      </c>
      <c r="B213" s="13" t="s">
        <v>333</v>
      </c>
      <c r="C213" s="14" t="s">
        <v>334</v>
      </c>
      <c r="D213" s="13" t="s">
        <v>55</v>
      </c>
      <c r="E213" s="13">
        <v>1</v>
      </c>
      <c r="F213" s="15"/>
      <c r="G213" s="13">
        <f t="shared" si="4"/>
        <v>0</v>
      </c>
      <c r="H213" s="13" t="s">
        <v>335</v>
      </c>
    </row>
    <row r="214" s="3" customFormat="1" ht="30" customHeight="1" spans="1:8">
      <c r="A214" s="13" t="s">
        <v>336</v>
      </c>
      <c r="B214" s="13" t="s">
        <v>337</v>
      </c>
      <c r="C214" s="14"/>
      <c r="D214" s="13"/>
      <c r="E214" s="13"/>
      <c r="F214" s="15"/>
      <c r="G214" s="13"/>
      <c r="H214" s="13"/>
    </row>
    <row r="215" s="3" customFormat="1" ht="320" customHeight="1" spans="1:8">
      <c r="A215" s="13">
        <v>-1</v>
      </c>
      <c r="B215" s="13" t="s">
        <v>312</v>
      </c>
      <c r="C215" s="14" t="s">
        <v>313</v>
      </c>
      <c r="D215" s="13" t="s">
        <v>251</v>
      </c>
      <c r="E215" s="13">
        <v>2</v>
      </c>
      <c r="F215" s="15"/>
      <c r="G215" s="13">
        <f t="shared" si="4"/>
        <v>0</v>
      </c>
      <c r="H215" s="13" t="s">
        <v>338</v>
      </c>
    </row>
    <row r="216" s="3" customFormat="1" ht="409" customHeight="1" spans="1:8">
      <c r="A216" s="13">
        <v>-2</v>
      </c>
      <c r="B216" s="13" t="s">
        <v>310</v>
      </c>
      <c r="C216" s="14" t="s">
        <v>311</v>
      </c>
      <c r="D216" s="13" t="s">
        <v>251</v>
      </c>
      <c r="E216" s="13">
        <v>1</v>
      </c>
      <c r="F216" s="15"/>
      <c r="G216" s="13">
        <f t="shared" si="4"/>
        <v>0</v>
      </c>
      <c r="H216" s="13" t="s">
        <v>339</v>
      </c>
    </row>
    <row r="217" s="3" customFormat="1" customHeight="1" spans="1:8">
      <c r="A217" s="13">
        <v>-3</v>
      </c>
      <c r="B217" s="13" t="s">
        <v>299</v>
      </c>
      <c r="C217" s="14"/>
      <c r="D217" s="13" t="s">
        <v>340</v>
      </c>
      <c r="E217" s="13">
        <v>3</v>
      </c>
      <c r="F217" s="15"/>
      <c r="G217" s="13">
        <f t="shared" si="4"/>
        <v>0</v>
      </c>
      <c r="H217" s="13"/>
    </row>
    <row r="218" s="3" customFormat="1" ht="30" customHeight="1" spans="1:8">
      <c r="A218" s="13">
        <v>-4</v>
      </c>
      <c r="B218" s="13" t="s">
        <v>266</v>
      </c>
      <c r="C218" s="14" t="s">
        <v>341</v>
      </c>
      <c r="D218" s="13" t="s">
        <v>268</v>
      </c>
      <c r="E218" s="13">
        <v>600</v>
      </c>
      <c r="F218" s="15"/>
      <c r="G218" s="13">
        <f t="shared" si="4"/>
        <v>0</v>
      </c>
      <c r="H218" s="13" t="s">
        <v>271</v>
      </c>
    </row>
    <row r="219" s="3" customFormat="1" ht="120" customHeight="1" spans="1:8">
      <c r="A219" s="13">
        <v>-5</v>
      </c>
      <c r="B219" s="13" t="s">
        <v>274</v>
      </c>
      <c r="C219" s="14" t="s">
        <v>275</v>
      </c>
      <c r="D219" s="13" t="s">
        <v>251</v>
      </c>
      <c r="E219" s="13">
        <v>4</v>
      </c>
      <c r="F219" s="15"/>
      <c r="G219" s="13">
        <f t="shared" si="4"/>
        <v>0</v>
      </c>
      <c r="H219" s="13"/>
    </row>
    <row r="220" s="3" customFormat="1" ht="30" customHeight="1" spans="1:8">
      <c r="A220" s="13">
        <v>-6</v>
      </c>
      <c r="B220" s="13" t="s">
        <v>276</v>
      </c>
      <c r="C220" s="14" t="s">
        <v>277</v>
      </c>
      <c r="D220" s="13" t="s">
        <v>268</v>
      </c>
      <c r="E220" s="13">
        <v>150</v>
      </c>
      <c r="F220" s="15"/>
      <c r="G220" s="13">
        <f t="shared" si="4"/>
        <v>0</v>
      </c>
      <c r="H220" s="13" t="s">
        <v>271</v>
      </c>
    </row>
    <row r="221" s="3" customFormat="1" ht="30" customHeight="1" spans="1:8">
      <c r="A221" s="13">
        <v>-7</v>
      </c>
      <c r="B221" s="13" t="s">
        <v>342</v>
      </c>
      <c r="C221" s="14" t="s">
        <v>343</v>
      </c>
      <c r="D221" s="13" t="s">
        <v>268</v>
      </c>
      <c r="E221" s="13">
        <v>100</v>
      </c>
      <c r="F221" s="15"/>
      <c r="G221" s="13">
        <f t="shared" si="4"/>
        <v>0</v>
      </c>
      <c r="H221" s="13" t="s">
        <v>271</v>
      </c>
    </row>
    <row r="222" s="3" customFormat="1" ht="320" customHeight="1" spans="1:8">
      <c r="A222" s="13">
        <v>-8</v>
      </c>
      <c r="B222" s="13" t="s">
        <v>278</v>
      </c>
      <c r="C222" s="14" t="s">
        <v>279</v>
      </c>
      <c r="D222" s="13" t="s">
        <v>195</v>
      </c>
      <c r="E222" s="13">
        <v>2</v>
      </c>
      <c r="F222" s="15"/>
      <c r="G222" s="13">
        <f t="shared" si="4"/>
        <v>0</v>
      </c>
      <c r="H222" s="13"/>
    </row>
    <row r="223" s="3" customFormat="1" ht="30" customHeight="1" spans="1:8">
      <c r="A223" s="13">
        <v>-9</v>
      </c>
      <c r="B223" s="13" t="s">
        <v>280</v>
      </c>
      <c r="C223" s="14" t="s">
        <v>281</v>
      </c>
      <c r="D223" s="13" t="s">
        <v>55</v>
      </c>
      <c r="E223" s="13">
        <v>1</v>
      </c>
      <c r="F223" s="15"/>
      <c r="G223" s="13">
        <f t="shared" si="4"/>
        <v>0</v>
      </c>
      <c r="H223" s="13"/>
    </row>
    <row r="224" s="3" customFormat="1" customHeight="1" spans="1:8">
      <c r="A224" s="13" t="s">
        <v>344</v>
      </c>
      <c r="B224" s="13" t="s">
        <v>345</v>
      </c>
      <c r="C224" s="14"/>
      <c r="D224" s="13"/>
      <c r="E224" s="13"/>
      <c r="F224" s="15"/>
      <c r="G224" s="13"/>
      <c r="H224" s="13"/>
    </row>
    <row r="225" s="3" customFormat="1" ht="40" customHeight="1" spans="1:8">
      <c r="A225" s="13" t="s">
        <v>346</v>
      </c>
      <c r="B225" s="13" t="s">
        <v>247</v>
      </c>
      <c r="C225" s="14"/>
      <c r="D225" s="13"/>
      <c r="E225" s="13"/>
      <c r="F225" s="15"/>
      <c r="G225" s="13"/>
      <c r="H225" s="13" t="s">
        <v>347</v>
      </c>
    </row>
    <row r="226" s="3" customFormat="1" ht="280" customHeight="1" spans="1:8">
      <c r="A226" s="13">
        <v>-1</v>
      </c>
      <c r="B226" s="13" t="s">
        <v>249</v>
      </c>
      <c r="C226" s="14" t="s">
        <v>250</v>
      </c>
      <c r="D226" s="13" t="s">
        <v>251</v>
      </c>
      <c r="E226" s="13">
        <v>2</v>
      </c>
      <c r="F226" s="15"/>
      <c r="G226" s="13">
        <f t="shared" si="4"/>
        <v>0</v>
      </c>
      <c r="H226" s="13"/>
    </row>
    <row r="227" s="3" customFormat="1" ht="320" customHeight="1" spans="1:8">
      <c r="A227" s="13">
        <v>-2</v>
      </c>
      <c r="B227" s="13" t="s">
        <v>252</v>
      </c>
      <c r="C227" s="14" t="s">
        <v>253</v>
      </c>
      <c r="D227" s="13" t="s">
        <v>251</v>
      </c>
      <c r="E227" s="13">
        <v>2</v>
      </c>
      <c r="F227" s="15"/>
      <c r="G227" s="13">
        <f t="shared" si="4"/>
        <v>0</v>
      </c>
      <c r="H227" s="13"/>
    </row>
    <row r="228" s="3" customFormat="1" ht="250" customHeight="1" spans="1:8">
      <c r="A228" s="13">
        <v>-3</v>
      </c>
      <c r="B228" s="13" t="s">
        <v>254</v>
      </c>
      <c r="C228" s="14" t="s">
        <v>255</v>
      </c>
      <c r="D228" s="13" t="s">
        <v>251</v>
      </c>
      <c r="E228" s="13">
        <v>2</v>
      </c>
      <c r="F228" s="15"/>
      <c r="G228" s="13">
        <f t="shared" si="4"/>
        <v>0</v>
      </c>
      <c r="H228" s="13"/>
    </row>
    <row r="229" s="3" customFormat="1" ht="180" customHeight="1" spans="1:8">
      <c r="A229" s="13">
        <v>-4</v>
      </c>
      <c r="B229" s="13" t="s">
        <v>256</v>
      </c>
      <c r="C229" s="14" t="s">
        <v>257</v>
      </c>
      <c r="D229" s="13" t="s">
        <v>251</v>
      </c>
      <c r="E229" s="13">
        <v>2</v>
      </c>
      <c r="F229" s="15"/>
      <c r="G229" s="13">
        <f t="shared" si="4"/>
        <v>0</v>
      </c>
      <c r="H229" s="13"/>
    </row>
    <row r="230" s="3" customFormat="1" ht="80" customHeight="1" spans="1:8">
      <c r="A230" s="13">
        <v>-5</v>
      </c>
      <c r="B230" s="13" t="s">
        <v>258</v>
      </c>
      <c r="C230" s="14" t="s">
        <v>259</v>
      </c>
      <c r="D230" s="13" t="s">
        <v>251</v>
      </c>
      <c r="E230" s="13">
        <v>2</v>
      </c>
      <c r="F230" s="15"/>
      <c r="G230" s="13">
        <f t="shared" si="4"/>
        <v>0</v>
      </c>
      <c r="H230" s="13"/>
    </row>
    <row r="231" s="3" customFormat="1" ht="140" customHeight="1" spans="1:8">
      <c r="A231" s="13">
        <v>-6</v>
      </c>
      <c r="B231" s="13" t="s">
        <v>260</v>
      </c>
      <c r="C231" s="14" t="s">
        <v>261</v>
      </c>
      <c r="D231" s="13" t="s">
        <v>251</v>
      </c>
      <c r="E231" s="13">
        <v>2</v>
      </c>
      <c r="F231" s="15"/>
      <c r="G231" s="13">
        <f t="shared" si="4"/>
        <v>0</v>
      </c>
      <c r="H231" s="13"/>
    </row>
    <row r="232" s="3" customFormat="1" ht="30" customHeight="1" spans="1:8">
      <c r="A232" s="13">
        <v>-7</v>
      </c>
      <c r="B232" s="13" t="s">
        <v>280</v>
      </c>
      <c r="C232" s="14" t="s">
        <v>281</v>
      </c>
      <c r="D232" s="13" t="s">
        <v>55</v>
      </c>
      <c r="E232" s="13">
        <v>1</v>
      </c>
      <c r="F232" s="15"/>
      <c r="G232" s="13">
        <f t="shared" si="4"/>
        <v>0</v>
      </c>
      <c r="H232" s="13"/>
    </row>
    <row r="233" s="3" customFormat="1" ht="30" customHeight="1" spans="1:8">
      <c r="A233" s="13" t="s">
        <v>348</v>
      </c>
      <c r="B233" s="13" t="s">
        <v>283</v>
      </c>
      <c r="C233" s="14" t="s">
        <v>284</v>
      </c>
      <c r="D233" s="13"/>
      <c r="E233" s="13"/>
      <c r="F233" s="15"/>
      <c r="G233" s="13"/>
      <c r="H233" s="13"/>
    </row>
    <row r="234" s="3" customFormat="1" ht="280" customHeight="1" spans="1:8">
      <c r="A234" s="13">
        <v>-1</v>
      </c>
      <c r="B234" s="13" t="s">
        <v>249</v>
      </c>
      <c r="C234" s="14" t="s">
        <v>250</v>
      </c>
      <c r="D234" s="13" t="s">
        <v>251</v>
      </c>
      <c r="E234" s="13">
        <v>2</v>
      </c>
      <c r="F234" s="15"/>
      <c r="G234" s="13">
        <f t="shared" si="4"/>
        <v>0</v>
      </c>
      <c r="H234" s="13"/>
    </row>
    <row r="235" s="3" customFormat="1" ht="320" customHeight="1" spans="1:8">
      <c r="A235" s="13">
        <v>-2</v>
      </c>
      <c r="B235" s="13" t="s">
        <v>252</v>
      </c>
      <c r="C235" s="14" t="s">
        <v>253</v>
      </c>
      <c r="D235" s="13" t="s">
        <v>251</v>
      </c>
      <c r="E235" s="13">
        <v>4</v>
      </c>
      <c r="F235" s="15"/>
      <c r="G235" s="13">
        <f t="shared" si="4"/>
        <v>0</v>
      </c>
      <c r="H235" s="13"/>
    </row>
    <row r="236" s="3" customFormat="1" ht="150" customHeight="1" spans="1:8">
      <c r="A236" s="13">
        <v>-3</v>
      </c>
      <c r="B236" s="13" t="s">
        <v>285</v>
      </c>
      <c r="C236" s="14" t="s">
        <v>286</v>
      </c>
      <c r="D236" s="13" t="s">
        <v>195</v>
      </c>
      <c r="E236" s="13">
        <v>1</v>
      </c>
      <c r="F236" s="15"/>
      <c r="G236" s="13">
        <f t="shared" si="4"/>
        <v>0</v>
      </c>
      <c r="H236" s="13"/>
    </row>
    <row r="237" s="3" customFormat="1" ht="180" customHeight="1" spans="1:8">
      <c r="A237" s="13">
        <v>-4</v>
      </c>
      <c r="B237" s="13" t="s">
        <v>256</v>
      </c>
      <c r="C237" s="14" t="s">
        <v>257</v>
      </c>
      <c r="D237" s="13" t="s">
        <v>251</v>
      </c>
      <c r="E237" s="13">
        <v>4</v>
      </c>
      <c r="F237" s="15"/>
      <c r="G237" s="13">
        <f t="shared" si="4"/>
        <v>0</v>
      </c>
      <c r="H237" s="13"/>
    </row>
    <row r="238" s="3" customFormat="1" ht="80" customHeight="1" spans="1:8">
      <c r="A238" s="13">
        <v>-5</v>
      </c>
      <c r="B238" s="13" t="s">
        <v>258</v>
      </c>
      <c r="C238" s="14" t="s">
        <v>259</v>
      </c>
      <c r="D238" s="13" t="s">
        <v>251</v>
      </c>
      <c r="E238" s="13">
        <v>4</v>
      </c>
      <c r="F238" s="15"/>
      <c r="G238" s="13">
        <f t="shared" si="4"/>
        <v>0</v>
      </c>
      <c r="H238" s="13"/>
    </row>
    <row r="239" s="3" customFormat="1" ht="120" customHeight="1" spans="1:8">
      <c r="A239" s="13">
        <v>-6</v>
      </c>
      <c r="B239" s="13" t="s">
        <v>274</v>
      </c>
      <c r="C239" s="14" t="s">
        <v>275</v>
      </c>
      <c r="D239" s="13" t="s">
        <v>251</v>
      </c>
      <c r="E239" s="13">
        <v>8</v>
      </c>
      <c r="F239" s="15"/>
      <c r="G239" s="13">
        <f t="shared" si="4"/>
        <v>0</v>
      </c>
      <c r="H239" s="13"/>
    </row>
    <row r="240" s="3" customFormat="1" customHeight="1" spans="1:8">
      <c r="A240" s="13">
        <v>-7</v>
      </c>
      <c r="B240" s="13" t="s">
        <v>287</v>
      </c>
      <c r="C240" s="14" t="s">
        <v>263</v>
      </c>
      <c r="D240" s="13" t="s">
        <v>264</v>
      </c>
      <c r="E240" s="13">
        <v>2</v>
      </c>
      <c r="F240" s="15"/>
      <c r="G240" s="13">
        <f t="shared" si="4"/>
        <v>0</v>
      </c>
      <c r="H240" s="13"/>
    </row>
    <row r="241" s="3" customFormat="1" customHeight="1" spans="1:8">
      <c r="A241" s="13">
        <v>-8</v>
      </c>
      <c r="B241" s="13" t="s">
        <v>262</v>
      </c>
      <c r="C241" s="14" t="s">
        <v>263</v>
      </c>
      <c r="D241" s="13" t="s">
        <v>264</v>
      </c>
      <c r="E241" s="13">
        <v>2</v>
      </c>
      <c r="F241" s="17"/>
      <c r="G241" s="13">
        <f t="shared" si="4"/>
        <v>0</v>
      </c>
      <c r="H241" s="13"/>
    </row>
    <row r="242" s="3" customFormat="1" ht="320" customHeight="1" spans="1:8">
      <c r="A242" s="13">
        <v>-9</v>
      </c>
      <c r="B242" s="13" t="s">
        <v>278</v>
      </c>
      <c r="C242" s="14" t="s">
        <v>279</v>
      </c>
      <c r="D242" s="13" t="s">
        <v>195</v>
      </c>
      <c r="E242" s="13">
        <v>4</v>
      </c>
      <c r="F242" s="15"/>
      <c r="G242" s="13">
        <f t="shared" si="4"/>
        <v>0</v>
      </c>
      <c r="H242" s="13"/>
    </row>
    <row r="243" s="3" customFormat="1" ht="30" customHeight="1" spans="1:8">
      <c r="A243" s="13">
        <v>-10</v>
      </c>
      <c r="B243" s="13" t="s">
        <v>280</v>
      </c>
      <c r="C243" s="14" t="s">
        <v>281</v>
      </c>
      <c r="D243" s="13" t="s">
        <v>55</v>
      </c>
      <c r="E243" s="13">
        <v>1</v>
      </c>
      <c r="F243" s="15"/>
      <c r="G243" s="13">
        <f t="shared" si="4"/>
        <v>0</v>
      </c>
      <c r="H243" s="13"/>
    </row>
    <row r="244" s="3" customFormat="1" customHeight="1" spans="1:8">
      <c r="A244" s="13" t="s">
        <v>349</v>
      </c>
      <c r="B244" s="13" t="s">
        <v>289</v>
      </c>
      <c r="C244" s="14" t="s">
        <v>290</v>
      </c>
      <c r="D244" s="13"/>
      <c r="E244" s="13"/>
      <c r="F244" s="15"/>
      <c r="G244" s="13"/>
      <c r="H244" s="13"/>
    </row>
    <row r="245" s="3" customFormat="1" ht="300" customHeight="1" spans="1:8">
      <c r="A245" s="13">
        <v>-1</v>
      </c>
      <c r="B245" s="13" t="s">
        <v>291</v>
      </c>
      <c r="C245" s="14" t="s">
        <v>292</v>
      </c>
      <c r="D245" s="13" t="s">
        <v>251</v>
      </c>
      <c r="E245" s="13">
        <v>4</v>
      </c>
      <c r="F245" s="15"/>
      <c r="G245" s="13">
        <f t="shared" si="4"/>
        <v>0</v>
      </c>
      <c r="H245" s="13"/>
    </row>
    <row r="246" s="3" customFormat="1" ht="280" customHeight="1" spans="1:8">
      <c r="A246" s="13">
        <v>-2</v>
      </c>
      <c r="B246" s="13" t="s">
        <v>350</v>
      </c>
      <c r="C246" s="14" t="s">
        <v>250</v>
      </c>
      <c r="D246" s="13" t="s">
        <v>251</v>
      </c>
      <c r="E246" s="13">
        <v>1</v>
      </c>
      <c r="F246" s="15"/>
      <c r="G246" s="13">
        <f t="shared" si="4"/>
        <v>0</v>
      </c>
      <c r="H246" s="13"/>
    </row>
    <row r="247" s="3" customFormat="1" ht="150" customHeight="1" spans="1:8">
      <c r="A247" s="13">
        <v>-3</v>
      </c>
      <c r="B247" s="13" t="s">
        <v>293</v>
      </c>
      <c r="C247" s="14" t="s">
        <v>286</v>
      </c>
      <c r="D247" s="13" t="s">
        <v>195</v>
      </c>
      <c r="E247" s="13">
        <v>1</v>
      </c>
      <c r="F247" s="15"/>
      <c r="G247" s="13">
        <f t="shared" si="4"/>
        <v>0</v>
      </c>
      <c r="H247" s="13"/>
    </row>
    <row r="248" s="3" customFormat="1" customHeight="1" spans="1:8">
      <c r="A248" s="13">
        <v>-4</v>
      </c>
      <c r="B248" s="13" t="s">
        <v>294</v>
      </c>
      <c r="C248" s="14" t="s">
        <v>295</v>
      </c>
      <c r="D248" s="13" t="s">
        <v>195</v>
      </c>
      <c r="E248" s="13">
        <v>4</v>
      </c>
      <c r="F248" s="15"/>
      <c r="G248" s="13">
        <f t="shared" si="4"/>
        <v>0</v>
      </c>
      <c r="H248" s="13"/>
    </row>
    <row r="249" s="3" customFormat="1" ht="30" customHeight="1" spans="1:8">
      <c r="A249" s="13">
        <v>-5</v>
      </c>
      <c r="B249" s="13" t="s">
        <v>280</v>
      </c>
      <c r="C249" s="14" t="s">
        <v>281</v>
      </c>
      <c r="D249" s="13" t="s">
        <v>55</v>
      </c>
      <c r="E249" s="13">
        <v>1</v>
      </c>
      <c r="F249" s="15"/>
      <c r="G249" s="13">
        <f t="shared" si="4"/>
        <v>0</v>
      </c>
      <c r="H249" s="13"/>
    </row>
    <row r="250" s="3" customFormat="1" customHeight="1" spans="1:8">
      <c r="A250" s="13" t="s">
        <v>351</v>
      </c>
      <c r="B250" s="13" t="s">
        <v>297</v>
      </c>
      <c r="C250" s="14" t="s">
        <v>298</v>
      </c>
      <c r="D250" s="13"/>
      <c r="E250" s="13"/>
      <c r="F250" s="15"/>
      <c r="G250" s="13"/>
      <c r="H250" s="13"/>
    </row>
    <row r="251" s="3" customFormat="1" ht="280" customHeight="1" spans="1:8">
      <c r="A251" s="13">
        <v>-1</v>
      </c>
      <c r="B251" s="13" t="s">
        <v>249</v>
      </c>
      <c r="C251" s="14" t="s">
        <v>250</v>
      </c>
      <c r="D251" s="13" t="s">
        <v>195</v>
      </c>
      <c r="E251" s="13">
        <v>2</v>
      </c>
      <c r="F251" s="15"/>
      <c r="G251" s="13">
        <f t="shared" si="4"/>
        <v>0</v>
      </c>
      <c r="H251" s="13"/>
    </row>
    <row r="252" s="3" customFormat="1" customHeight="1" spans="1:8">
      <c r="A252" s="13">
        <v>-2</v>
      </c>
      <c r="B252" s="13" t="s">
        <v>299</v>
      </c>
      <c r="C252" s="14" t="s">
        <v>295</v>
      </c>
      <c r="D252" s="13" t="s">
        <v>195</v>
      </c>
      <c r="E252" s="13">
        <v>2</v>
      </c>
      <c r="F252" s="15"/>
      <c r="G252" s="13">
        <f t="shared" si="4"/>
        <v>0</v>
      </c>
      <c r="H252" s="13"/>
    </row>
    <row r="253" s="3" customFormat="1" ht="150" customHeight="1" spans="1:8">
      <c r="A253" s="13">
        <v>-3</v>
      </c>
      <c r="B253" s="13" t="s">
        <v>300</v>
      </c>
      <c r="C253" s="14" t="s">
        <v>286</v>
      </c>
      <c r="D253" s="13" t="s">
        <v>195</v>
      </c>
      <c r="E253" s="13">
        <v>2</v>
      </c>
      <c r="F253" s="15"/>
      <c r="G253" s="13">
        <f t="shared" si="4"/>
        <v>0</v>
      </c>
      <c r="H253" s="13"/>
    </row>
    <row r="254" s="3" customFormat="1" ht="30" customHeight="1" spans="1:8">
      <c r="A254" s="13">
        <v>-4</v>
      </c>
      <c r="B254" s="13" t="s">
        <v>280</v>
      </c>
      <c r="C254" s="14" t="s">
        <v>281</v>
      </c>
      <c r="D254" s="13" t="s">
        <v>55</v>
      </c>
      <c r="E254" s="13">
        <v>1</v>
      </c>
      <c r="F254" s="15"/>
      <c r="G254" s="13">
        <f t="shared" si="4"/>
        <v>0</v>
      </c>
      <c r="H254" s="13"/>
    </row>
    <row r="255" s="3" customFormat="1" ht="40" customHeight="1" spans="1:8">
      <c r="A255" s="13" t="s">
        <v>352</v>
      </c>
      <c r="B255" s="13" t="s">
        <v>302</v>
      </c>
      <c r="C255" s="14" t="s">
        <v>303</v>
      </c>
      <c r="D255" s="13"/>
      <c r="E255" s="13"/>
      <c r="F255" s="15"/>
      <c r="G255" s="13"/>
      <c r="H255" s="13"/>
    </row>
    <row r="256" s="3" customFormat="1" ht="250" customHeight="1" spans="1:8">
      <c r="A256" s="13">
        <v>-1</v>
      </c>
      <c r="B256" s="13" t="s">
        <v>254</v>
      </c>
      <c r="C256" s="14" t="s">
        <v>255</v>
      </c>
      <c r="D256" s="13" t="s">
        <v>195</v>
      </c>
      <c r="E256" s="13">
        <v>6</v>
      </c>
      <c r="F256" s="15"/>
      <c r="G256" s="13">
        <f t="shared" si="4"/>
        <v>0</v>
      </c>
      <c r="H256" s="13" t="s">
        <v>304</v>
      </c>
    </row>
    <row r="257" s="3" customFormat="1" ht="280" customHeight="1" spans="1:8">
      <c r="A257" s="13">
        <v>-2</v>
      </c>
      <c r="B257" s="13" t="s">
        <v>249</v>
      </c>
      <c r="C257" s="14" t="s">
        <v>250</v>
      </c>
      <c r="D257" s="13" t="s">
        <v>195</v>
      </c>
      <c r="E257" s="13">
        <v>2</v>
      </c>
      <c r="F257" s="15"/>
      <c r="G257" s="13">
        <f t="shared" si="4"/>
        <v>0</v>
      </c>
      <c r="H257" s="13" t="s">
        <v>305</v>
      </c>
    </row>
    <row r="258" s="3" customFormat="1" customHeight="1" spans="1:8">
      <c r="A258" s="13">
        <v>-3</v>
      </c>
      <c r="B258" s="13" t="s">
        <v>262</v>
      </c>
      <c r="C258" s="14" t="s">
        <v>263</v>
      </c>
      <c r="D258" s="13" t="s">
        <v>195</v>
      </c>
      <c r="E258" s="13">
        <v>2</v>
      </c>
      <c r="F258" s="17"/>
      <c r="G258" s="13">
        <f t="shared" si="4"/>
        <v>0</v>
      </c>
      <c r="H258" s="13"/>
    </row>
    <row r="259" s="3" customFormat="1" ht="150" customHeight="1" spans="1:8">
      <c r="A259" s="13">
        <v>-4</v>
      </c>
      <c r="B259" s="13" t="s">
        <v>307</v>
      </c>
      <c r="C259" s="14" t="s">
        <v>261</v>
      </c>
      <c r="D259" s="13" t="s">
        <v>195</v>
      </c>
      <c r="E259" s="13">
        <v>2</v>
      </c>
      <c r="F259" s="15"/>
      <c r="G259" s="13">
        <f t="shared" si="4"/>
        <v>0</v>
      </c>
      <c r="H259" s="13"/>
    </row>
    <row r="260" s="3" customFormat="1" ht="120" customHeight="1" spans="1:8">
      <c r="A260" s="13">
        <v>-5</v>
      </c>
      <c r="B260" s="13" t="s">
        <v>274</v>
      </c>
      <c r="C260" s="14" t="s">
        <v>275</v>
      </c>
      <c r="D260" s="13" t="s">
        <v>251</v>
      </c>
      <c r="E260" s="13">
        <v>2</v>
      </c>
      <c r="F260" s="15"/>
      <c r="G260" s="13">
        <f t="shared" si="4"/>
        <v>0</v>
      </c>
      <c r="H260" s="13"/>
    </row>
    <row r="261" s="3" customFormat="1" ht="260" customHeight="1" spans="1:8">
      <c r="A261" s="13">
        <v>-6</v>
      </c>
      <c r="B261" s="13" t="s">
        <v>278</v>
      </c>
      <c r="C261" s="14" t="s">
        <v>353</v>
      </c>
      <c r="D261" s="13" t="s">
        <v>195</v>
      </c>
      <c r="E261" s="13">
        <v>2</v>
      </c>
      <c r="F261" s="15"/>
      <c r="G261" s="13">
        <f t="shared" si="4"/>
        <v>0</v>
      </c>
      <c r="H261" s="13"/>
    </row>
    <row r="262" s="3" customFormat="1" ht="30" customHeight="1" spans="1:8">
      <c r="A262" s="13">
        <v>-7</v>
      </c>
      <c r="B262" s="13" t="s">
        <v>280</v>
      </c>
      <c r="C262" s="14" t="s">
        <v>281</v>
      </c>
      <c r="D262" s="13" t="s">
        <v>55</v>
      </c>
      <c r="E262" s="13">
        <v>1</v>
      </c>
      <c r="F262" s="15"/>
      <c r="G262" s="13">
        <f t="shared" si="4"/>
        <v>0</v>
      </c>
      <c r="H262" s="13"/>
    </row>
    <row r="263" s="3" customFormat="1" ht="30" customHeight="1" spans="1:8">
      <c r="A263" s="13" t="s">
        <v>354</v>
      </c>
      <c r="B263" s="13" t="s">
        <v>355</v>
      </c>
      <c r="C263" s="14" t="s">
        <v>356</v>
      </c>
      <c r="D263" s="13"/>
      <c r="E263" s="13"/>
      <c r="F263" s="15"/>
      <c r="G263" s="13"/>
      <c r="H263" s="13"/>
    </row>
    <row r="264" s="3" customFormat="1" ht="280" customHeight="1" spans="1:8">
      <c r="A264" s="13">
        <v>-1</v>
      </c>
      <c r="B264" s="13" t="s">
        <v>249</v>
      </c>
      <c r="C264" s="14" t="s">
        <v>250</v>
      </c>
      <c r="D264" s="13" t="s">
        <v>251</v>
      </c>
      <c r="E264" s="13">
        <v>2</v>
      </c>
      <c r="F264" s="15"/>
      <c r="G264" s="13">
        <f t="shared" ref="G264:G318" si="5">ROUND(E264*F264,2)</f>
        <v>0</v>
      </c>
      <c r="H264" s="13" t="s">
        <v>357</v>
      </c>
    </row>
    <row r="265" s="3" customFormat="1" ht="60" customHeight="1" spans="1:8">
      <c r="A265" s="13">
        <v>-2</v>
      </c>
      <c r="B265" s="13" t="s">
        <v>358</v>
      </c>
      <c r="C265" s="14" t="s">
        <v>359</v>
      </c>
      <c r="D265" s="13" t="s">
        <v>251</v>
      </c>
      <c r="E265" s="13">
        <v>2</v>
      </c>
      <c r="F265" s="15"/>
      <c r="G265" s="13">
        <f t="shared" si="5"/>
        <v>0</v>
      </c>
      <c r="H265" s="13" t="s">
        <v>357</v>
      </c>
    </row>
    <row r="266" s="3" customFormat="1" ht="150" customHeight="1" spans="1:8">
      <c r="A266" s="13">
        <v>-3</v>
      </c>
      <c r="B266" s="13" t="s">
        <v>360</v>
      </c>
      <c r="C266" s="14" t="s">
        <v>286</v>
      </c>
      <c r="D266" s="13" t="s">
        <v>251</v>
      </c>
      <c r="E266" s="13">
        <v>2</v>
      </c>
      <c r="F266" s="15"/>
      <c r="G266" s="13">
        <f t="shared" si="5"/>
        <v>0</v>
      </c>
      <c r="H266" s="13"/>
    </row>
    <row r="267" s="3" customFormat="1" customHeight="1" spans="1:8">
      <c r="A267" s="13">
        <v>-4</v>
      </c>
      <c r="B267" s="13" t="s">
        <v>299</v>
      </c>
      <c r="C267" s="14" t="s">
        <v>295</v>
      </c>
      <c r="D267" s="13" t="s">
        <v>195</v>
      </c>
      <c r="E267" s="13">
        <v>4</v>
      </c>
      <c r="F267" s="15"/>
      <c r="G267" s="13">
        <f t="shared" si="5"/>
        <v>0</v>
      </c>
      <c r="H267" s="13" t="s">
        <v>361</v>
      </c>
    </row>
    <row r="268" s="3" customFormat="1" ht="30" customHeight="1" spans="1:8">
      <c r="A268" s="13">
        <v>-5</v>
      </c>
      <c r="B268" s="13" t="s">
        <v>280</v>
      </c>
      <c r="C268" s="14" t="s">
        <v>281</v>
      </c>
      <c r="D268" s="13" t="s">
        <v>55</v>
      </c>
      <c r="E268" s="13">
        <v>1</v>
      </c>
      <c r="F268" s="15"/>
      <c r="G268" s="13">
        <f t="shared" si="5"/>
        <v>0</v>
      </c>
      <c r="H268" s="13"/>
    </row>
    <row r="269" s="3" customFormat="1" ht="30" customHeight="1" spans="1:8">
      <c r="A269" s="13" t="s">
        <v>362</v>
      </c>
      <c r="B269" s="13" t="s">
        <v>309</v>
      </c>
      <c r="C269" s="14"/>
      <c r="D269" s="13"/>
      <c r="E269" s="13"/>
      <c r="F269" s="15"/>
      <c r="G269" s="13"/>
      <c r="H269" s="13"/>
    </row>
    <row r="270" s="3" customFormat="1" ht="409" customHeight="1" spans="1:8">
      <c r="A270" s="13">
        <v>-1</v>
      </c>
      <c r="B270" s="13" t="s">
        <v>310</v>
      </c>
      <c r="C270" s="14" t="s">
        <v>311</v>
      </c>
      <c r="D270" s="13" t="s">
        <v>195</v>
      </c>
      <c r="E270" s="13">
        <v>2</v>
      </c>
      <c r="F270" s="15"/>
      <c r="G270" s="13">
        <f t="shared" si="5"/>
        <v>0</v>
      </c>
      <c r="H270" s="13"/>
    </row>
    <row r="271" s="3" customFormat="1" ht="320" customHeight="1" spans="1:8">
      <c r="A271" s="13">
        <v>-2</v>
      </c>
      <c r="B271" s="13" t="s">
        <v>312</v>
      </c>
      <c r="C271" s="14" t="s">
        <v>313</v>
      </c>
      <c r="D271" s="13" t="s">
        <v>195</v>
      </c>
      <c r="E271" s="13">
        <v>2</v>
      </c>
      <c r="F271" s="15"/>
      <c r="G271" s="13">
        <f t="shared" si="5"/>
        <v>0</v>
      </c>
      <c r="H271" s="13"/>
    </row>
    <row r="272" s="3" customFormat="1" ht="150" customHeight="1" spans="1:8">
      <c r="A272" s="13">
        <v>-3</v>
      </c>
      <c r="B272" s="13" t="s">
        <v>315</v>
      </c>
      <c r="C272" s="14" t="s">
        <v>286</v>
      </c>
      <c r="D272" s="13" t="s">
        <v>55</v>
      </c>
      <c r="E272" s="13">
        <v>1</v>
      </c>
      <c r="F272" s="15"/>
      <c r="G272" s="13">
        <f t="shared" si="5"/>
        <v>0</v>
      </c>
      <c r="H272" s="13"/>
    </row>
    <row r="273" s="3" customFormat="1" customHeight="1" spans="1:8">
      <c r="A273" s="13">
        <v>-4</v>
      </c>
      <c r="B273" s="13" t="s">
        <v>363</v>
      </c>
      <c r="C273" s="14" t="s">
        <v>364</v>
      </c>
      <c r="D273" s="13" t="s">
        <v>365</v>
      </c>
      <c r="E273" s="13">
        <v>2</v>
      </c>
      <c r="F273" s="15"/>
      <c r="G273" s="13">
        <f t="shared" si="5"/>
        <v>0</v>
      </c>
      <c r="H273" s="13"/>
    </row>
    <row r="274" s="3" customFormat="1" ht="30" customHeight="1" spans="1:8">
      <c r="A274" s="13">
        <v>-5</v>
      </c>
      <c r="B274" s="13" t="s">
        <v>280</v>
      </c>
      <c r="C274" s="14" t="s">
        <v>281</v>
      </c>
      <c r="D274" s="13" t="s">
        <v>55</v>
      </c>
      <c r="E274" s="13">
        <v>1</v>
      </c>
      <c r="F274" s="15"/>
      <c r="G274" s="13">
        <f t="shared" si="5"/>
        <v>0</v>
      </c>
      <c r="H274" s="13"/>
    </row>
    <row r="275" s="3" customFormat="1" ht="30" customHeight="1" spans="1:8">
      <c r="A275" s="13" t="s">
        <v>366</v>
      </c>
      <c r="B275" s="13" t="s">
        <v>317</v>
      </c>
      <c r="C275" s="14" t="s">
        <v>318</v>
      </c>
      <c r="D275" s="13"/>
      <c r="E275" s="13"/>
      <c r="F275" s="15"/>
      <c r="G275" s="13"/>
      <c r="H275" s="13"/>
    </row>
    <row r="276" s="3" customFormat="1" ht="280" customHeight="1" spans="1:8">
      <c r="A276" s="13">
        <v>-1</v>
      </c>
      <c r="B276" s="13" t="s">
        <v>249</v>
      </c>
      <c r="C276" s="14" t="s">
        <v>250</v>
      </c>
      <c r="D276" s="13" t="s">
        <v>251</v>
      </c>
      <c r="E276" s="13">
        <v>2</v>
      </c>
      <c r="F276" s="15"/>
      <c r="G276" s="13">
        <f t="shared" si="5"/>
        <v>0</v>
      </c>
      <c r="H276" s="13"/>
    </row>
    <row r="277" s="3" customFormat="1" ht="240" customHeight="1" spans="1:8">
      <c r="A277" s="13">
        <v>-2</v>
      </c>
      <c r="B277" s="13" t="s">
        <v>319</v>
      </c>
      <c r="C277" s="14" t="s">
        <v>320</v>
      </c>
      <c r="D277" s="13" t="s">
        <v>251</v>
      </c>
      <c r="E277" s="13">
        <v>2</v>
      </c>
      <c r="F277" s="15"/>
      <c r="G277" s="13">
        <f t="shared" si="5"/>
        <v>0</v>
      </c>
      <c r="H277" s="13"/>
    </row>
    <row r="278" s="3" customFormat="1" ht="150" customHeight="1" spans="1:8">
      <c r="A278" s="13">
        <v>-3</v>
      </c>
      <c r="B278" s="13" t="s">
        <v>321</v>
      </c>
      <c r="C278" s="14" t="s">
        <v>322</v>
      </c>
      <c r="D278" s="13" t="s">
        <v>195</v>
      </c>
      <c r="E278" s="13">
        <v>2</v>
      </c>
      <c r="F278" s="15"/>
      <c r="G278" s="13">
        <f t="shared" si="5"/>
        <v>0</v>
      </c>
      <c r="H278" s="13"/>
    </row>
    <row r="279" s="3" customFormat="1" customHeight="1" spans="1:8">
      <c r="A279" s="13">
        <v>-4</v>
      </c>
      <c r="B279" s="13" t="s">
        <v>323</v>
      </c>
      <c r="C279" s="14" t="s">
        <v>324</v>
      </c>
      <c r="D279" s="13" t="s">
        <v>264</v>
      </c>
      <c r="E279" s="13">
        <v>2</v>
      </c>
      <c r="F279" s="15"/>
      <c r="G279" s="13">
        <f t="shared" si="5"/>
        <v>0</v>
      </c>
      <c r="H279" s="13"/>
    </row>
    <row r="280" s="3" customFormat="1" ht="150" customHeight="1" spans="1:8">
      <c r="A280" s="13">
        <v>-5</v>
      </c>
      <c r="B280" s="13" t="s">
        <v>325</v>
      </c>
      <c r="C280" s="14" t="s">
        <v>286</v>
      </c>
      <c r="D280" s="13" t="s">
        <v>195</v>
      </c>
      <c r="E280" s="13">
        <v>1</v>
      </c>
      <c r="F280" s="15"/>
      <c r="G280" s="13">
        <f t="shared" si="5"/>
        <v>0</v>
      </c>
      <c r="H280" s="13"/>
    </row>
    <row r="281" s="3" customFormat="1" ht="30" customHeight="1" spans="1:8">
      <c r="A281" s="13">
        <v>-6</v>
      </c>
      <c r="B281" s="13" t="s">
        <v>280</v>
      </c>
      <c r="C281" s="14" t="s">
        <v>281</v>
      </c>
      <c r="D281" s="13" t="s">
        <v>55</v>
      </c>
      <c r="E281" s="13">
        <v>1</v>
      </c>
      <c r="F281" s="15"/>
      <c r="G281" s="13">
        <f t="shared" si="5"/>
        <v>0</v>
      </c>
      <c r="H281" s="13"/>
    </row>
    <row r="282" s="3" customFormat="1" customHeight="1" spans="1:8">
      <c r="A282" s="13" t="s">
        <v>367</v>
      </c>
      <c r="B282" s="13" t="s">
        <v>327</v>
      </c>
      <c r="C282" s="14"/>
      <c r="D282" s="13"/>
      <c r="E282" s="13"/>
      <c r="F282" s="15"/>
      <c r="G282" s="13"/>
      <c r="H282" s="13"/>
    </row>
    <row r="283" s="3" customFormat="1" ht="120" customHeight="1" spans="1:8">
      <c r="A283" s="13">
        <v>-1</v>
      </c>
      <c r="B283" s="13" t="s">
        <v>328</v>
      </c>
      <c r="C283" s="14" t="s">
        <v>329</v>
      </c>
      <c r="D283" s="13" t="s">
        <v>251</v>
      </c>
      <c r="E283" s="13">
        <v>1</v>
      </c>
      <c r="F283" s="15"/>
      <c r="G283" s="13">
        <f t="shared" si="5"/>
        <v>0</v>
      </c>
      <c r="H283" s="13" t="s">
        <v>368</v>
      </c>
    </row>
    <row r="284" s="3" customFormat="1" customHeight="1" spans="1:8">
      <c r="A284" s="13">
        <v>-2</v>
      </c>
      <c r="B284" s="13" t="s">
        <v>331</v>
      </c>
      <c r="C284" s="14" t="s">
        <v>54</v>
      </c>
      <c r="D284" s="13" t="s">
        <v>55</v>
      </c>
      <c r="E284" s="13">
        <v>1</v>
      </c>
      <c r="F284" s="15"/>
      <c r="G284" s="13">
        <f t="shared" si="5"/>
        <v>0</v>
      </c>
      <c r="H284" s="13" t="s">
        <v>368</v>
      </c>
    </row>
    <row r="285" s="3" customFormat="1" ht="120" customHeight="1" spans="1:8">
      <c r="A285" s="13" t="s">
        <v>369</v>
      </c>
      <c r="B285" s="13" t="s">
        <v>333</v>
      </c>
      <c r="C285" s="14" t="s">
        <v>334</v>
      </c>
      <c r="D285" s="13" t="s">
        <v>55</v>
      </c>
      <c r="E285" s="13">
        <v>1</v>
      </c>
      <c r="F285" s="15"/>
      <c r="G285" s="13">
        <f t="shared" si="5"/>
        <v>0</v>
      </c>
      <c r="H285" s="13" t="s">
        <v>335</v>
      </c>
    </row>
    <row r="286" s="3" customFormat="1" customHeight="1" spans="1:8">
      <c r="A286" s="13" t="s">
        <v>370</v>
      </c>
      <c r="B286" s="13" t="s">
        <v>371</v>
      </c>
      <c r="C286" s="14"/>
      <c r="D286" s="13"/>
      <c r="E286" s="13"/>
      <c r="F286" s="15"/>
      <c r="G286" s="13"/>
      <c r="H286" s="13"/>
    </row>
    <row r="287" s="3" customFormat="1" ht="409" customHeight="1" spans="1:8">
      <c r="A287" s="13">
        <v>-1</v>
      </c>
      <c r="B287" s="13" t="s">
        <v>310</v>
      </c>
      <c r="C287" s="14" t="s">
        <v>311</v>
      </c>
      <c r="D287" s="13" t="s">
        <v>251</v>
      </c>
      <c r="E287" s="13">
        <v>6</v>
      </c>
      <c r="F287" s="15"/>
      <c r="G287" s="13">
        <f t="shared" si="5"/>
        <v>0</v>
      </c>
      <c r="H287" s="13"/>
    </row>
    <row r="288" s="3" customFormat="1" customHeight="1" spans="1:8">
      <c r="A288" s="13">
        <v>-2</v>
      </c>
      <c r="B288" s="13" t="s">
        <v>372</v>
      </c>
      <c r="C288" s="14" t="s">
        <v>364</v>
      </c>
      <c r="D288" s="13" t="s">
        <v>365</v>
      </c>
      <c r="E288" s="13">
        <v>4</v>
      </c>
      <c r="F288" s="15"/>
      <c r="G288" s="13">
        <f t="shared" si="5"/>
        <v>0</v>
      </c>
      <c r="H288" s="13"/>
    </row>
    <row r="289" s="3" customFormat="1" ht="30" customHeight="1" spans="1:8">
      <c r="A289" s="13">
        <v>-3</v>
      </c>
      <c r="B289" s="13" t="s">
        <v>266</v>
      </c>
      <c r="C289" s="14" t="s">
        <v>267</v>
      </c>
      <c r="D289" s="13" t="s">
        <v>268</v>
      </c>
      <c r="E289" s="13">
        <v>3000</v>
      </c>
      <c r="F289" s="15"/>
      <c r="G289" s="13">
        <f t="shared" si="5"/>
        <v>0</v>
      </c>
      <c r="H289" s="13" t="s">
        <v>271</v>
      </c>
    </row>
    <row r="290" s="3" customFormat="1" ht="30" customHeight="1" spans="1:8">
      <c r="A290" s="13">
        <v>-4</v>
      </c>
      <c r="B290" s="13" t="s">
        <v>269</v>
      </c>
      <c r="C290" s="14"/>
      <c r="D290" s="13" t="s">
        <v>270</v>
      </c>
      <c r="E290" s="13">
        <v>25</v>
      </c>
      <c r="F290" s="15"/>
      <c r="G290" s="13">
        <f t="shared" si="5"/>
        <v>0</v>
      </c>
      <c r="H290" s="13" t="s">
        <v>271</v>
      </c>
    </row>
    <row r="291" s="3" customFormat="1" ht="30" customHeight="1" spans="1:8">
      <c r="A291" s="13">
        <v>-5</v>
      </c>
      <c r="B291" s="13" t="s">
        <v>272</v>
      </c>
      <c r="C291" s="14" t="s">
        <v>273</v>
      </c>
      <c r="D291" s="13" t="s">
        <v>268</v>
      </c>
      <c r="E291" s="13">
        <v>3000</v>
      </c>
      <c r="F291" s="15"/>
      <c r="G291" s="13">
        <f t="shared" si="5"/>
        <v>0</v>
      </c>
      <c r="H291" s="13" t="s">
        <v>271</v>
      </c>
    </row>
    <row r="292" s="3" customFormat="1" ht="30" customHeight="1" spans="1:8">
      <c r="A292" s="13">
        <v>-6</v>
      </c>
      <c r="B292" s="13" t="s">
        <v>342</v>
      </c>
      <c r="C292" s="14" t="s">
        <v>343</v>
      </c>
      <c r="D292" s="13" t="s">
        <v>268</v>
      </c>
      <c r="E292" s="13">
        <v>2000</v>
      </c>
      <c r="F292" s="15"/>
      <c r="G292" s="13">
        <f t="shared" si="5"/>
        <v>0</v>
      </c>
      <c r="H292" s="13" t="s">
        <v>271</v>
      </c>
    </row>
    <row r="293" s="3" customFormat="1" ht="120" customHeight="1" spans="1:8">
      <c r="A293" s="13">
        <v>-8</v>
      </c>
      <c r="B293" s="13" t="s">
        <v>274</v>
      </c>
      <c r="C293" s="14" t="s">
        <v>275</v>
      </c>
      <c r="D293" s="13" t="s">
        <v>251</v>
      </c>
      <c r="E293" s="13">
        <v>10</v>
      </c>
      <c r="F293" s="15"/>
      <c r="G293" s="13">
        <f t="shared" si="5"/>
        <v>0</v>
      </c>
      <c r="H293" s="13" t="s">
        <v>373</v>
      </c>
    </row>
    <row r="294" s="3" customFormat="1" ht="30" customHeight="1" spans="1:8">
      <c r="A294" s="13">
        <v>-9</v>
      </c>
      <c r="B294" s="13" t="s">
        <v>276</v>
      </c>
      <c r="C294" s="14" t="s">
        <v>277</v>
      </c>
      <c r="D294" s="13" t="s">
        <v>268</v>
      </c>
      <c r="E294" s="13">
        <v>100</v>
      </c>
      <c r="F294" s="15"/>
      <c r="G294" s="13">
        <f t="shared" si="5"/>
        <v>0</v>
      </c>
      <c r="H294" s="13" t="s">
        <v>271</v>
      </c>
    </row>
    <row r="295" s="3" customFormat="1" ht="320" customHeight="1" spans="1:8">
      <c r="A295" s="13">
        <v>-10</v>
      </c>
      <c r="B295" s="13" t="s">
        <v>278</v>
      </c>
      <c r="C295" s="14" t="s">
        <v>279</v>
      </c>
      <c r="D295" s="13" t="s">
        <v>195</v>
      </c>
      <c r="E295" s="13">
        <v>6</v>
      </c>
      <c r="F295" s="15"/>
      <c r="G295" s="13">
        <f t="shared" si="5"/>
        <v>0</v>
      </c>
      <c r="H295" s="13"/>
    </row>
    <row r="296" s="3" customFormat="1" ht="30" customHeight="1" spans="1:8">
      <c r="A296" s="13">
        <v>-11</v>
      </c>
      <c r="B296" s="13" t="s">
        <v>280</v>
      </c>
      <c r="C296" s="14" t="s">
        <v>281</v>
      </c>
      <c r="D296" s="13" t="s">
        <v>55</v>
      </c>
      <c r="E296" s="13">
        <v>1</v>
      </c>
      <c r="F296" s="15"/>
      <c r="G296" s="13">
        <f t="shared" si="5"/>
        <v>0</v>
      </c>
      <c r="H296" s="13"/>
    </row>
    <row r="297" s="3" customFormat="1" ht="30" customHeight="1" spans="1:8">
      <c r="A297" s="13" t="s">
        <v>374</v>
      </c>
      <c r="B297" s="13" t="s">
        <v>375</v>
      </c>
      <c r="C297" s="14"/>
      <c r="D297" s="13"/>
      <c r="E297" s="13"/>
      <c r="F297" s="15"/>
      <c r="G297" s="13"/>
      <c r="H297" s="13"/>
    </row>
    <row r="298" s="3" customFormat="1" ht="409" customHeight="1" spans="1:8">
      <c r="A298" s="13">
        <v>-1</v>
      </c>
      <c r="B298" s="13" t="s">
        <v>310</v>
      </c>
      <c r="C298" s="14" t="s">
        <v>311</v>
      </c>
      <c r="D298" s="13" t="s">
        <v>251</v>
      </c>
      <c r="E298" s="13">
        <v>1</v>
      </c>
      <c r="F298" s="15"/>
      <c r="G298" s="13">
        <f>ROUND(E298*F298,2)</f>
        <v>0</v>
      </c>
      <c r="H298" s="13" t="s">
        <v>339</v>
      </c>
    </row>
    <row r="299" s="3" customFormat="1" customHeight="1" spans="1:8">
      <c r="A299" s="13">
        <v>-2</v>
      </c>
      <c r="B299" s="13" t="s">
        <v>299</v>
      </c>
      <c r="C299" s="14"/>
      <c r="D299" s="13" t="s">
        <v>340</v>
      </c>
      <c r="E299" s="13">
        <v>1</v>
      </c>
      <c r="F299" s="15"/>
      <c r="G299" s="13">
        <f>ROUND(E299*F299,2)</f>
        <v>0</v>
      </c>
      <c r="H299" s="13"/>
    </row>
    <row r="300" s="3" customFormat="1" ht="30" customHeight="1" spans="1:8">
      <c r="A300" s="13">
        <v>-3</v>
      </c>
      <c r="B300" s="13" t="s">
        <v>266</v>
      </c>
      <c r="C300" s="14" t="s">
        <v>341</v>
      </c>
      <c r="D300" s="13" t="s">
        <v>268</v>
      </c>
      <c r="E300" s="13">
        <v>50</v>
      </c>
      <c r="F300" s="15"/>
      <c r="G300" s="13">
        <f>ROUND(E300*F300,2)</f>
        <v>0</v>
      </c>
      <c r="H300" s="13" t="s">
        <v>271</v>
      </c>
    </row>
    <row r="301" s="3" customFormat="1" ht="30" customHeight="1" spans="1:8">
      <c r="A301" s="13">
        <v>-4</v>
      </c>
      <c r="B301" s="13" t="s">
        <v>276</v>
      </c>
      <c r="C301" s="14" t="s">
        <v>277</v>
      </c>
      <c r="D301" s="13" t="s">
        <v>268</v>
      </c>
      <c r="E301" s="13">
        <v>50</v>
      </c>
      <c r="F301" s="15"/>
      <c r="G301" s="13">
        <f>ROUND(E301*F301,2)</f>
        <v>0</v>
      </c>
      <c r="H301" s="13" t="s">
        <v>271</v>
      </c>
    </row>
    <row r="302" s="3" customFormat="1" ht="30" customHeight="1" spans="1:8">
      <c r="A302" s="13">
        <v>-5</v>
      </c>
      <c r="B302" s="13" t="s">
        <v>280</v>
      </c>
      <c r="C302" s="14" t="s">
        <v>281</v>
      </c>
      <c r="D302" s="13" t="s">
        <v>55</v>
      </c>
      <c r="E302" s="13">
        <v>1</v>
      </c>
      <c r="F302" s="15"/>
      <c r="G302" s="13">
        <f>ROUND(E302*F302,2)</f>
        <v>0</v>
      </c>
      <c r="H302" s="13"/>
    </row>
    <row r="303" s="3" customFormat="1" customHeight="1" spans="1:8">
      <c r="A303" s="13" t="s">
        <v>376</v>
      </c>
      <c r="B303" s="13" t="s">
        <v>239</v>
      </c>
      <c r="C303" s="14"/>
      <c r="D303" s="13"/>
      <c r="E303" s="13"/>
      <c r="F303" s="15"/>
      <c r="G303" s="13"/>
      <c r="H303" s="13"/>
    </row>
    <row r="304" s="3" customFormat="1" customHeight="1" spans="1:8">
      <c r="A304" s="13" t="s">
        <v>377</v>
      </c>
      <c r="B304" s="13" t="s">
        <v>378</v>
      </c>
      <c r="C304" s="14"/>
      <c r="D304" s="13"/>
      <c r="E304" s="13"/>
      <c r="F304" s="15"/>
      <c r="G304" s="13"/>
      <c r="H304" s="13"/>
    </row>
    <row r="305" s="3" customFormat="1" customHeight="1" spans="1:8">
      <c r="A305" s="13" t="s">
        <v>379</v>
      </c>
      <c r="B305" s="13" t="s">
        <v>380</v>
      </c>
      <c r="C305" s="14" t="s">
        <v>381</v>
      </c>
      <c r="D305" s="13"/>
      <c r="E305" s="13"/>
      <c r="F305" s="15"/>
      <c r="G305" s="13"/>
      <c r="H305" s="13"/>
    </row>
    <row r="306" s="3" customFormat="1" ht="409" customHeight="1" spans="1:8">
      <c r="A306" s="13">
        <v>-1</v>
      </c>
      <c r="B306" s="13" t="s">
        <v>310</v>
      </c>
      <c r="C306" s="14" t="s">
        <v>311</v>
      </c>
      <c r="D306" s="13" t="s">
        <v>251</v>
      </c>
      <c r="E306" s="13">
        <v>22</v>
      </c>
      <c r="F306" s="15"/>
      <c r="G306" s="13">
        <f>ROUND(E306*F306,2)</f>
        <v>0</v>
      </c>
      <c r="H306" s="13" t="s">
        <v>382</v>
      </c>
    </row>
    <row r="307" s="3" customFormat="1" ht="320" customHeight="1" spans="1:8">
      <c r="A307" s="13">
        <v>-2</v>
      </c>
      <c r="B307" s="13" t="s">
        <v>312</v>
      </c>
      <c r="C307" s="14" t="s">
        <v>313</v>
      </c>
      <c r="D307" s="13" t="s">
        <v>251</v>
      </c>
      <c r="E307" s="13">
        <v>32</v>
      </c>
      <c r="F307" s="15"/>
      <c r="G307" s="13">
        <f>ROUND(E307*F307,2)</f>
        <v>0</v>
      </c>
      <c r="H307" s="13" t="s">
        <v>383</v>
      </c>
    </row>
    <row r="308" s="3" customFormat="1" ht="409" customHeight="1" spans="1:8">
      <c r="A308" s="13">
        <v>-3</v>
      </c>
      <c r="B308" s="13" t="s">
        <v>384</v>
      </c>
      <c r="C308" s="14" t="s">
        <v>385</v>
      </c>
      <c r="D308" s="13" t="s">
        <v>251</v>
      </c>
      <c r="E308" s="13">
        <v>2</v>
      </c>
      <c r="F308" s="15"/>
      <c r="G308" s="13">
        <f>ROUND(E308*F308,2)</f>
        <v>0</v>
      </c>
      <c r="H308" s="13" t="s">
        <v>386</v>
      </c>
    </row>
    <row r="309" s="3" customFormat="1" ht="30" customHeight="1" spans="1:8">
      <c r="A309" s="13">
        <v>-4</v>
      </c>
      <c r="B309" s="13" t="s">
        <v>363</v>
      </c>
      <c r="C309" s="14" t="s">
        <v>364</v>
      </c>
      <c r="D309" s="13" t="s">
        <v>365</v>
      </c>
      <c r="E309" s="13">
        <v>15</v>
      </c>
      <c r="F309" s="15"/>
      <c r="G309" s="13">
        <f>ROUND(E309*F309,2)</f>
        <v>0</v>
      </c>
      <c r="H309" s="13" t="s">
        <v>387</v>
      </c>
    </row>
    <row r="310" s="3" customFormat="1" ht="60" customHeight="1" spans="1:8">
      <c r="A310" s="13">
        <v>-5</v>
      </c>
      <c r="B310" s="13" t="s">
        <v>299</v>
      </c>
      <c r="C310" s="14"/>
      <c r="D310" s="13" t="s">
        <v>340</v>
      </c>
      <c r="E310" s="13">
        <v>7</v>
      </c>
      <c r="F310" s="15"/>
      <c r="G310" s="13">
        <f>ROUND(E310*F310,2)</f>
        <v>0</v>
      </c>
      <c r="H310" s="13" t="s">
        <v>388</v>
      </c>
    </row>
    <row r="311" s="3" customFormat="1" customHeight="1" spans="1:8">
      <c r="A311" s="13" t="s">
        <v>389</v>
      </c>
      <c r="B311" s="13" t="s">
        <v>390</v>
      </c>
      <c r="C311" s="14"/>
      <c r="D311" s="13"/>
      <c r="E311" s="13"/>
      <c r="F311" s="15"/>
      <c r="G311" s="13"/>
      <c r="H311" s="16"/>
    </row>
    <row r="312" s="3" customFormat="1" ht="60" customHeight="1" spans="1:8">
      <c r="A312" s="13">
        <v>-1</v>
      </c>
      <c r="B312" s="13" t="s">
        <v>266</v>
      </c>
      <c r="C312" s="14" t="s">
        <v>267</v>
      </c>
      <c r="D312" s="13" t="s">
        <v>268</v>
      </c>
      <c r="E312" s="13">
        <v>7890</v>
      </c>
      <c r="F312" s="15"/>
      <c r="G312" s="13">
        <f>ROUND(E312*F312,2)</f>
        <v>0</v>
      </c>
      <c r="H312" s="13" t="s">
        <v>391</v>
      </c>
    </row>
    <row r="313" s="3" customFormat="1" ht="60" customHeight="1" spans="1:8">
      <c r="A313" s="13">
        <v>-2</v>
      </c>
      <c r="B313" s="13" t="s">
        <v>269</v>
      </c>
      <c r="C313" s="14"/>
      <c r="D313" s="13" t="s">
        <v>270</v>
      </c>
      <c r="E313" s="13">
        <v>50</v>
      </c>
      <c r="F313" s="15"/>
      <c r="G313" s="13">
        <f>ROUND(E313*F313,2)</f>
        <v>0</v>
      </c>
      <c r="H313" s="13" t="s">
        <v>391</v>
      </c>
    </row>
    <row r="314" s="3" customFormat="1" ht="30" customHeight="1" spans="1:8">
      <c r="A314" s="13">
        <v>-3</v>
      </c>
      <c r="B314" s="13" t="s">
        <v>272</v>
      </c>
      <c r="C314" s="14" t="s">
        <v>273</v>
      </c>
      <c r="D314" s="13" t="s">
        <v>268</v>
      </c>
      <c r="E314" s="13">
        <v>7890</v>
      </c>
      <c r="F314" s="15"/>
      <c r="G314" s="13">
        <f>ROUND(E314*F314,2)</f>
        <v>0</v>
      </c>
      <c r="H314" s="13" t="s">
        <v>271</v>
      </c>
    </row>
    <row r="315" s="3" customFormat="1" customHeight="1" spans="1:8">
      <c r="A315" s="13" t="s">
        <v>392</v>
      </c>
      <c r="B315" s="13" t="s">
        <v>393</v>
      </c>
      <c r="C315" s="14"/>
      <c r="D315" s="13"/>
      <c r="E315" s="13"/>
      <c r="F315" s="15"/>
      <c r="G315" s="13"/>
      <c r="H315" s="13"/>
    </row>
    <row r="316" s="3" customFormat="1" ht="120" customHeight="1" spans="1:8">
      <c r="A316" s="13">
        <v>-1</v>
      </c>
      <c r="B316" s="13" t="s">
        <v>274</v>
      </c>
      <c r="C316" s="18" t="s">
        <v>275</v>
      </c>
      <c r="D316" s="13" t="s">
        <v>251</v>
      </c>
      <c r="E316" s="13">
        <v>19</v>
      </c>
      <c r="F316" s="15"/>
      <c r="G316" s="13">
        <f>ROUND(E316*F316,2)</f>
        <v>0</v>
      </c>
      <c r="H316" s="13" t="s">
        <v>394</v>
      </c>
    </row>
    <row r="317" s="3" customFormat="1" ht="60" customHeight="1" spans="1:8">
      <c r="A317" s="13">
        <v>-2</v>
      </c>
      <c r="B317" s="13" t="s">
        <v>276</v>
      </c>
      <c r="C317" s="14" t="s">
        <v>277</v>
      </c>
      <c r="D317" s="13" t="s">
        <v>268</v>
      </c>
      <c r="E317" s="13">
        <v>400</v>
      </c>
      <c r="F317" s="15"/>
      <c r="G317" s="13">
        <f t="shared" ref="G317:G348" si="6">ROUND(E317*F317,2)</f>
        <v>0</v>
      </c>
      <c r="H317" s="13" t="s">
        <v>391</v>
      </c>
    </row>
    <row r="318" s="3" customFormat="1" ht="320" customHeight="1" spans="1:8">
      <c r="A318" s="13" t="s">
        <v>395</v>
      </c>
      <c r="B318" s="13" t="s">
        <v>278</v>
      </c>
      <c r="C318" s="14" t="s">
        <v>279</v>
      </c>
      <c r="D318" s="13" t="s">
        <v>195</v>
      </c>
      <c r="E318" s="13">
        <v>19</v>
      </c>
      <c r="F318" s="15"/>
      <c r="G318" s="13">
        <f t="shared" si="6"/>
        <v>0</v>
      </c>
      <c r="H318" s="13" t="s">
        <v>394</v>
      </c>
    </row>
    <row r="319" s="3" customFormat="1" ht="30" customHeight="1" spans="1:8">
      <c r="A319" s="13" t="s">
        <v>396</v>
      </c>
      <c r="B319" s="13" t="s">
        <v>280</v>
      </c>
      <c r="C319" s="14" t="s">
        <v>281</v>
      </c>
      <c r="D319" s="13" t="s">
        <v>55</v>
      </c>
      <c r="E319" s="13">
        <v>1</v>
      </c>
      <c r="F319" s="15"/>
      <c r="G319" s="13">
        <f t="shared" si="6"/>
        <v>0</v>
      </c>
      <c r="H319" s="13"/>
    </row>
    <row r="320" s="3" customFormat="1" customHeight="1" spans="1:8">
      <c r="A320" s="13" t="s">
        <v>397</v>
      </c>
      <c r="B320" s="13" t="s">
        <v>398</v>
      </c>
      <c r="C320" s="14"/>
      <c r="D320" s="13"/>
      <c r="E320" s="13"/>
      <c r="F320" s="15"/>
      <c r="G320" s="13"/>
      <c r="H320" s="13"/>
    </row>
    <row r="321" s="3" customFormat="1" ht="400" customHeight="1" spans="1:8">
      <c r="A321" s="13">
        <v>-1</v>
      </c>
      <c r="B321" s="13" t="s">
        <v>399</v>
      </c>
      <c r="C321" s="14" t="s">
        <v>400</v>
      </c>
      <c r="D321" s="13" t="s">
        <v>251</v>
      </c>
      <c r="E321" s="13">
        <v>16</v>
      </c>
      <c r="F321" s="15"/>
      <c r="G321" s="13">
        <f t="shared" si="6"/>
        <v>0</v>
      </c>
      <c r="H321" s="13"/>
    </row>
    <row r="322" s="3" customFormat="1" ht="60" customHeight="1" spans="1:8">
      <c r="A322" s="13">
        <v>-2</v>
      </c>
      <c r="B322" s="13" t="s">
        <v>401</v>
      </c>
      <c r="C322" s="14" t="s">
        <v>402</v>
      </c>
      <c r="D322" s="13" t="s">
        <v>195</v>
      </c>
      <c r="E322" s="13">
        <v>16</v>
      </c>
      <c r="F322" s="15"/>
      <c r="G322" s="13">
        <f t="shared" si="6"/>
        <v>0</v>
      </c>
      <c r="H322" s="13"/>
    </row>
    <row r="323" s="3" customFormat="1" customHeight="1" spans="1:8">
      <c r="A323" s="13">
        <v>-3</v>
      </c>
      <c r="B323" s="13" t="s">
        <v>403</v>
      </c>
      <c r="C323" s="14" t="s">
        <v>404</v>
      </c>
      <c r="D323" s="13" t="s">
        <v>405</v>
      </c>
      <c r="E323" s="13">
        <v>16</v>
      </c>
      <c r="F323" s="15"/>
      <c r="G323" s="13">
        <f t="shared" si="6"/>
        <v>0</v>
      </c>
      <c r="H323" s="13"/>
    </row>
    <row r="324" s="3" customFormat="1" customHeight="1" spans="1:8">
      <c r="A324" s="13">
        <v>-4</v>
      </c>
      <c r="B324" s="13" t="s">
        <v>406</v>
      </c>
      <c r="C324" s="14" t="s">
        <v>407</v>
      </c>
      <c r="D324" s="13" t="s">
        <v>340</v>
      </c>
      <c r="E324" s="13">
        <v>16</v>
      </c>
      <c r="F324" s="15"/>
      <c r="G324" s="13">
        <f t="shared" si="6"/>
        <v>0</v>
      </c>
      <c r="H324" s="13"/>
    </row>
    <row r="325" s="3" customFormat="1" customHeight="1" spans="1:8">
      <c r="A325" s="13">
        <v>-5</v>
      </c>
      <c r="B325" s="13" t="s">
        <v>408</v>
      </c>
      <c r="C325" s="14" t="s">
        <v>409</v>
      </c>
      <c r="D325" s="13" t="s">
        <v>410</v>
      </c>
      <c r="E325" s="13">
        <v>16</v>
      </c>
      <c r="F325" s="15"/>
      <c r="G325" s="13">
        <f t="shared" si="6"/>
        <v>0</v>
      </c>
      <c r="H325" s="13"/>
    </row>
    <row r="326" s="3" customFormat="1" ht="30" customHeight="1" spans="1:8">
      <c r="A326" s="13">
        <v>-9</v>
      </c>
      <c r="B326" s="13" t="s">
        <v>280</v>
      </c>
      <c r="C326" s="14" t="s">
        <v>281</v>
      </c>
      <c r="D326" s="13" t="s">
        <v>55</v>
      </c>
      <c r="E326" s="13">
        <v>1</v>
      </c>
      <c r="F326" s="15"/>
      <c r="G326" s="13">
        <f t="shared" si="6"/>
        <v>0</v>
      </c>
      <c r="H326" s="13"/>
    </row>
    <row r="327" s="3" customFormat="1" customHeight="1" spans="1:8">
      <c r="A327" s="13">
        <v>3.2</v>
      </c>
      <c r="B327" s="13" t="s">
        <v>411</v>
      </c>
      <c r="C327" s="14"/>
      <c r="D327" s="13"/>
      <c r="E327" s="13"/>
      <c r="F327" s="15"/>
      <c r="G327" s="13"/>
      <c r="H327" s="13"/>
    </row>
    <row r="328" s="3" customFormat="1" customHeight="1" spans="1:8">
      <c r="A328" s="13" t="s">
        <v>412</v>
      </c>
      <c r="B328" s="13" t="s">
        <v>413</v>
      </c>
      <c r="C328" s="14"/>
      <c r="D328" s="13"/>
      <c r="E328" s="13"/>
      <c r="F328" s="15"/>
      <c r="G328" s="13"/>
      <c r="H328" s="13"/>
    </row>
    <row r="329" s="3" customFormat="1" customHeight="1" spans="1:8">
      <c r="A329" s="13" t="s">
        <v>414</v>
      </c>
      <c r="B329" s="13" t="s">
        <v>415</v>
      </c>
      <c r="C329" s="14"/>
      <c r="D329" s="13"/>
      <c r="E329" s="13"/>
      <c r="F329" s="15"/>
      <c r="G329" s="13"/>
      <c r="H329" s="13"/>
    </row>
    <row r="330" s="3" customFormat="1" ht="120" customHeight="1" spans="1:8">
      <c r="A330" s="13">
        <v>-1</v>
      </c>
      <c r="B330" s="13" t="s">
        <v>416</v>
      </c>
      <c r="C330" s="14" t="s">
        <v>417</v>
      </c>
      <c r="D330" s="13" t="s">
        <v>251</v>
      </c>
      <c r="E330" s="13">
        <v>1</v>
      </c>
      <c r="F330" s="15"/>
      <c r="G330" s="13">
        <f t="shared" si="6"/>
        <v>0</v>
      </c>
      <c r="H330" s="13" t="s">
        <v>418</v>
      </c>
    </row>
    <row r="331" s="3" customFormat="1" ht="120" customHeight="1" spans="1:8">
      <c r="A331" s="13">
        <v>-2</v>
      </c>
      <c r="B331" s="13" t="s">
        <v>419</v>
      </c>
      <c r="C331" s="14" t="s">
        <v>420</v>
      </c>
      <c r="D331" s="13" t="s">
        <v>251</v>
      </c>
      <c r="E331" s="13">
        <v>1</v>
      </c>
      <c r="F331" s="15"/>
      <c r="G331" s="13">
        <f t="shared" si="6"/>
        <v>0</v>
      </c>
      <c r="H331" s="13" t="s">
        <v>421</v>
      </c>
    </row>
    <row r="332" s="3" customFormat="1" ht="100" customHeight="1" spans="1:8">
      <c r="A332" s="13">
        <v>-3</v>
      </c>
      <c r="B332" s="13" t="s">
        <v>422</v>
      </c>
      <c r="C332" s="14" t="s">
        <v>423</v>
      </c>
      <c r="D332" s="13" t="s">
        <v>251</v>
      </c>
      <c r="E332" s="13">
        <v>1</v>
      </c>
      <c r="F332" s="15"/>
      <c r="G332" s="13">
        <f t="shared" si="6"/>
        <v>0</v>
      </c>
      <c r="H332" s="13" t="s">
        <v>418</v>
      </c>
    </row>
    <row r="333" s="3" customFormat="1" ht="120" customHeight="1" spans="1:8">
      <c r="A333" s="13">
        <v>-4</v>
      </c>
      <c r="B333" s="13" t="s">
        <v>424</v>
      </c>
      <c r="C333" s="14" t="s">
        <v>329</v>
      </c>
      <c r="D333" s="13" t="s">
        <v>251</v>
      </c>
      <c r="E333" s="13">
        <v>1</v>
      </c>
      <c r="F333" s="15"/>
      <c r="G333" s="13">
        <f t="shared" si="6"/>
        <v>0</v>
      </c>
      <c r="H333" s="13" t="s">
        <v>421</v>
      </c>
    </row>
    <row r="334" s="3" customFormat="1" ht="120" customHeight="1" spans="1:8">
      <c r="A334" s="13">
        <v>-5</v>
      </c>
      <c r="B334" s="13" t="s">
        <v>425</v>
      </c>
      <c r="C334" s="14" t="s">
        <v>329</v>
      </c>
      <c r="D334" s="13" t="s">
        <v>251</v>
      </c>
      <c r="E334" s="13">
        <v>1</v>
      </c>
      <c r="F334" s="15"/>
      <c r="G334" s="13">
        <f t="shared" si="6"/>
        <v>0</v>
      </c>
      <c r="H334" s="13" t="s">
        <v>421</v>
      </c>
    </row>
    <row r="335" s="3" customFormat="1" ht="30" customHeight="1" spans="1:8">
      <c r="A335" s="13">
        <v>-6</v>
      </c>
      <c r="B335" s="13" t="s">
        <v>426</v>
      </c>
      <c r="C335" s="14" t="s">
        <v>427</v>
      </c>
      <c r="D335" s="13" t="s">
        <v>195</v>
      </c>
      <c r="E335" s="13">
        <v>1</v>
      </c>
      <c r="F335" s="15"/>
      <c r="G335" s="13">
        <f t="shared" si="6"/>
        <v>0</v>
      </c>
      <c r="H335" s="13" t="s">
        <v>428</v>
      </c>
    </row>
    <row r="336" s="3" customFormat="1" ht="100" customHeight="1" spans="1:8">
      <c r="A336" s="13">
        <v>-7</v>
      </c>
      <c r="B336" s="13" t="s">
        <v>429</v>
      </c>
      <c r="C336" s="14" t="s">
        <v>430</v>
      </c>
      <c r="D336" s="13" t="s">
        <v>251</v>
      </c>
      <c r="E336" s="13">
        <v>1</v>
      </c>
      <c r="F336" s="15"/>
      <c r="G336" s="13">
        <f t="shared" si="6"/>
        <v>0</v>
      </c>
      <c r="H336" s="13" t="s">
        <v>421</v>
      </c>
    </row>
    <row r="337" s="3" customFormat="1" ht="70" customHeight="1" spans="1:8">
      <c r="A337" s="13">
        <v>-8</v>
      </c>
      <c r="B337" s="13" t="s">
        <v>431</v>
      </c>
      <c r="C337" s="14" t="s">
        <v>432</v>
      </c>
      <c r="D337" s="13" t="s">
        <v>195</v>
      </c>
      <c r="E337" s="13">
        <v>1</v>
      </c>
      <c r="F337" s="15"/>
      <c r="G337" s="13">
        <f t="shared" si="6"/>
        <v>0</v>
      </c>
      <c r="H337" s="13" t="s">
        <v>421</v>
      </c>
    </row>
    <row r="338" s="3" customFormat="1" ht="280" customHeight="1" spans="1:8">
      <c r="A338" s="13">
        <v>-9</v>
      </c>
      <c r="B338" s="13" t="s">
        <v>433</v>
      </c>
      <c r="C338" s="14" t="s">
        <v>434</v>
      </c>
      <c r="D338" s="13" t="s">
        <v>251</v>
      </c>
      <c r="E338" s="13">
        <v>1</v>
      </c>
      <c r="F338" s="15"/>
      <c r="G338" s="13">
        <f t="shared" si="6"/>
        <v>0</v>
      </c>
      <c r="H338" s="13" t="s">
        <v>421</v>
      </c>
    </row>
    <row r="339" s="3" customFormat="1" customHeight="1" spans="1:8">
      <c r="A339" s="13">
        <v>-10</v>
      </c>
      <c r="B339" s="13" t="s">
        <v>435</v>
      </c>
      <c r="C339" s="14" t="s">
        <v>436</v>
      </c>
      <c r="D339" s="13" t="s">
        <v>405</v>
      </c>
      <c r="E339" s="13">
        <v>70</v>
      </c>
      <c r="F339" s="15"/>
      <c r="G339" s="13">
        <f t="shared" si="6"/>
        <v>0</v>
      </c>
      <c r="H339" s="13" t="s">
        <v>421</v>
      </c>
    </row>
    <row r="340" s="3" customFormat="1" customHeight="1" spans="1:8">
      <c r="A340" s="13">
        <v>-11</v>
      </c>
      <c r="B340" s="13" t="s">
        <v>437</v>
      </c>
      <c r="C340" s="14" t="s">
        <v>438</v>
      </c>
      <c r="D340" s="13" t="s">
        <v>439</v>
      </c>
      <c r="E340" s="13">
        <v>300</v>
      </c>
      <c r="F340" s="15"/>
      <c r="G340" s="13">
        <f t="shared" si="6"/>
        <v>0</v>
      </c>
      <c r="H340" s="13" t="s">
        <v>421</v>
      </c>
    </row>
    <row r="341" s="3" customFormat="1" ht="160" customHeight="1" spans="1:8">
      <c r="A341" s="13">
        <v>-12</v>
      </c>
      <c r="B341" s="13" t="s">
        <v>440</v>
      </c>
      <c r="C341" s="14" t="s">
        <v>441</v>
      </c>
      <c r="D341" s="13" t="s">
        <v>251</v>
      </c>
      <c r="E341" s="13">
        <v>2</v>
      </c>
      <c r="F341" s="15"/>
      <c r="G341" s="13">
        <f t="shared" si="6"/>
        <v>0</v>
      </c>
      <c r="H341" s="13" t="s">
        <v>442</v>
      </c>
    </row>
    <row r="342" s="3" customFormat="1" ht="160" customHeight="1" spans="1:8">
      <c r="A342" s="13">
        <v>-13</v>
      </c>
      <c r="B342" s="13" t="s">
        <v>443</v>
      </c>
      <c r="C342" s="14" t="s">
        <v>441</v>
      </c>
      <c r="D342" s="13" t="s">
        <v>251</v>
      </c>
      <c r="E342" s="13">
        <v>2</v>
      </c>
      <c r="F342" s="15"/>
      <c r="G342" s="13">
        <f t="shared" si="6"/>
        <v>0</v>
      </c>
      <c r="H342" s="13" t="s">
        <v>442</v>
      </c>
    </row>
    <row r="343" s="3" customFormat="1" customHeight="1" spans="1:8">
      <c r="A343" s="13">
        <v>-14</v>
      </c>
      <c r="B343" s="13" t="s">
        <v>444</v>
      </c>
      <c r="C343" s="14" t="s">
        <v>445</v>
      </c>
      <c r="D343" s="13" t="s">
        <v>251</v>
      </c>
      <c r="E343" s="13">
        <v>2</v>
      </c>
      <c r="F343" s="15"/>
      <c r="G343" s="13">
        <f t="shared" si="6"/>
        <v>0</v>
      </c>
      <c r="H343" s="13" t="s">
        <v>446</v>
      </c>
    </row>
    <row r="344" s="3" customFormat="1" customHeight="1" spans="1:8">
      <c r="A344" s="13">
        <v>-15</v>
      </c>
      <c r="B344" s="13" t="s">
        <v>447</v>
      </c>
      <c r="C344" s="14"/>
      <c r="D344" s="13" t="s">
        <v>195</v>
      </c>
      <c r="E344" s="13">
        <v>1</v>
      </c>
      <c r="F344" s="15"/>
      <c r="G344" s="13">
        <f t="shared" si="6"/>
        <v>0</v>
      </c>
      <c r="H344" s="13" t="s">
        <v>446</v>
      </c>
    </row>
    <row r="345" s="3" customFormat="1" customHeight="1" spans="1:8">
      <c r="A345" s="13" t="s">
        <v>448</v>
      </c>
      <c r="B345" s="13" t="s">
        <v>449</v>
      </c>
      <c r="C345" s="14"/>
      <c r="D345" s="13"/>
      <c r="E345" s="13"/>
      <c r="F345" s="15"/>
      <c r="G345" s="13"/>
      <c r="H345" s="13"/>
    </row>
    <row r="346" s="3" customFormat="1" ht="130" customHeight="1" spans="1:8">
      <c r="A346" s="13">
        <v>-1</v>
      </c>
      <c r="B346" s="13" t="s">
        <v>450</v>
      </c>
      <c r="C346" s="14" t="s">
        <v>417</v>
      </c>
      <c r="D346" s="13" t="s">
        <v>251</v>
      </c>
      <c r="E346" s="13">
        <v>2</v>
      </c>
      <c r="F346" s="15"/>
      <c r="G346" s="13">
        <f t="shared" si="6"/>
        <v>0</v>
      </c>
      <c r="H346" s="13"/>
    </row>
    <row r="347" s="3" customFormat="1" ht="100" customHeight="1" spans="1:8">
      <c r="A347" s="13">
        <v>-2</v>
      </c>
      <c r="B347" s="13" t="s">
        <v>451</v>
      </c>
      <c r="C347" s="14" t="s">
        <v>423</v>
      </c>
      <c r="D347" s="13" t="s">
        <v>251</v>
      </c>
      <c r="E347" s="13">
        <v>2</v>
      </c>
      <c r="F347" s="15"/>
      <c r="G347" s="13">
        <f t="shared" si="6"/>
        <v>0</v>
      </c>
      <c r="H347" s="13"/>
    </row>
    <row r="348" s="3" customFormat="1" ht="120" customHeight="1" spans="1:8">
      <c r="A348" s="13">
        <v>-3</v>
      </c>
      <c r="B348" s="13" t="s">
        <v>452</v>
      </c>
      <c r="C348" s="14" t="s">
        <v>329</v>
      </c>
      <c r="D348" s="13" t="s">
        <v>251</v>
      </c>
      <c r="E348" s="13">
        <v>2</v>
      </c>
      <c r="F348" s="15"/>
      <c r="G348" s="13">
        <f t="shared" si="6"/>
        <v>0</v>
      </c>
      <c r="H348" s="13"/>
    </row>
    <row r="349" s="3" customFormat="1" ht="100" customHeight="1" spans="1:8">
      <c r="A349" s="13">
        <v>-4</v>
      </c>
      <c r="B349" s="13" t="s">
        <v>429</v>
      </c>
      <c r="C349" s="14" t="s">
        <v>430</v>
      </c>
      <c r="D349" s="13" t="s">
        <v>251</v>
      </c>
      <c r="E349" s="13">
        <v>1</v>
      </c>
      <c r="F349" s="15"/>
      <c r="G349" s="13">
        <f t="shared" ref="G349:G380" si="7">ROUND(E349*F349,2)</f>
        <v>0</v>
      </c>
      <c r="H349" s="13"/>
    </row>
    <row r="350" s="3" customFormat="1" ht="40" customHeight="1" spans="1:8">
      <c r="A350" s="13">
        <v>-5</v>
      </c>
      <c r="B350" s="13" t="s">
        <v>453</v>
      </c>
      <c r="C350" s="14" t="s">
        <v>454</v>
      </c>
      <c r="D350" s="13" t="s">
        <v>195</v>
      </c>
      <c r="E350" s="13">
        <v>4</v>
      </c>
      <c r="F350" s="15"/>
      <c r="G350" s="13">
        <f t="shared" si="7"/>
        <v>0</v>
      </c>
      <c r="H350" s="13" t="s">
        <v>455</v>
      </c>
    </row>
    <row r="351" s="3" customFormat="1" customHeight="1" spans="1:8">
      <c r="A351" s="13">
        <v>-6</v>
      </c>
      <c r="B351" s="13" t="s">
        <v>447</v>
      </c>
      <c r="C351" s="14"/>
      <c r="D351" s="13" t="s">
        <v>195</v>
      </c>
      <c r="E351" s="13">
        <v>2</v>
      </c>
      <c r="F351" s="15"/>
      <c r="G351" s="13">
        <f t="shared" si="7"/>
        <v>0</v>
      </c>
      <c r="H351" s="13" t="s">
        <v>446</v>
      </c>
    </row>
    <row r="352" s="3" customFormat="1" ht="30" customHeight="1" spans="1:8">
      <c r="A352" s="13">
        <v>-7</v>
      </c>
      <c r="B352" s="13" t="s">
        <v>456</v>
      </c>
      <c r="C352" s="14"/>
      <c r="D352" s="13"/>
      <c r="E352" s="13"/>
      <c r="F352" s="15"/>
      <c r="G352" s="13"/>
      <c r="H352" s="13"/>
    </row>
    <row r="353" s="3" customFormat="1" ht="60" customHeight="1" spans="1:8">
      <c r="A353" s="13" t="s">
        <v>457</v>
      </c>
      <c r="B353" s="13" t="s">
        <v>458</v>
      </c>
      <c r="C353" s="14" t="s">
        <v>459</v>
      </c>
      <c r="D353" s="13" t="s">
        <v>195</v>
      </c>
      <c r="E353" s="13">
        <v>14</v>
      </c>
      <c r="F353" s="15"/>
      <c r="G353" s="13">
        <f t="shared" si="7"/>
        <v>0</v>
      </c>
      <c r="H353" s="13"/>
    </row>
    <row r="354" s="3" customFormat="1" ht="100" customHeight="1" spans="1:8">
      <c r="A354" s="13" t="s">
        <v>460</v>
      </c>
      <c r="B354" s="13" t="s">
        <v>461</v>
      </c>
      <c r="C354" s="14" t="s">
        <v>462</v>
      </c>
      <c r="D354" s="13" t="s">
        <v>195</v>
      </c>
      <c r="E354" s="13">
        <v>1</v>
      </c>
      <c r="F354" s="15"/>
      <c r="G354" s="13">
        <f t="shared" si="7"/>
        <v>0</v>
      </c>
      <c r="H354" s="13"/>
    </row>
    <row r="355" s="3" customFormat="1" ht="40" customHeight="1" spans="1:8">
      <c r="A355" s="13" t="s">
        <v>463</v>
      </c>
      <c r="B355" s="13" t="s">
        <v>464</v>
      </c>
      <c r="C355" s="14" t="s">
        <v>465</v>
      </c>
      <c r="D355" s="13" t="s">
        <v>195</v>
      </c>
      <c r="E355" s="13">
        <v>1</v>
      </c>
      <c r="F355" s="15"/>
      <c r="G355" s="13">
        <f t="shared" si="7"/>
        <v>0</v>
      </c>
      <c r="H355" s="13"/>
    </row>
    <row r="356" s="3" customFormat="1" customHeight="1" spans="1:8">
      <c r="A356" s="13" t="s">
        <v>466</v>
      </c>
      <c r="B356" s="13" t="s">
        <v>467</v>
      </c>
      <c r="C356" s="14" t="s">
        <v>468</v>
      </c>
      <c r="D356" s="13" t="s">
        <v>55</v>
      </c>
      <c r="E356" s="13">
        <v>1</v>
      </c>
      <c r="F356" s="15"/>
      <c r="G356" s="13">
        <f t="shared" si="7"/>
        <v>0</v>
      </c>
      <c r="H356" s="13"/>
    </row>
    <row r="357" s="3" customFormat="1" customHeight="1" spans="1:8">
      <c r="A357" s="13" t="s">
        <v>469</v>
      </c>
      <c r="B357" s="13" t="s">
        <v>470</v>
      </c>
      <c r="C357" s="14" t="s">
        <v>471</v>
      </c>
      <c r="D357" s="13" t="s">
        <v>55</v>
      </c>
      <c r="E357" s="13">
        <v>1</v>
      </c>
      <c r="F357" s="15"/>
      <c r="G357" s="13">
        <f t="shared" si="7"/>
        <v>0</v>
      </c>
      <c r="H357" s="13"/>
    </row>
    <row r="358" s="3" customFormat="1" customHeight="1" spans="1:8">
      <c r="A358" s="13" t="s">
        <v>472</v>
      </c>
      <c r="B358" s="13" t="s">
        <v>473</v>
      </c>
      <c r="C358" s="14" t="s">
        <v>474</v>
      </c>
      <c r="D358" s="13" t="s">
        <v>55</v>
      </c>
      <c r="E358" s="13">
        <v>1</v>
      </c>
      <c r="F358" s="15"/>
      <c r="G358" s="13">
        <f t="shared" si="7"/>
        <v>0</v>
      </c>
      <c r="H358" s="13"/>
    </row>
    <row r="359" s="3" customFormat="1" ht="30" customHeight="1" spans="1:8">
      <c r="A359" s="13">
        <v>-7</v>
      </c>
      <c r="B359" s="13" t="s">
        <v>475</v>
      </c>
      <c r="C359" s="14"/>
      <c r="D359" s="13" t="s">
        <v>476</v>
      </c>
      <c r="E359" s="13">
        <v>5</v>
      </c>
      <c r="F359" s="15"/>
      <c r="G359" s="13">
        <f t="shared" si="7"/>
        <v>0</v>
      </c>
      <c r="H359" s="13"/>
    </row>
    <row r="360" s="3" customFormat="1" customHeight="1" spans="1:8">
      <c r="A360" s="13">
        <v>-8</v>
      </c>
      <c r="B360" s="13" t="s">
        <v>477</v>
      </c>
      <c r="C360" s="14" t="s">
        <v>478</v>
      </c>
      <c r="D360" s="13" t="s">
        <v>55</v>
      </c>
      <c r="E360" s="13">
        <v>1</v>
      </c>
      <c r="F360" s="15"/>
      <c r="G360" s="13">
        <f t="shared" si="7"/>
        <v>0</v>
      </c>
      <c r="H360" s="13"/>
    </row>
    <row r="361" s="3" customFormat="1" customHeight="1" spans="1:8">
      <c r="A361" s="13" t="s">
        <v>479</v>
      </c>
      <c r="B361" s="13" t="s">
        <v>480</v>
      </c>
      <c r="C361" s="14"/>
      <c r="D361" s="13"/>
      <c r="E361" s="13"/>
      <c r="F361" s="15"/>
      <c r="G361" s="13"/>
      <c r="H361" s="13"/>
    </row>
    <row r="362" s="3" customFormat="1" ht="100" customHeight="1" spans="1:8">
      <c r="A362" s="13">
        <v>-1</v>
      </c>
      <c r="B362" s="13" t="s">
        <v>429</v>
      </c>
      <c r="C362" s="14" t="s">
        <v>430</v>
      </c>
      <c r="D362" s="13" t="s">
        <v>251</v>
      </c>
      <c r="E362" s="13">
        <v>2</v>
      </c>
      <c r="F362" s="15"/>
      <c r="G362" s="13">
        <f t="shared" si="7"/>
        <v>0</v>
      </c>
      <c r="H362" s="13" t="s">
        <v>481</v>
      </c>
    </row>
    <row r="363" s="3" customFormat="1" ht="100" customHeight="1" spans="1:8">
      <c r="A363" s="13">
        <v>-2</v>
      </c>
      <c r="B363" s="13" t="s">
        <v>482</v>
      </c>
      <c r="C363" s="14" t="s">
        <v>483</v>
      </c>
      <c r="D363" s="13" t="s">
        <v>251</v>
      </c>
      <c r="E363" s="13">
        <v>1</v>
      </c>
      <c r="F363" s="15"/>
      <c r="G363" s="13">
        <f t="shared" si="7"/>
        <v>0</v>
      </c>
      <c r="H363" s="13" t="s">
        <v>484</v>
      </c>
    </row>
    <row r="364" s="3" customFormat="1" ht="280" customHeight="1" spans="1:8">
      <c r="A364" s="13">
        <v>-3</v>
      </c>
      <c r="B364" s="13" t="s">
        <v>433</v>
      </c>
      <c r="C364" s="14" t="s">
        <v>434</v>
      </c>
      <c r="D364" s="13" t="s">
        <v>251</v>
      </c>
      <c r="E364" s="13">
        <v>2</v>
      </c>
      <c r="F364" s="15"/>
      <c r="G364" s="13">
        <f t="shared" si="7"/>
        <v>0</v>
      </c>
      <c r="H364" s="13" t="s">
        <v>485</v>
      </c>
    </row>
    <row r="365" s="3" customFormat="1" customHeight="1" spans="1:8">
      <c r="A365" s="13">
        <v>-4</v>
      </c>
      <c r="B365" s="13" t="s">
        <v>435</v>
      </c>
      <c r="C365" s="14" t="s">
        <v>436</v>
      </c>
      <c r="D365" s="13" t="s">
        <v>405</v>
      </c>
      <c r="E365" s="13">
        <v>80</v>
      </c>
      <c r="F365" s="15"/>
      <c r="G365" s="13">
        <f t="shared" si="7"/>
        <v>0</v>
      </c>
      <c r="H365" s="13" t="s">
        <v>486</v>
      </c>
    </row>
    <row r="366" s="3" customFormat="1" ht="40" customHeight="1" spans="1:8">
      <c r="A366" s="13">
        <v>-5</v>
      </c>
      <c r="B366" s="13" t="s">
        <v>487</v>
      </c>
      <c r="C366" s="14" t="s">
        <v>488</v>
      </c>
      <c r="D366" s="13" t="s">
        <v>195</v>
      </c>
      <c r="E366" s="13">
        <v>10</v>
      </c>
      <c r="F366" s="15"/>
      <c r="G366" s="13">
        <f t="shared" si="7"/>
        <v>0</v>
      </c>
      <c r="H366" s="13" t="s">
        <v>489</v>
      </c>
    </row>
    <row r="367" s="3" customFormat="1" ht="80" customHeight="1" spans="1:8">
      <c r="A367" s="13">
        <v>-6</v>
      </c>
      <c r="B367" s="13" t="s">
        <v>490</v>
      </c>
      <c r="C367" s="14" t="s">
        <v>491</v>
      </c>
      <c r="D367" s="13" t="s">
        <v>195</v>
      </c>
      <c r="E367" s="13">
        <v>10</v>
      </c>
      <c r="F367" s="15"/>
      <c r="G367" s="13">
        <f t="shared" si="7"/>
        <v>0</v>
      </c>
      <c r="H367" s="13" t="s">
        <v>489</v>
      </c>
    </row>
    <row r="368" s="3" customFormat="1" customHeight="1" spans="1:8">
      <c r="A368" s="13">
        <v>-7</v>
      </c>
      <c r="B368" s="13" t="s">
        <v>492</v>
      </c>
      <c r="C368" s="14"/>
      <c r="D368" s="13" t="s">
        <v>55</v>
      </c>
      <c r="E368" s="13">
        <v>1</v>
      </c>
      <c r="F368" s="15"/>
      <c r="G368" s="13">
        <f t="shared" si="7"/>
        <v>0</v>
      </c>
      <c r="H368" s="13" t="s">
        <v>493</v>
      </c>
    </row>
    <row r="369" s="3" customFormat="1" ht="30" customHeight="1" spans="1:8">
      <c r="A369" s="13" t="s">
        <v>494</v>
      </c>
      <c r="B369" s="13" t="s">
        <v>280</v>
      </c>
      <c r="C369" s="14" t="s">
        <v>495</v>
      </c>
      <c r="D369" s="13" t="s">
        <v>55</v>
      </c>
      <c r="E369" s="13">
        <v>1</v>
      </c>
      <c r="F369" s="15"/>
      <c r="G369" s="13">
        <f t="shared" si="7"/>
        <v>0</v>
      </c>
      <c r="H369" s="13"/>
    </row>
    <row r="370" s="3" customFormat="1" customHeight="1" spans="1:8">
      <c r="A370" s="13" t="s">
        <v>496</v>
      </c>
      <c r="B370" s="13" t="s">
        <v>497</v>
      </c>
      <c r="C370" s="14"/>
      <c r="D370" s="13"/>
      <c r="E370" s="13"/>
      <c r="F370" s="15"/>
      <c r="G370" s="13"/>
      <c r="H370" s="13"/>
    </row>
    <row r="371" s="3" customFormat="1" customHeight="1" spans="1:8">
      <c r="A371" s="13" t="s">
        <v>498</v>
      </c>
      <c r="B371" s="13" t="s">
        <v>499</v>
      </c>
      <c r="C371" s="14"/>
      <c r="D371" s="13"/>
      <c r="E371" s="13"/>
      <c r="F371" s="15"/>
      <c r="G371" s="13"/>
      <c r="H371" s="13"/>
    </row>
    <row r="372" s="3" customFormat="1" ht="60" customHeight="1" spans="1:8">
      <c r="A372" s="13" t="s">
        <v>500</v>
      </c>
      <c r="B372" s="13" t="s">
        <v>501</v>
      </c>
      <c r="C372" s="14"/>
      <c r="D372" s="13"/>
      <c r="E372" s="13"/>
      <c r="F372" s="15"/>
      <c r="G372" s="13"/>
      <c r="H372" s="13" t="s">
        <v>502</v>
      </c>
    </row>
    <row r="373" s="3" customFormat="1" customHeight="1" spans="1:8">
      <c r="A373" s="13" t="s">
        <v>503</v>
      </c>
      <c r="B373" s="13" t="s">
        <v>504</v>
      </c>
      <c r="C373" s="14"/>
      <c r="D373" s="13"/>
      <c r="E373" s="13"/>
      <c r="F373" s="15"/>
      <c r="G373" s="13"/>
      <c r="H373" s="13"/>
    </row>
    <row r="374" s="3" customFormat="1" ht="180" customHeight="1" spans="1:8">
      <c r="A374" s="13">
        <v>-1</v>
      </c>
      <c r="B374" s="13" t="s">
        <v>505</v>
      </c>
      <c r="C374" s="14" t="s">
        <v>506</v>
      </c>
      <c r="D374" s="13" t="s">
        <v>251</v>
      </c>
      <c r="E374" s="13">
        <v>2</v>
      </c>
      <c r="F374" s="15"/>
      <c r="G374" s="13">
        <f>ROUND(E374*F374,2)</f>
        <v>0</v>
      </c>
      <c r="H374" s="13" t="s">
        <v>507</v>
      </c>
    </row>
    <row r="375" s="3" customFormat="1" customHeight="1" spans="1:8">
      <c r="A375" s="13" t="s">
        <v>508</v>
      </c>
      <c r="B375" s="13" t="s">
        <v>509</v>
      </c>
      <c r="C375" s="14"/>
      <c r="D375" s="13"/>
      <c r="E375" s="13"/>
      <c r="F375" s="15"/>
      <c r="G375" s="13"/>
      <c r="H375" s="13"/>
    </row>
    <row r="376" s="3" customFormat="1" ht="100" customHeight="1" spans="1:8">
      <c r="A376" s="13">
        <v>-1</v>
      </c>
      <c r="B376" s="13" t="s">
        <v>510</v>
      </c>
      <c r="C376" s="14" t="s">
        <v>511</v>
      </c>
      <c r="D376" s="13" t="s">
        <v>251</v>
      </c>
      <c r="E376" s="13">
        <v>2</v>
      </c>
      <c r="F376" s="15"/>
      <c r="G376" s="13">
        <f>ROUND(E376*F376,2)</f>
        <v>0</v>
      </c>
      <c r="H376" s="13" t="s">
        <v>507</v>
      </c>
    </row>
    <row r="377" s="3" customFormat="1" ht="250" customHeight="1" spans="1:8">
      <c r="A377" s="13">
        <v>-2</v>
      </c>
      <c r="B377" s="13" t="s">
        <v>512</v>
      </c>
      <c r="C377" s="14" t="s">
        <v>513</v>
      </c>
      <c r="D377" s="13" t="s">
        <v>251</v>
      </c>
      <c r="E377" s="13">
        <v>8</v>
      </c>
      <c r="F377" s="15"/>
      <c r="G377" s="13">
        <f>ROUND(E377*F377,2)</f>
        <v>0</v>
      </c>
      <c r="H377" s="13" t="s">
        <v>514</v>
      </c>
    </row>
    <row r="378" s="3" customFormat="1" ht="30" customHeight="1" spans="1:8">
      <c r="A378" s="13" t="s">
        <v>515</v>
      </c>
      <c r="B378" s="13" t="s">
        <v>516</v>
      </c>
      <c r="C378" s="14"/>
      <c r="D378" s="13"/>
      <c r="E378" s="13"/>
      <c r="F378" s="15"/>
      <c r="G378" s="13"/>
      <c r="H378" s="13"/>
    </row>
    <row r="379" s="3" customFormat="1" ht="170" customHeight="1" spans="1:8">
      <c r="A379" s="13">
        <v>-1</v>
      </c>
      <c r="B379" s="13" t="s">
        <v>517</v>
      </c>
      <c r="C379" s="14" t="s">
        <v>518</v>
      </c>
      <c r="D379" s="13" t="s">
        <v>251</v>
      </c>
      <c r="E379" s="13">
        <v>1</v>
      </c>
      <c r="F379" s="15"/>
      <c r="G379" s="13">
        <f t="shared" ref="G379:G384" si="8">ROUND(E379*F379,2)</f>
        <v>0</v>
      </c>
      <c r="H379" s="13" t="s">
        <v>519</v>
      </c>
    </row>
    <row r="380" s="3" customFormat="1" ht="170" customHeight="1" spans="1:8">
      <c r="A380" s="13">
        <v>-2</v>
      </c>
      <c r="B380" s="13" t="s">
        <v>520</v>
      </c>
      <c r="C380" s="14" t="s">
        <v>518</v>
      </c>
      <c r="D380" s="13" t="s">
        <v>251</v>
      </c>
      <c r="E380" s="13">
        <v>1</v>
      </c>
      <c r="F380" s="15"/>
      <c r="G380" s="13">
        <f t="shared" si="8"/>
        <v>0</v>
      </c>
      <c r="H380" s="13" t="s">
        <v>519</v>
      </c>
    </row>
    <row r="381" s="3" customFormat="1" ht="170" customHeight="1" spans="1:8">
      <c r="A381" s="13">
        <v>-3</v>
      </c>
      <c r="B381" s="13" t="s">
        <v>521</v>
      </c>
      <c r="C381" s="14" t="s">
        <v>522</v>
      </c>
      <c r="D381" s="13" t="s">
        <v>251</v>
      </c>
      <c r="E381" s="13">
        <v>2</v>
      </c>
      <c r="F381" s="15"/>
      <c r="G381" s="13">
        <f t="shared" si="8"/>
        <v>0</v>
      </c>
      <c r="H381" s="13" t="s">
        <v>519</v>
      </c>
    </row>
    <row r="382" s="3" customFormat="1" customHeight="1" spans="1:8">
      <c r="A382" s="13" t="s">
        <v>523</v>
      </c>
      <c r="B382" s="13" t="s">
        <v>524</v>
      </c>
      <c r="C382" s="14"/>
      <c r="D382" s="13"/>
      <c r="E382" s="13"/>
      <c r="F382" s="15"/>
      <c r="G382" s="13"/>
      <c r="H382" s="13"/>
    </row>
    <row r="383" s="3" customFormat="1" ht="90" customHeight="1" spans="1:8">
      <c r="A383" s="13">
        <v>-1</v>
      </c>
      <c r="B383" s="13" t="s">
        <v>525</v>
      </c>
      <c r="C383" s="14" t="s">
        <v>526</v>
      </c>
      <c r="D383" s="13" t="s">
        <v>439</v>
      </c>
      <c r="E383" s="13">
        <v>4</v>
      </c>
      <c r="F383" s="15"/>
      <c r="G383" s="13">
        <f t="shared" si="8"/>
        <v>0</v>
      </c>
      <c r="H383" s="13" t="s">
        <v>527</v>
      </c>
    </row>
    <row r="384" s="3" customFormat="1" ht="60" customHeight="1" spans="1:8">
      <c r="A384" s="13">
        <v>-2</v>
      </c>
      <c r="B384" s="13" t="s">
        <v>525</v>
      </c>
      <c r="C384" s="14" t="s">
        <v>526</v>
      </c>
      <c r="D384" s="13" t="s">
        <v>439</v>
      </c>
      <c r="E384" s="13">
        <v>2</v>
      </c>
      <c r="F384" s="15"/>
      <c r="G384" s="13">
        <f t="shared" si="8"/>
        <v>0</v>
      </c>
      <c r="H384" s="13" t="s">
        <v>528</v>
      </c>
    </row>
    <row r="385" s="3" customFormat="1" ht="30" customHeight="1" spans="1:8">
      <c r="A385" s="13" t="s">
        <v>529</v>
      </c>
      <c r="B385" s="13" t="s">
        <v>280</v>
      </c>
      <c r="C385" s="14" t="s">
        <v>530</v>
      </c>
      <c r="D385" s="13" t="s">
        <v>55</v>
      </c>
      <c r="E385" s="13">
        <v>1</v>
      </c>
      <c r="F385" s="15"/>
      <c r="G385" s="13">
        <f t="shared" ref="G385:G406" si="9">ROUND(E385*F385,2)</f>
        <v>0</v>
      </c>
      <c r="H385" s="13"/>
    </row>
    <row r="386" s="3" customFormat="1" ht="30" customHeight="1" spans="1:8">
      <c r="A386" s="13" t="s">
        <v>531</v>
      </c>
      <c r="B386" s="13" t="s">
        <v>532</v>
      </c>
      <c r="C386" s="14"/>
      <c r="D386" s="13"/>
      <c r="E386" s="13"/>
      <c r="F386" s="15"/>
      <c r="G386" s="13"/>
      <c r="H386" s="13"/>
    </row>
    <row r="387" s="3" customFormat="1" customHeight="1" spans="1:8">
      <c r="A387" s="13" t="s">
        <v>533</v>
      </c>
      <c r="B387" s="13" t="s">
        <v>415</v>
      </c>
      <c r="C387" s="14"/>
      <c r="D387" s="13"/>
      <c r="E387" s="13"/>
      <c r="F387" s="15"/>
      <c r="G387" s="13"/>
      <c r="H387" s="13"/>
    </row>
    <row r="388" s="3" customFormat="1" ht="80" customHeight="1" spans="1:8">
      <c r="A388" s="13">
        <v>-1</v>
      </c>
      <c r="B388" s="13" t="s">
        <v>534</v>
      </c>
      <c r="C388" s="14" t="s">
        <v>535</v>
      </c>
      <c r="D388" s="13" t="s">
        <v>251</v>
      </c>
      <c r="E388" s="13">
        <v>1</v>
      </c>
      <c r="F388" s="15"/>
      <c r="G388" s="13">
        <f t="shared" si="9"/>
        <v>0</v>
      </c>
      <c r="H388" s="13" t="s">
        <v>536</v>
      </c>
    </row>
    <row r="389" s="3" customFormat="1" ht="80" customHeight="1" spans="1:8">
      <c r="A389" s="13">
        <v>-2</v>
      </c>
      <c r="B389" s="13" t="s">
        <v>537</v>
      </c>
      <c r="C389" s="14" t="s">
        <v>538</v>
      </c>
      <c r="D389" s="13" t="s">
        <v>251</v>
      </c>
      <c r="E389" s="13">
        <v>1</v>
      </c>
      <c r="F389" s="15"/>
      <c r="G389" s="13">
        <f t="shared" si="9"/>
        <v>0</v>
      </c>
      <c r="H389" s="13" t="s">
        <v>536</v>
      </c>
    </row>
    <row r="390" s="3" customFormat="1" ht="80" customHeight="1" spans="1:8">
      <c r="A390" s="13">
        <v>-3</v>
      </c>
      <c r="B390" s="13" t="s">
        <v>539</v>
      </c>
      <c r="C390" s="14" t="s">
        <v>540</v>
      </c>
      <c r="D390" s="13" t="s">
        <v>251</v>
      </c>
      <c r="E390" s="13">
        <v>1</v>
      </c>
      <c r="F390" s="15"/>
      <c r="G390" s="13">
        <f t="shared" si="9"/>
        <v>0</v>
      </c>
      <c r="H390" s="13" t="s">
        <v>536</v>
      </c>
    </row>
    <row r="391" s="3" customFormat="1" ht="100" customHeight="1" spans="1:8">
      <c r="A391" s="13">
        <v>-4</v>
      </c>
      <c r="B391" s="13" t="s">
        <v>541</v>
      </c>
      <c r="C391" s="14" t="s">
        <v>542</v>
      </c>
      <c r="D391" s="13" t="s">
        <v>251</v>
      </c>
      <c r="E391" s="13">
        <v>1</v>
      </c>
      <c r="F391" s="15"/>
      <c r="G391" s="13">
        <f t="shared" si="9"/>
        <v>0</v>
      </c>
      <c r="H391" s="13" t="s">
        <v>536</v>
      </c>
    </row>
    <row r="392" s="3" customFormat="1" ht="140" customHeight="1" spans="1:8">
      <c r="A392" s="13">
        <v>-5</v>
      </c>
      <c r="B392" s="13" t="s">
        <v>543</v>
      </c>
      <c r="C392" s="14" t="s">
        <v>544</v>
      </c>
      <c r="D392" s="13" t="s">
        <v>251</v>
      </c>
      <c r="E392" s="13">
        <v>1</v>
      </c>
      <c r="F392" s="15"/>
      <c r="G392" s="13">
        <f t="shared" si="9"/>
        <v>0</v>
      </c>
      <c r="H392" s="13" t="s">
        <v>536</v>
      </c>
    </row>
    <row r="393" s="3" customFormat="1" ht="80" customHeight="1" spans="1:8">
      <c r="A393" s="13">
        <v>-6</v>
      </c>
      <c r="B393" s="13" t="s">
        <v>545</v>
      </c>
      <c r="C393" s="14" t="s">
        <v>546</v>
      </c>
      <c r="D393" s="13" t="s">
        <v>251</v>
      </c>
      <c r="E393" s="13">
        <v>1</v>
      </c>
      <c r="F393" s="15"/>
      <c r="G393" s="13">
        <f t="shared" si="9"/>
        <v>0</v>
      </c>
      <c r="H393" s="13" t="s">
        <v>547</v>
      </c>
    </row>
    <row r="394" s="3" customFormat="1" customHeight="1" spans="1:8">
      <c r="A394" s="13" t="s">
        <v>548</v>
      </c>
      <c r="B394" s="13" t="s">
        <v>449</v>
      </c>
      <c r="C394" s="14"/>
      <c r="D394" s="13"/>
      <c r="E394" s="13"/>
      <c r="F394" s="15"/>
      <c r="G394" s="13"/>
      <c r="H394" s="13"/>
    </row>
    <row r="395" s="3" customFormat="1" ht="80" customHeight="1" spans="1:8">
      <c r="A395" s="13" t="s">
        <v>549</v>
      </c>
      <c r="B395" s="13" t="s">
        <v>550</v>
      </c>
      <c r="C395" s="14" t="s">
        <v>546</v>
      </c>
      <c r="D395" s="13" t="s">
        <v>251</v>
      </c>
      <c r="E395" s="13">
        <v>1</v>
      </c>
      <c r="F395" s="15"/>
      <c r="G395" s="13">
        <f t="shared" si="9"/>
        <v>0</v>
      </c>
      <c r="H395" s="13" t="s">
        <v>551</v>
      </c>
    </row>
    <row r="396" s="3" customFormat="1" customHeight="1" spans="1:8">
      <c r="A396" s="13" t="s">
        <v>552</v>
      </c>
      <c r="B396" s="13" t="s">
        <v>553</v>
      </c>
      <c r="C396" s="14"/>
      <c r="D396" s="13"/>
      <c r="E396" s="13"/>
      <c r="F396" s="15"/>
      <c r="G396" s="13"/>
      <c r="H396" s="13"/>
    </row>
    <row r="397" s="3" customFormat="1" ht="150" customHeight="1" spans="1:8">
      <c r="A397" s="13">
        <v>-1</v>
      </c>
      <c r="B397" s="13" t="s">
        <v>554</v>
      </c>
      <c r="C397" s="14" t="s">
        <v>555</v>
      </c>
      <c r="D397" s="13" t="s">
        <v>251</v>
      </c>
      <c r="E397" s="13">
        <v>2</v>
      </c>
      <c r="F397" s="15"/>
      <c r="G397" s="13">
        <f t="shared" si="9"/>
        <v>0</v>
      </c>
      <c r="H397" s="13" t="s">
        <v>556</v>
      </c>
    </row>
    <row r="398" s="3" customFormat="1" ht="80" customHeight="1" spans="1:8">
      <c r="A398" s="13">
        <v>-2</v>
      </c>
      <c r="B398" s="13" t="s">
        <v>557</v>
      </c>
      <c r="C398" s="14" t="s">
        <v>546</v>
      </c>
      <c r="D398" s="13" t="s">
        <v>251</v>
      </c>
      <c r="E398" s="13">
        <v>2</v>
      </c>
      <c r="F398" s="15"/>
      <c r="G398" s="13">
        <f t="shared" si="9"/>
        <v>0</v>
      </c>
      <c r="H398" s="13" t="s">
        <v>507</v>
      </c>
    </row>
    <row r="399" s="3" customFormat="1" ht="80" customHeight="1" spans="1:8">
      <c r="A399" s="13">
        <v>-3</v>
      </c>
      <c r="B399" s="13" t="s">
        <v>558</v>
      </c>
      <c r="C399" s="14" t="s">
        <v>546</v>
      </c>
      <c r="D399" s="13" t="s">
        <v>251</v>
      </c>
      <c r="E399" s="13">
        <v>2</v>
      </c>
      <c r="F399" s="15"/>
      <c r="G399" s="13">
        <f t="shared" si="9"/>
        <v>0</v>
      </c>
      <c r="H399" s="13" t="s">
        <v>507</v>
      </c>
    </row>
    <row r="400" s="3" customFormat="1" ht="80" customHeight="1" spans="1:8">
      <c r="A400" s="13">
        <v>-4</v>
      </c>
      <c r="B400" s="13" t="s">
        <v>559</v>
      </c>
      <c r="C400" s="14" t="s">
        <v>546</v>
      </c>
      <c r="D400" s="13" t="s">
        <v>251</v>
      </c>
      <c r="E400" s="13">
        <v>2</v>
      </c>
      <c r="F400" s="15"/>
      <c r="G400" s="13">
        <f t="shared" si="9"/>
        <v>0</v>
      </c>
      <c r="H400" s="13" t="s">
        <v>507</v>
      </c>
    </row>
    <row r="401" s="3" customFormat="1" ht="80" customHeight="1" spans="1:8">
      <c r="A401" s="13">
        <v>-5</v>
      </c>
      <c r="B401" s="13" t="s">
        <v>560</v>
      </c>
      <c r="C401" s="14" t="s">
        <v>561</v>
      </c>
      <c r="D401" s="13" t="s">
        <v>251</v>
      </c>
      <c r="E401" s="13">
        <v>4</v>
      </c>
      <c r="F401" s="15"/>
      <c r="G401" s="13">
        <f t="shared" si="9"/>
        <v>0</v>
      </c>
      <c r="H401" s="13" t="s">
        <v>562</v>
      </c>
    </row>
    <row r="402" s="3" customFormat="1" ht="30" customHeight="1" spans="1:8">
      <c r="A402" s="13" t="s">
        <v>563</v>
      </c>
      <c r="B402" s="13" t="s">
        <v>280</v>
      </c>
      <c r="C402" s="14" t="s">
        <v>564</v>
      </c>
      <c r="D402" s="13" t="s">
        <v>55</v>
      </c>
      <c r="E402" s="13">
        <v>1</v>
      </c>
      <c r="F402" s="15"/>
      <c r="G402" s="13">
        <f t="shared" si="9"/>
        <v>0</v>
      </c>
      <c r="H402" s="13"/>
    </row>
    <row r="403" s="3" customFormat="1" customHeight="1" spans="1:8">
      <c r="A403" s="13" t="s">
        <v>27</v>
      </c>
      <c r="B403" s="13" t="s">
        <v>28</v>
      </c>
      <c r="C403" s="14"/>
      <c r="D403" s="13"/>
      <c r="E403" s="13"/>
      <c r="F403" s="15"/>
      <c r="G403" s="13"/>
      <c r="H403" s="13"/>
    </row>
    <row r="404" s="3" customFormat="1" customHeight="1" spans="1:8">
      <c r="A404" s="13">
        <v>4.1</v>
      </c>
      <c r="B404" s="13" t="s">
        <v>565</v>
      </c>
      <c r="C404" s="14"/>
      <c r="D404" s="13" t="s">
        <v>55</v>
      </c>
      <c r="E404" s="13">
        <v>1</v>
      </c>
      <c r="F404" s="15"/>
      <c r="G404" s="13">
        <f t="shared" si="9"/>
        <v>0</v>
      </c>
      <c r="H404" s="13"/>
    </row>
    <row r="405" s="3" customFormat="1" customHeight="1" spans="1:8">
      <c r="A405" s="13">
        <v>4.2</v>
      </c>
      <c r="B405" s="13" t="s">
        <v>566</v>
      </c>
      <c r="C405" s="14"/>
      <c r="D405" s="13" t="s">
        <v>55</v>
      </c>
      <c r="E405" s="13">
        <v>1</v>
      </c>
      <c r="F405" s="15"/>
      <c r="G405" s="13">
        <f t="shared" si="9"/>
        <v>0</v>
      </c>
      <c r="H405" s="13"/>
    </row>
    <row r="406" s="3" customFormat="1" customHeight="1" spans="1:8">
      <c r="A406" s="19" t="s">
        <v>567</v>
      </c>
      <c r="B406" s="20"/>
      <c r="C406" s="21"/>
      <c r="D406" s="20"/>
      <c r="E406" s="22"/>
      <c r="F406" s="19">
        <f>ROUND(SUM(G8:G405),0)</f>
        <v>0</v>
      </c>
      <c r="G406" s="22"/>
      <c r="H406" s="13" t="s">
        <v>568</v>
      </c>
    </row>
    <row r="407" s="3" customFormat="1" customHeight="1" spans="1:8">
      <c r="A407" s="23" t="s">
        <v>569</v>
      </c>
      <c r="B407" s="4"/>
      <c r="C407" s="5"/>
      <c r="H407" s="6"/>
    </row>
  </sheetData>
  <sheetProtection algorithmName="SHA-512" hashValue="d9kQzojGXM610UPozf9XEePCaqIjg+dyyUVvbbcOnayqoIVE3RCGGMHAZoZxSwnXCUOZlhNAdueAU+EE1ez0zA==" saltValue="Gi0wDYZJkEvGKBIWbJmYAA==" spinCount="100000" sheet="1" formatCells="0" formatColumns="0" formatRows="0" objects="1"/>
  <mergeCells count="4">
    <mergeCell ref="A1:H1"/>
    <mergeCell ref="A2:G2"/>
    <mergeCell ref="A406:E406"/>
    <mergeCell ref="F406:G406"/>
  </mergeCells>
  <printOptions horizontalCentered="1"/>
  <pageMargins left="0.700694444444445" right="0.314583333333333" top="0.472222222222222" bottom="0.393055555555556" header="0.594444444444444" footer="0"/>
  <pageSetup paperSize="9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封面</vt:lpstr>
      <vt:lpstr>说明</vt:lpstr>
      <vt:lpstr>汇总表</vt:lpstr>
      <vt:lpstr>工程量清单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</dc:creator>
  <cp:lastModifiedBy>Malaimo</cp:lastModifiedBy>
  <dcterms:created xsi:type="dcterms:W3CDTF">2024-12-02T05:49:00Z</dcterms:created>
  <dcterms:modified xsi:type="dcterms:W3CDTF">2025-11-13T12:46:41Z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18BC59D1CF7447A49D9640082494BD4B_13</vt:lpwstr>
  </property>
</Properties>
</file>