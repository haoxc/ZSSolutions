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activeTab="1"/>
  </bookViews>
  <sheets>
    <sheet name="封面" sheetId="3" r:id="rId1"/>
    <sheet name="工程量说明" sheetId="2" r:id="rId2"/>
    <sheet name="汇总表" sheetId="1" r:id="rId3"/>
    <sheet name="工程量清单" sheetId="4" r:id="rId4"/>
  </sheets>
  <definedNames>
    <definedName name="_xlnm._FilterDatabase" localSheetId="3" hidden="1">工程量清单!$A$3:$CTV$263</definedName>
    <definedName name="_xlnm.Print_Area" localSheetId="3">工程量清单!$A$1:$H$263</definedName>
    <definedName name="_xlnm.Print_Area" localSheetId="2">汇总表!$A$1:$C$20</definedName>
    <definedName name="_xlnm.Print_Area" localSheetId="1">工程量说明!$A$1:$B$10</definedName>
    <definedName name="_xlnm.Print_Area" localSheetId="0">封面!$A$1:$D$8</definedName>
    <definedName name="_xlnm.Print_Titles" localSheetId="3">工程量清单!$1:$3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<sst xmlns="http://schemas.openxmlformats.org/spreadsheetml/2006/main" count="1000" uniqueCount="446">
  <si>
    <t>苏南运河干（支）线数字化转型升级项目施工项目（SZH-SNSG2标段）</t>
  </si>
  <si>
    <t>工程量清单</t>
  </si>
  <si>
    <t>招 标 人：</t>
  </si>
  <si>
    <t>江苏省交通运输厅港航事业发展中心</t>
  </si>
  <si>
    <t>投 标 人：</t>
  </si>
  <si>
    <t>（电子签章）</t>
  </si>
  <si>
    <t xml:space="preserve">   编制时间：</t>
  </si>
  <si>
    <t>工程量清单说明</t>
  </si>
  <si>
    <t>项目名称：苏南运河干（支）线数字化转型升级项目施工项目（SZH-SNSG2标段）</t>
  </si>
  <si>
    <t xml:space="preserve">    1.本工程量清单应与招标文件中的投标人须知、通用合同条款、专用合同条款、工程量清单计量规则、技术规范及图纸等一起阅读和理解。</t>
  </si>
  <si>
    <t xml:space="preserve">    2.工程量清单中所列工程量的变动，丝毫不会降低或影响合同条款的效力，也不免除承包人按规定的标准进行施工和修复缺陷的责任。</t>
  </si>
  <si>
    <t xml:space="preserve">    3.图纸中所列的工程数量表及数量汇总表仅是提供资料，不是工程量清单的外延。当图纸与工程量清单所列数量不一致时，以工程量清单所列数量作为报价的依据。</t>
  </si>
  <si>
    <t xml:space="preserve">    4.承包人负责与供电部门协调沟通，负责点位开户挂电表，含供电线路、相关接入设备、设备安装调试、架空或埋地线路等工作量，至交工验收后5年内的合同范围内所有设备系统运行等所发生的电费由承包人承担，上述费用均含在相关细目报价中，不单独计量与支付。</t>
  </si>
  <si>
    <t xml:space="preserve">    5.承包人负责网络的接入工作，含通信光缆、相关接入设备、设备安装调试、架空或埋地线路等工作量，至交工验收后5年内的网络租赁和使用费应由承包人承担，具体数量及要求详见设计文件，上述费用均含在相关细目报价中，不单独计量与支付。</t>
  </si>
  <si>
    <t xml:space="preserve">    6.杆件（立杆）费用中包含点位所需设备与杆件运输、杆件施工、辅材配件采购、线缆线路敷设、设备及配件安装、绿化破坏补偿恢复等全部费用。</t>
  </si>
  <si>
    <t xml:space="preserve">    7.对于工程量清单中所有为完成相关设备或系统安装和调试所需的、但未在工程量清单中列出的辅材(包括设备安装附件、跳纤、尾纤、插头、接头等)，费用包含在清单单价或总价中。</t>
  </si>
  <si>
    <t xml:space="preserve">    8.工程量清单中各项金额均以人民币（元）结算。</t>
  </si>
  <si>
    <t>汇总表</t>
  </si>
  <si>
    <t>序号</t>
  </si>
  <si>
    <t>项目名称</t>
  </si>
  <si>
    <t>金额（元）</t>
  </si>
  <si>
    <t>一</t>
  </si>
  <si>
    <t>应用软件建设费</t>
  </si>
  <si>
    <t>二</t>
  </si>
  <si>
    <t>数据工程费</t>
  </si>
  <si>
    <t>三</t>
  </si>
  <si>
    <t>设备购置及安装调试费</t>
  </si>
  <si>
    <t>四</t>
  </si>
  <si>
    <t>工程其他费用</t>
  </si>
  <si>
    <t>五</t>
  </si>
  <si>
    <t>清单小计</t>
  </si>
  <si>
    <t>六</t>
  </si>
  <si>
    <t>暂列金（3%）</t>
  </si>
  <si>
    <t>七</t>
  </si>
  <si>
    <t>安全生产费（1.5%）</t>
  </si>
  <si>
    <t>八</t>
  </si>
  <si>
    <t>工伤保险费（3‰）</t>
  </si>
  <si>
    <t>总计</t>
  </si>
  <si>
    <t>投标人：</t>
  </si>
  <si>
    <t>法定代表人或其授权代理人：</t>
  </si>
  <si>
    <t>日期：</t>
  </si>
  <si>
    <t>主要建设内容</t>
  </si>
  <si>
    <t>单位</t>
  </si>
  <si>
    <t>数量</t>
  </si>
  <si>
    <t>单价
（元）</t>
  </si>
  <si>
    <t>小计
（元）</t>
  </si>
  <si>
    <t>备注</t>
  </si>
  <si>
    <t>智慧船闸</t>
  </si>
  <si>
    <t>1.1.1</t>
  </si>
  <si>
    <t>船闸数字孪生系统</t>
  </si>
  <si>
    <t>1.1.1.1</t>
  </si>
  <si>
    <t>数字孪生引擎</t>
  </si>
  <si>
    <t>（1）</t>
  </si>
  <si>
    <t>WebGL引擎及二次开发</t>
  </si>
  <si>
    <t>详见施工图设计方案</t>
  </si>
  <si>
    <t>项</t>
  </si>
  <si>
    <t>（2）</t>
  </si>
  <si>
    <t>高渲染引擎及二次开发</t>
  </si>
  <si>
    <t>1.1.1.2</t>
  </si>
  <si>
    <t>数字孪生门户</t>
  </si>
  <si>
    <t>用户登录</t>
  </si>
  <si>
    <t>门户首页</t>
  </si>
  <si>
    <t>1.1.1.3</t>
  </si>
  <si>
    <t>航网立体监测</t>
  </si>
  <si>
    <t>船舶动态监测</t>
  </si>
  <si>
    <t>通航环境监测</t>
  </si>
  <si>
    <t>（3）</t>
  </si>
  <si>
    <t>航标运行监测</t>
  </si>
  <si>
    <t>1.1.1.4</t>
  </si>
  <si>
    <t>数字巡航应用</t>
  </si>
  <si>
    <t>船艇巡航</t>
  </si>
  <si>
    <t>虚拟巡航</t>
  </si>
  <si>
    <t>1.1.1.5</t>
  </si>
  <si>
    <t>水下养护应用</t>
  </si>
  <si>
    <t>航槽三维监测</t>
  </si>
  <si>
    <t>航道断面对比</t>
  </si>
  <si>
    <t>航道浅点分析</t>
  </si>
  <si>
    <t>（4）</t>
  </si>
  <si>
    <t>河床冲淤分析</t>
  </si>
  <si>
    <t>1.1.1.6</t>
  </si>
  <si>
    <t>数据对接</t>
  </si>
  <si>
    <t>与航道普查系统对接</t>
  </si>
  <si>
    <t>与各船闸视频监控系统对接</t>
  </si>
  <si>
    <t>与各航道外场感知系统对接</t>
  </si>
  <si>
    <t>与运调系统对接</t>
  </si>
  <si>
    <t>（5）</t>
  </si>
  <si>
    <t>与已建谏壁1号船闸数字孪生系统对接</t>
  </si>
  <si>
    <t>1.1.2</t>
  </si>
  <si>
    <t>市级港航一体化平台（镇江）</t>
  </si>
  <si>
    <t>1.1.2.1</t>
  </si>
  <si>
    <t>数据共享交换</t>
  </si>
  <si>
    <t>数据采集</t>
  </si>
  <si>
    <t>复用镇江港航已建数据中台</t>
  </si>
  <si>
    <t>数据治理</t>
  </si>
  <si>
    <t>1.1.2.2</t>
  </si>
  <si>
    <t>大屏数据综合展现</t>
  </si>
  <si>
    <t>市级智慧航闸一张图</t>
  </si>
  <si>
    <t>航闸数据孪生集成</t>
  </si>
  <si>
    <t>航道通航状态展示</t>
  </si>
  <si>
    <t>船闸运行情况展示</t>
  </si>
  <si>
    <t>视频监控接入</t>
  </si>
  <si>
    <t>（6）</t>
  </si>
  <si>
    <t>港口运行情况展示</t>
  </si>
  <si>
    <t>1.1.2.3</t>
  </si>
  <si>
    <t>与沿江港口可视化管理平台对接</t>
  </si>
  <si>
    <t>套</t>
  </si>
  <si>
    <t>2.1.1</t>
  </si>
  <si>
    <t>船闸数字孪生</t>
  </si>
  <si>
    <t>2.1.1.1</t>
  </si>
  <si>
    <t>船闸及周边数据采集建模</t>
  </si>
  <si>
    <t>开展单体化建模包括船闸周边环境无人机倾斜摄影、船闸精细建模、重点附属设施设备等</t>
  </si>
  <si>
    <t>倾斜摄影</t>
  </si>
  <si>
    <t>空间精度：平面精度、高程精度应优于0.05m；纹理质量要求：无遮蔽的建筑物，楼体外形清晰、表面光滑；能够精确表示各类树木的高度及轮廓，不允许出现漂浮情况</t>
  </si>
  <si>
    <t>平方公里</t>
  </si>
  <si>
    <t>谏壁2号船闸上下游八字墙1km，扫测宽度0.1km</t>
  </si>
  <si>
    <t>船闸精细建模</t>
  </si>
  <si>
    <t>包括闸首边墩、闸首底板、闸室闸墙、闸室底板、桩基式结构、重力式结构、板桩式结构等</t>
  </si>
  <si>
    <t>个</t>
  </si>
  <si>
    <t>重点附属设施设备</t>
  </si>
  <si>
    <t>包括护舷、钢轨、爬梯、踏步、护栏等</t>
  </si>
  <si>
    <t>船舶建模</t>
  </si>
  <si>
    <t>2.1.1.2</t>
  </si>
  <si>
    <t>数字孪生场景搭建</t>
  </si>
  <si>
    <t>利用航网数字孪生底座，实现模型标准化处理、构建标准化入库、数字孪生场景搭建渲染等，提供适用于WebGL与高渲染的两种场景搭建，并在航网数字孪生底座中实现全省场景集成</t>
  </si>
  <si>
    <t>模型数据检验</t>
  </si>
  <si>
    <t>模型标准化处理</t>
  </si>
  <si>
    <t>模型标准化入库</t>
  </si>
  <si>
    <t>2.1.2</t>
  </si>
  <si>
    <t>航道数字孪生数据</t>
  </si>
  <si>
    <t>2.1.2.1</t>
  </si>
  <si>
    <t>航道周边数据采集建模</t>
  </si>
  <si>
    <t>开展锡澄运河重点区域精细化建模</t>
  </si>
  <si>
    <t>谏壁至京杭运河与丹金溧漕河交界处剩余未倾斜摄影12.6公里，扫测宽度0.4km</t>
  </si>
  <si>
    <t>航道建模</t>
  </si>
  <si>
    <t>包括航道水域、锚地水域、航标模型、水工结构、水下地形(复用水下扫测数据)等</t>
  </si>
  <si>
    <t>公里</t>
  </si>
  <si>
    <t>约25.2km</t>
  </si>
  <si>
    <t>桥梁建模</t>
  </si>
  <si>
    <t>桥梁主体BIM模型创建、模型轻量化处理转换</t>
  </si>
  <si>
    <t>座</t>
  </si>
  <si>
    <t>13座桥</t>
  </si>
  <si>
    <t>停泊区建模</t>
  </si>
  <si>
    <t>2个停泊区</t>
  </si>
  <si>
    <t>辖区内苏南运河航道采集建模（含护岸、桥梁、航标等粗模）</t>
  </si>
  <si>
    <t>航道采集建模宽度0.4km</t>
  </si>
  <si>
    <t>2.1.2.2</t>
  </si>
  <si>
    <t>2.1.3</t>
  </si>
  <si>
    <t>与省市系统对接</t>
  </si>
  <si>
    <t>智慧水上服务区</t>
  </si>
  <si>
    <t>2.2.1</t>
  </si>
  <si>
    <t>智慧航道</t>
  </si>
  <si>
    <t>2.3.1</t>
  </si>
  <si>
    <t>设备购置费</t>
  </si>
  <si>
    <t>3.1.1</t>
  </si>
  <si>
    <t>谏壁船闸终端</t>
  </si>
  <si>
    <t>3.1.1.1</t>
  </si>
  <si>
    <t>船舶身份和数量识别终端</t>
  </si>
  <si>
    <t>检测相机</t>
  </si>
  <si>
    <r>
      <rPr>
        <sz val="10"/>
        <rFont val="宋体"/>
        <charset val="134"/>
      </rPr>
      <t>具体技术要求：</t>
    </r>
    <r>
      <rPr>
        <sz val="10"/>
        <color indexed="8"/>
        <rFont val="宋体"/>
        <charset val="134"/>
      </rPr>
      <t xml:space="preserve">
1、不低于400万像素；
2、宽动态：不低于120 dB；
3、最低照度：彩色模式：≤0.0005lx，黑白模式：≤0.0001lx；
4、传感器类型：不小于1/1.8英寸CMOS；
5、焦距：不小于2.8~12 mm，拍摄距离满足本项目检测距离需求；
6、补光：混光（红外+暖白），不低于4颗灯珠，补光距离不小于50m，具备补光自适应功能；
7、视频压缩标准：H.265/H.264/MJPEG；
8、网络：具备RJ45 10 M/100 M/1000 M自适应以太网口、RS-485接口；
9、报警：具备掉线、遮挡报警等功能，提供SDK包二次开发使用；
10、报警信号联动：不少于3路输入、2路输出；
11、具有独立的IP地址，可以直接接入以太网络，并可以通过客户端自动搜索IP地址；
12、供电方式：支持DC12V/PoE供电，具备防反接保护；
13、功能：内置GPU，具备防抖、降噪、加热、除湿等功能，具备防雷、防浪涌保护；
14、工作温湿度：温度不低于-30 °C~60 °C，湿度不低于5%~95%@40℃，无凝结；
15、防护：不低于IP66；
16、含接地、安装支架等配套设备。
17、含五年原厂质保</t>
    </r>
  </si>
  <si>
    <t>台</t>
  </si>
  <si>
    <t>抓拍相机</t>
  </si>
  <si>
    <r>
      <rPr>
        <sz val="10"/>
        <rFont val="宋体"/>
        <charset val="134"/>
      </rPr>
      <t>具体技术要求：</t>
    </r>
    <r>
      <rPr>
        <sz val="10"/>
        <color indexed="8"/>
        <rFont val="宋体"/>
        <charset val="134"/>
      </rPr>
      <t xml:space="preserve">
1、不低于800万像素；
2、采用不小于1英寸CMOS；
3、视频采用H.265、H.264或MJPEG编码；
4、图像控制：曝光速度、AGC控制、白平衡方式控制等；
5、压缩输出码率：不低于32 Kbps~16 Mbps；
6、镜头规格：25mm，拍摄距离满足本项目抓拍距离需求；
7、快门速度是 50us到9000us；
8、光圈类型：自动光圈或手动光圈（支持远程调节）；
9、触发输出：不少于4路F+/F-输出接口，作为补光灯同步输出控制；
10、触发输入：不少于1路触发/报警输入；
11、补光：暖白光，不低于3颗灯珠，补光距离不小于40米；具备补光自适应功能；
12、功能：内置GPU，具备防抖、降噪、加热、除湿等功能，具备防雷、防浪涌保护；
13、通讯接口：具备RJ45 10 M/100 M/1000 M自适应以太网口、RS-485接口；
14、报警：具备掉线、遮挡报警等功能，提供SDK包二次开发使用；
15、具有独立的IP地址，可以直接接入以太网络，并可以通过客户端自动搜索IP地址；
16、工作温湿度：温度不低于-30 °C~70 °C，湿度不低于5%~95%@40℃，无凝结；
17、防护：不低于IP66；
18、含接地、安装支架等配套设备；
19、五年原厂质保</t>
    </r>
  </si>
  <si>
    <t>AIS接收设备</t>
  </si>
  <si>
    <t>频率范围：156.025MHz~162.025MHz；
信道带宽：25KHz(默认)/12.5kHz；
AIS接收机灵敏度：≤-110dBm（20%误包率）
接收范围：≥2km
接口：支持RS232或RS485。</t>
  </si>
  <si>
    <t>长距激光雷达</t>
  </si>
  <si>
    <r>
      <rPr>
        <sz val="10"/>
        <rFont val="宋体"/>
        <charset val="134"/>
      </rPr>
      <t>具体技术要求：</t>
    </r>
    <r>
      <rPr>
        <sz val="10"/>
        <color indexed="8"/>
        <rFont val="宋体"/>
        <charset val="134"/>
      </rPr>
      <t xml:space="preserve">
1、单帧线束：不低于128线；
2、激光波长：不低于905nm；
3、探测范围：不弱于1.5~400m；
4、探测距离：最远探测距离400m ，在10%反射率条件下≥250m；
5、视场角：不低于(H*V) 120°X 18°；
6、角分辨率：不高于(H*V)0.16°* 0.17°；
7、防水及防尘等级：IP67；
8、测距精度：土3cm(1σ)；
9、帧率：5~20FPS，可调节；
10、工作温度： -40℃~85℃；
11、储存温度：-40℃~105℃；
12、人眼安全等级：Class1(IEC-60825)；
13、额定电压：12/24V DC；
14、额定功率：&lt;20w；
15、数据传输接口：1000Base-T1以太网；
16、点云扫描点频：不低于80万点/秒；
17、时间同步：具备网络时间同步功能；
18、五年原厂质保</t>
    </r>
  </si>
  <si>
    <t>船舶身份.数量识别计算单元</t>
  </si>
  <si>
    <r>
      <rPr>
        <sz val="10"/>
        <rFont val="宋体"/>
        <charset val="134"/>
      </rPr>
      <t>具体技术要求：</t>
    </r>
    <r>
      <rPr>
        <sz val="10"/>
        <color indexed="8"/>
        <rFont val="宋体"/>
        <charset val="134"/>
      </rPr>
      <t xml:space="preserve">
1、处理器：单颗处理器，核心数≥8核，主频≥2.2GHz，并与算法匹配；国产自主可控；
2、内存：≥32GB DDR4；
3、硬盘：存储≥512G；
4、GPU：显存≥8GB，AI算力 ≥100 TOPS INT8；
5、接口：≥4个千兆自适应以太网口；
6、工作温度：-10℃~60℃；
7、适用于船闸运行环境，无故障运行时间不低于1万小时；
8、含功能算法，具体技术要求见设计说明书。
9、硬件5年原厂质保。</t>
    </r>
  </si>
  <si>
    <t>补光灯</t>
  </si>
  <si>
    <t>1、灯珠：不少于24颗LED光源；
2、补光方式：支持LED频闪、LED爆闪、白光气体爆闪及红外气体爆闪四种补光方式；
3、光源波长：混合光源（红外+暖白光）；
4、发光角度：满足相机实际使用需求；
5、最佳投射距离：不低于20米，满足实际抓拍补光要求；
6、亮度调节： 自动控制；
7、工作环境温度：不低于-30℃ - 60℃；
8、工作环境湿度：湿度小于95%，无凝结；
9、外壳材质：金属铝；
10、防护等级：不低于IP66；
11、安装方式：万向节等安装方式，含安装支架等辅材。</t>
  </si>
  <si>
    <t>（7）</t>
  </si>
  <si>
    <t>工业以太网交换机（含光模块）</t>
  </si>
  <si>
    <t>全网管二层工业交换机
满足国产自主可控；
千兆电口：≥5;
千兆光口（含光模块）:≥2；
交换容量：≥20G；
包转发率：≥14.88 Mpps；
工作温度：-40℃ ~ +75℃  ；
支持VLAN，支持流量控制；支持QOS，支持SNMP 网管，支持链路聚合</t>
  </si>
  <si>
    <t>（8）</t>
  </si>
  <si>
    <t>智能机箱（摄像机）</t>
  </si>
  <si>
    <t>机箱规格
1.机箱尺寸（净容积） 视频监控机箱：净容积不低于 高 600×宽 500×深 250（mm）
2.机箱材质：不低于1.2mm厚镀锌钢板，机箱表面静电喷塑处理
柜体参数  
3.工作环境温度 -20℃～70℃
4.智能机箱门锁：配置电子锁具，支持远程网络开锁和机械开锁功能
5.状态采集：配置有状态采集装置，能够实现电源状态、网络状态、开关门状态、温湿度和漏电等运行环境基本数据采集；
6.开门抓拍装置：内置摄像头和补光灯，具备开门抓拍功能；
7.散热：箱侧配置不少于2个120mm×120mm成品防尘散热格栅及对应温控风扇；
8.配电装置：机箱配置DIN导轨配电单元，配有微型断路器、40kA通流量单相电源防雷保护装置、接地汇流装置和2位交流电源；
基本功能  
9.负载控制：提供不少于4路可控输出，每路负载电源具备独立控制和独立重启功能；
10.电力参数采集：可监测不少于4路负载电源状态，实时采集每路负载电压、电流等参数并显示在后台系统；
11.报警和定位：具备供电供网异常、漏电和箱门开启等报警功能，具备BDS定位功能；
13.机箱外壳防护：防护等级不低于IP55；
14.网络安全：具有内外网络安全隔离网闸功能；
15.数据上传：机箱采集数据能够上传省港航机箱管理系统平台；
16.5年原厂质保</t>
  </si>
  <si>
    <t>（9）</t>
  </si>
  <si>
    <t>8米杆件</t>
  </si>
  <si>
    <t>含安装支架、配件、线缆等</t>
  </si>
  <si>
    <t>（10）</t>
  </si>
  <si>
    <t>安装调试、附件及辅材</t>
  </si>
  <si>
    <t>包括安装、调试，相关线缆、防雷装置等附件，以及相关辅材等所有其他费用</t>
  </si>
  <si>
    <t>3.1.1.2</t>
  </si>
  <si>
    <t>船舶过闸安全感知</t>
  </si>
  <si>
    <t>3.1.1.2.1</t>
  </si>
  <si>
    <t>首尾档船舶预警线监测设备</t>
  </si>
  <si>
    <t>具体技术要求：
1、不低于400万像素；
2、宽动态：不低于120 dB；
3、最低照度：彩色模式：≤0.0005lx，黑白模式：≤0.0001lx；
4、传感器类型：不小于1/1.8英寸CMOS；
5、焦距：不小于2.8~12 mm，拍摄距离满足本项目检测距离需求；
6、补光：混光（红外+暖白），不低于4颗灯珠，补光距离不小于50m，具备补光自适应功能；
7、视频压缩标准：H.265/H.264/MJPEG；
8、网络：具备RJ45 10 M/100 M/1000 M自适应以太网口、RS-485接口；
9、报警：具备掉线、遮挡报警等功能，提供SDK包二次开发使用；
10、报警信号联动：不少于3路输入、2路输出；
11、具有独立的IP地址，可以直接接入以太网络，并可以通过客户端自动搜索IP地址；
12、供电方式：支持DC12V/PoE供电，具备防反接保护；
13、功能：内置GPU，具备防抖、降噪、加热、除湿等功能，具备防雷、防浪涌保护；
14、工作温湿度：温度不低于-30 °C~60 °C，湿度不低于5%~95%@40℃，无凝结；
15、防护：不低于IP66；
16、含接地、安装支架等配套设备。
17、含五年原厂质保</t>
  </si>
  <si>
    <t>2D室外线性激光雷达</t>
  </si>
  <si>
    <r>
      <rPr>
        <sz val="10"/>
        <rFont val="宋体"/>
        <charset val="134"/>
      </rPr>
      <t>具体技术要求：</t>
    </r>
    <r>
      <rPr>
        <sz val="10"/>
        <color indexed="8"/>
        <rFont val="宋体"/>
        <charset val="134"/>
      </rPr>
      <t xml:space="preserve">
1、扫描角度: 270°
2、角度分辨率:0.25°
3、工作区域0.5m~40m;
4、扫描范围:在10%漫反射下30m，在90%漫反射下40m;
5、扫描频率 25Hz;
6、含加热装置;
7、工作环境温度:-40°C~+60°C;
8、储存温度范围:-40°C~+70°C;
9、抗环境光能力：40000lx
10、雾校正：有
11、回波功能：有
12、光学信号显示（用于显示设备状态，脏污报警和输出状态的LED）：有
13、区域组数量：10区域组
14、接口:Ethernet 以太网接口:
15、含配套激光成像软件;
16、防护等级:IP66，室外环境使用。
17、五年原厂质保</t>
    </r>
  </si>
  <si>
    <t>声光报警器</t>
  </si>
  <si>
    <t>具体技术要求：
1.声级：≥120dB；
2.发光颜色：红；
3.发光方式：LED频闪发光；
4.接口：≥1个RJ45端口；
5.功能：提供API接口及接口文档，支持定制语音；
6.防护等级：不低于IP65；
7.工作温度：-40℃~70℃；
8.工作湿度：10%~95%（不凝结）；
9.安装方式：壁挂安装；
10.含安装支架等配套设备。</t>
  </si>
  <si>
    <t>4米立杆</t>
  </si>
  <si>
    <t>含杆件、横臂、基础、接地及安装配件等</t>
  </si>
  <si>
    <t>根</t>
  </si>
  <si>
    <t>首尾档船舶预警线监测计算单元</t>
  </si>
  <si>
    <t>具体技术要求：
1、处理器：单颗处理器，核心数≥8核，主频≥2.2GHz，并与算法匹配；国产自主可控；
2、内存：≥32GB DDR4；
3、硬盘：存储≥512G；
4、GPU：显存≥8GB，AI算力 ≥100 TOPS INT8；
5、接口：≥4个千兆自适应以太网口；
6、工作温度：-10℃~60℃；
7、适用于船闸运行环境，无故障运行时间不低于1万小时；
8、含功能算法，具体技术要求见设计说明书。
9、硬件5年原厂质保。</t>
  </si>
  <si>
    <t>3.1.1.2.2</t>
  </si>
  <si>
    <t>系缆安全监测设备</t>
  </si>
  <si>
    <t>系缆检测枪机</t>
  </si>
  <si>
    <r>
      <rPr>
        <sz val="10"/>
        <rFont val="宋体"/>
        <charset val="134"/>
      </rPr>
      <t>具体技术要求：</t>
    </r>
    <r>
      <rPr>
        <sz val="10"/>
        <color indexed="8"/>
        <rFont val="宋体"/>
        <charset val="134"/>
      </rPr>
      <t xml:space="preserve">
1、双通道相机，通道1不低于800万像素，通道2不低于400万像素；
2、宽动态：不低于120 dB；
3、最低照度：通道1：0.001lux（彩色模式）；0.0001lux（黑白模式）；通道2：0.002lux（彩色模式）；0.0002lux（黑白模式）；
4、传感器类型：通道1：不小于1/1.8英寸 CMOS；通道2：不小于1/2.5英寸CMOS；
5、焦距：通道1：不小于10~50mm；通道2：不小于3.6mm；拍摄距离满足本项目检测距离需求；
6、补光：通道1：混合补光，不低于5颗灯珠，补光距离不小于80m；通道2：混合补光，补光距离不小于30m；具备补光自适应功能；
7、视频压缩标准：H.265/H.264/MJPEG；
8、网络：具备RJ45 10 M/100 M/1000 M自适应以太网口、RS-485接口；
9、报警：具备掉线、遮挡报警等功能，提供SDK包开发使用；
10、报警信号联动：不少于3路输入、2路输出；
11、具有独立的IP地址，可以直接接入以太网络，并可以通过客户端自动搜索IP地址；
12、报警信号联动：具备报警输入、输出；
13、工作温湿度：温度不低于-30 °C~60 °C，湿度不低于5%~95%@40℃，无凝结；
14、防护：不低于IP66；
15、含接地、安装支架等配套设备。
16、五年原厂质保</t>
    </r>
  </si>
  <si>
    <t>系换缆状态监测计算单元</t>
  </si>
  <si>
    <t>杆件</t>
  </si>
  <si>
    <t>4米杆件、杆件基础附件及通电通网安装</t>
  </si>
  <si>
    <t>3.1.1.3</t>
  </si>
  <si>
    <t>过闸流程化监管终端</t>
  </si>
  <si>
    <t>3.1.1.3.1</t>
  </si>
  <si>
    <t>靠船墩船舶监测设备</t>
  </si>
  <si>
    <t>检测雷达</t>
  </si>
  <si>
    <t>检测器支持采用二维主动扫描式阵列雷达微波检测技术，可靠地检测每一个目标；
检测器能支持检测运动目标，可对正前方距其不小于200米处的运动目标进行检测，支持对正常方不低于60米范围内的静止船舶提供点云目标。
检测器支持设置制定监测区域，当区域存在目标，可以输出目标存在信息，当区域无目标可输出无目标信息。
视场角：近距120°（水平）×20°（垂直）
测角精度：0.3°
角分辨率：3.2°
数据监测频率：65 ~ 70ms
接口：RJ45，检测器可通过网络可方便的远程调试、升级；
检测器采用前向检测方式，安装高度3-6米；
具备数据存储功能，支持内置256G TF卡，在超过存储容量时可以自动覆盖存储；
具备断网续传功能，在正常工作情况下，当网络断开后，可将检测数据存储至TF卡中，当网络恢复后，可将数据上传至客户端或者数据库；
温度：－40℃~+70℃；湿度：最大95％；
电源：24VDC；功率：≤10W；
五年原厂质保</t>
  </si>
  <si>
    <t>靠船墩船舶监测计算单元</t>
  </si>
  <si>
    <t>硬件设备具体技术要求：
具体技术要求：
1、处理器：单颗处理器，核心数≥8核，主频≥2.2GHz，并与算法匹配；国产自主可控；
2、内存：≥32GB DDR4；
3、硬盘：存储≥512G；
4、GPU：显存≥8GB，AI算力 ≥100 TOPS INT8；
5、接口：≥4个千兆自适应以太网口；
6、工作温度：-10℃~60℃；
7、适用于船闸运行环境，无故障运行时间不低于1万小时；
8、含功能算法，具体技术要求见设计说明书。
9、硬件5年原厂质保。</t>
  </si>
  <si>
    <t>3.1.1.3.2</t>
  </si>
  <si>
    <t>闸门区域安全及船舶超速检测</t>
  </si>
  <si>
    <t>测速毫米波雷达</t>
  </si>
  <si>
    <t>1) 支持采用二维主动扫描式阵列雷达微波检测技术，可靠地检测每一个目标；
2) 具备大区域检测，支持船舶检测距离不小于200米；
3) 具备跟踪检测每个目标的位置坐标（x,y）、速度（Vx, Vy）、目标类型，具有图形化操作软件，实时显示每个目标在检测区域内被跟踪情况以及目标即时位置、速度、长度等实时信息； 
4) 支持检测航道虚拟线圈上经过的存在信息，通过上位机软件显示船舶进入时的驶入信号、离开时的驶离信号，处于静止状态时可持续稳定保持存在信号； 
5) 检测精度：流量精度≥98%；速度精度≥98%；
6) 数据统计周期：1～3600秒范围，可由用户自行设定；
7) 接口：RJ45，检测器可通过网络可方便的远程调试、升级；
8) 采用前向检测方式，安装高度5-8米；
9) 具备数据存储功能，支持内置256G TF卡，在超过存储容量时可以自动覆盖存储； 
10) 具备断网续传功能，在正常工作情况下，当网络断开后，可将检测数据存储至TF卡中，当网络恢复后，可将数据上传至客户端或者数据库； 
11) 温度：－40℃~+70℃；湿度：最大95％；
12) 电源：24VDC；功率：≤12W；
13）五年原厂质保</t>
  </si>
  <si>
    <t>室外遥控球型摄像机</t>
  </si>
  <si>
    <t>像素不低于400万
1.基础参数：
传感器类型：不小于1/1.8英寸CMOS；
最低照度：彩色：最低照度不高于0.0005Lux，黑白：最低照度不高于0.0001Lux；
光学变倍：不低于32倍；
2.镜头：
焦距：范围不小于6.0mm～192 mm；
聚焦模式：手动、自动；
最大光圈数：性能规格不低于F1.6；
3.补光
补光灯距离：不低于250m；
4.云台： 
水平范围：360°；
垂直范围：范围不小于-15°～90°；
水平速度：不低于180°/s，水平预置位转速不低于 180°/s；
垂直速度：不低于75°/s，垂直预置位转速不低于 75°/s；
预置点：不少于300个；
5，视频
视频压缩标准：H.265；H.264；MJPEG；
6.图像
日夜转换模式：自动；
图像防抖：支持
图像增强：强光抑制；
宽动态：宽动态范围不小于120dB；
透雾：支持；
7.接口
网络接口：不少于1个RJ-45网口,自适应10M/100M网络数据；
8.其他
雨刷：支持；
防护等级：不低于IP66。
9、5年原厂质保</t>
  </si>
  <si>
    <t>闸门区域安全及船舶超速检测计算单元</t>
  </si>
  <si>
    <t>3.1.1.3.3</t>
  </si>
  <si>
    <t>闸室出空检测设备</t>
  </si>
  <si>
    <t>闸室出空检测计算单元</t>
  </si>
  <si>
    <t>杆件及配套</t>
  </si>
  <si>
    <t>墙壁支架、8米杆件、杆件基础附件及通电通网安装</t>
  </si>
  <si>
    <t>3.1.1.3.4</t>
  </si>
  <si>
    <t>船舶过闸引导系统</t>
  </si>
  <si>
    <r>
      <rPr>
        <sz val="10"/>
        <rFont val="宋体"/>
        <charset val="134"/>
      </rPr>
      <t>（</t>
    </r>
    <r>
      <rPr>
        <sz val="10"/>
        <rFont val="宋体"/>
        <charset val="0"/>
      </rPr>
      <t>1</t>
    </r>
    <r>
      <rPr>
        <sz val="10"/>
        <rFont val="宋体"/>
        <charset val="134"/>
      </rPr>
      <t>）</t>
    </r>
  </si>
  <si>
    <r>
      <rPr>
        <sz val="10"/>
        <rFont val="宋体"/>
        <charset val="0"/>
      </rPr>
      <t>LED</t>
    </r>
    <r>
      <rPr>
        <sz val="10"/>
        <rFont val="宋体"/>
        <charset val="134"/>
      </rPr>
      <t>高亮线条灯</t>
    </r>
  </si>
  <si>
    <t>1.5米/套；
功率：36W；
电压：DC24V； 
控制方式：DMX；6像素/套；
颜色：RGBW；
角度：110°；
防护等级：IP68；
耐盐雾，耐高低温，抗紫外线；一体化封装工艺；
含5年质保</t>
  </si>
  <si>
    <r>
      <rPr>
        <sz val="10"/>
        <rFont val="宋体"/>
        <charset val="134"/>
      </rPr>
      <t>（</t>
    </r>
    <r>
      <rPr>
        <sz val="10"/>
        <rFont val="宋体"/>
        <charset val="0"/>
      </rPr>
      <t>2</t>
    </r>
    <r>
      <rPr>
        <sz val="10"/>
        <rFont val="宋体"/>
        <charset val="134"/>
      </rPr>
      <t>）</t>
    </r>
  </si>
  <si>
    <r>
      <rPr>
        <sz val="10"/>
        <rFont val="宋体"/>
        <charset val="0"/>
      </rPr>
      <t>LED</t>
    </r>
    <r>
      <rPr>
        <sz val="10"/>
        <rFont val="宋体"/>
        <charset val="134"/>
      </rPr>
      <t>控制器分控</t>
    </r>
  </si>
  <si>
    <t>1、8Pin端口接线端子，所有接线端子均具有放松防脱设计；
2、所有端口接线端子均具有雷击浪涌抗冲击保护设计，差模共模浪涌冲击均可保护；
3、所有端口接线端子均具有ESD静电抗扰度保护设计，空气及接触放电均可保护；
4、所有端口接线端子均具有EFT电快瞬变脉冲群抗扰度保护设计；</t>
  </si>
  <si>
    <r>
      <rPr>
        <sz val="10"/>
        <rFont val="宋体"/>
        <charset val="134"/>
      </rPr>
      <t>（</t>
    </r>
    <r>
      <rPr>
        <sz val="10"/>
        <rFont val="宋体"/>
        <charset val="0"/>
      </rPr>
      <t>3</t>
    </r>
    <r>
      <rPr>
        <sz val="10"/>
        <rFont val="宋体"/>
        <charset val="134"/>
      </rPr>
      <t>）</t>
    </r>
  </si>
  <si>
    <t>1、4Pin端口接线端子，所有接线端子均具有放松防脱设计；
2、所有端口接线端子均具有雷击浪涌抗冲击保护设计，差模共模浪涌冲击均可保护；
3、所有端口接线端子均具有ESD静电抗扰度保护设计，空气及接触放电均可保护；
4、所有端口接线端子均具有EFT电快瞬变脉冲群抗扰度保护设计；</t>
  </si>
  <si>
    <r>
      <rPr>
        <sz val="10"/>
        <rFont val="宋体"/>
        <charset val="134"/>
      </rPr>
      <t>（</t>
    </r>
    <r>
      <rPr>
        <sz val="10"/>
        <rFont val="宋体"/>
        <charset val="0"/>
      </rPr>
      <t>4</t>
    </r>
    <r>
      <rPr>
        <sz val="10"/>
        <rFont val="宋体"/>
        <charset val="134"/>
      </rPr>
      <t>）</t>
    </r>
  </si>
  <si>
    <t>超级主控</t>
  </si>
  <si>
    <t>1、通过电脑网页实现远程节目片段切换
2、通过电脑网页实现远程节目定时播放
3、实现脱机节目片段远程切换功能
4、支持RS485、CAN、RS232多种通讯方式</t>
  </si>
  <si>
    <r>
      <rPr>
        <sz val="10"/>
        <rFont val="宋体"/>
        <charset val="134"/>
      </rPr>
      <t>（</t>
    </r>
    <r>
      <rPr>
        <sz val="10"/>
        <rFont val="宋体"/>
        <charset val="0"/>
      </rPr>
      <t>5</t>
    </r>
    <r>
      <rPr>
        <sz val="10"/>
        <rFont val="宋体"/>
        <charset val="134"/>
      </rPr>
      <t>）</t>
    </r>
  </si>
  <si>
    <r>
      <rPr>
        <sz val="10"/>
        <rFont val="宋体"/>
        <charset val="134"/>
      </rPr>
      <t>（</t>
    </r>
    <r>
      <rPr>
        <sz val="10"/>
        <rFont val="宋体"/>
        <charset val="0"/>
      </rPr>
      <t>6</t>
    </r>
    <r>
      <rPr>
        <sz val="10"/>
        <rFont val="宋体"/>
        <charset val="134"/>
      </rPr>
      <t>）</t>
    </r>
  </si>
  <si>
    <t>防雨箱</t>
  </si>
  <si>
    <r>
      <rPr>
        <sz val="10"/>
        <rFont val="宋体"/>
        <charset val="134"/>
      </rPr>
      <t>（</t>
    </r>
    <r>
      <rPr>
        <sz val="10"/>
        <rFont val="宋体"/>
        <charset val="0"/>
      </rPr>
      <t>7</t>
    </r>
    <r>
      <rPr>
        <sz val="10"/>
        <rFont val="宋体"/>
        <charset val="134"/>
      </rPr>
      <t>）</t>
    </r>
  </si>
  <si>
    <t>配电箱</t>
  </si>
  <si>
    <t>LED专用配电柜,主电源2个，控制器8个</t>
  </si>
  <si>
    <r>
      <rPr>
        <sz val="10"/>
        <rFont val="宋体"/>
        <charset val="134"/>
      </rPr>
      <t>（</t>
    </r>
    <r>
      <rPr>
        <sz val="10"/>
        <rFont val="宋体"/>
        <charset val="0"/>
      </rPr>
      <t>8</t>
    </r>
    <r>
      <rPr>
        <sz val="10"/>
        <rFont val="宋体"/>
        <charset val="134"/>
      </rPr>
      <t>）</t>
    </r>
  </si>
  <si>
    <t>配套定制控制软件</t>
  </si>
  <si>
    <t>主要功能包括：
1、船舶进出闸绿色流水灯引导
2、船闸开关门期间红色闪烁引导
3、船闸涨泄水期间黄色血条式样时间计时提示
4、关闸门前，首尾档未系缆时对应方位尾部灯带红色闪烁提醒，系好情况下绿色闪烁。</t>
  </si>
  <si>
    <r>
      <rPr>
        <sz val="10"/>
        <rFont val="宋体"/>
        <charset val="134"/>
      </rPr>
      <t>（</t>
    </r>
    <r>
      <rPr>
        <sz val="10"/>
        <rFont val="宋体"/>
        <charset val="0"/>
      </rPr>
      <t>9</t>
    </r>
    <r>
      <rPr>
        <sz val="10"/>
        <rFont val="宋体"/>
        <charset val="134"/>
      </rPr>
      <t>）</t>
    </r>
  </si>
  <si>
    <t>光纤</t>
  </si>
  <si>
    <t>4芯</t>
  </si>
  <si>
    <t>米</t>
  </si>
  <si>
    <r>
      <rPr>
        <sz val="10"/>
        <rFont val="宋体"/>
        <charset val="134"/>
      </rPr>
      <t>（</t>
    </r>
    <r>
      <rPr>
        <sz val="10"/>
        <rFont val="宋体"/>
        <charset val="0"/>
      </rPr>
      <t>10</t>
    </r>
    <r>
      <rPr>
        <sz val="10"/>
        <rFont val="宋体"/>
        <charset val="134"/>
      </rPr>
      <t>）</t>
    </r>
  </si>
  <si>
    <t>信号放大器</t>
  </si>
  <si>
    <r>
      <rPr>
        <sz val="10"/>
        <rFont val="宋体"/>
        <charset val="134"/>
      </rPr>
      <t>（</t>
    </r>
    <r>
      <rPr>
        <sz val="10"/>
        <rFont val="宋体"/>
        <charset val="0"/>
      </rPr>
      <t>11</t>
    </r>
    <r>
      <rPr>
        <sz val="10"/>
        <rFont val="宋体"/>
        <charset val="134"/>
      </rPr>
      <t>）</t>
    </r>
  </si>
  <si>
    <t>网线</t>
  </si>
  <si>
    <t>六类非屏蔽</t>
  </si>
  <si>
    <r>
      <rPr>
        <sz val="10"/>
        <rFont val="宋体"/>
        <charset val="134"/>
      </rPr>
      <t>（</t>
    </r>
    <r>
      <rPr>
        <sz val="10"/>
        <rFont val="宋体"/>
        <charset val="0"/>
      </rPr>
      <t>12</t>
    </r>
    <r>
      <rPr>
        <sz val="10"/>
        <rFont val="宋体"/>
        <charset val="134"/>
      </rPr>
      <t>）</t>
    </r>
  </si>
  <si>
    <t>电缆线</t>
  </si>
  <si>
    <t>RVV3*6mm²</t>
  </si>
  <si>
    <r>
      <rPr>
        <sz val="10"/>
        <rFont val="宋体"/>
        <charset val="134"/>
      </rPr>
      <t>（</t>
    </r>
    <r>
      <rPr>
        <sz val="10"/>
        <rFont val="宋体"/>
        <charset val="0"/>
      </rPr>
      <t>13</t>
    </r>
    <r>
      <rPr>
        <sz val="10"/>
        <rFont val="宋体"/>
        <charset val="134"/>
      </rPr>
      <t>）</t>
    </r>
  </si>
  <si>
    <t>低压电源线</t>
  </si>
  <si>
    <t>RVV2*1mm²</t>
  </si>
  <si>
    <r>
      <rPr>
        <sz val="10"/>
        <rFont val="宋体"/>
        <charset val="134"/>
      </rPr>
      <t>（</t>
    </r>
    <r>
      <rPr>
        <sz val="10"/>
        <rFont val="宋体"/>
        <charset val="0"/>
      </rPr>
      <t>14</t>
    </r>
    <r>
      <rPr>
        <sz val="10"/>
        <rFont val="宋体"/>
        <charset val="134"/>
      </rPr>
      <t>）</t>
    </r>
  </si>
  <si>
    <t>开关电源</t>
  </si>
  <si>
    <t>DC24V/100W</t>
  </si>
  <si>
    <r>
      <rPr>
        <sz val="10"/>
        <rFont val="宋体"/>
        <charset val="134"/>
      </rPr>
      <t>（</t>
    </r>
    <r>
      <rPr>
        <sz val="10"/>
        <rFont val="宋体"/>
        <charset val="0"/>
      </rPr>
      <t>15</t>
    </r>
    <r>
      <rPr>
        <sz val="10"/>
        <rFont val="宋体"/>
        <charset val="134"/>
      </rPr>
      <t>）</t>
    </r>
  </si>
  <si>
    <t>3.1.1.3.5</t>
  </si>
  <si>
    <t>船闸全域视频监控</t>
  </si>
  <si>
    <t>像素不低于400万
1.基础参数：
传感器类型：不小于1/1.8英寸CMOS；
最低照度：彩色：最低照度不高于0.0005Lux，黑白：最低照度不高于0.0001Lux；
光学变倍：不低于32倍；
2.镜头：
焦距：范围不小于6.0mm～192 mm；
聚焦模式：手动、自动；
最大光圈数：性能规格不低于F1.6；
3.补光
补光灯距离：不低于250m；
4.云台： 
水平范围：360°；
垂直范围：范围不小于-15°～90°；
水平速度：不低于180°/s，水平预置位转速不低于 180°/s；
垂直速度：不低于75°/s，垂直预置位转速不低于 75°/s；
预置点：不少于300个；
5，视频
视频压缩标准：H.265；H.264；MJPEG；
6.图像
日夜转换模式：自动；
图像防抖：支持
图像增强：强光抑制；
宽动态：宽动态范围不小于120dB；
透雾：支持；
7.接口
网络接口：不少于1个RJ-45网口,自适应10M/100M网络数据；
8.其他
雨刷：支持；
防护等级：不低于IP66；
9.含5年原厂质保</t>
  </si>
  <si>
    <t>室外固定枪式摄像机</t>
  </si>
  <si>
    <t>像素不低于400万
1.基础参数
传感器类型：不小于1/1.8英寸CMOS；
最低照度：彩色：最低照度不高于0.0005Lux，黑白：最低照度不高于0.0003Lux；
光学变倍：不低于4倍；
2.镜头
焦距：最小焦距8mm～11mm，最大焦距不小于32mm；
大光圈数：性能规格不低于F1.6；
3.补光
补光距离：不低于50m；
4.视频
视频压缩标准：H.265；H.264；MJPEG；
5.图像
日夜转换模式：自动；
图像增强：背光补偿，强光抑制，透雾，3D降噪；
图像防抖：支持
宽动态：宽动态范围不小于120dB；
透雾：支持；
强光抑制：支持；
6.接口
网络：不少于1个RJ-45网口，自适应10M/100M网络数据；
7.其他
防护：不低于IP66；
8.含5年原厂质保</t>
  </si>
  <si>
    <t>15米立杆</t>
  </si>
  <si>
    <t>含杆件、支架、基础、接地及安装配件等</t>
  </si>
  <si>
    <t>船闸全域视频监控计算单元</t>
  </si>
  <si>
    <t>3.1.1.3.6</t>
  </si>
  <si>
    <t>业务光纤环网</t>
  </si>
  <si>
    <t>8芯单模光缆；约2500米；满足船闸中心机房与四个闸首机房环网需求；</t>
  </si>
  <si>
    <t>3.1.1.3.7</t>
  </si>
  <si>
    <t>与全自动控制可视化应用软件对接费</t>
  </si>
  <si>
    <t>3.1.1.3.8</t>
  </si>
  <si>
    <t>正射影像图</t>
  </si>
  <si>
    <t>1.范围：船闸上下游区域，约长 5 公里*宽 1 公里。
2.成图比例尺：1:1000
3.地面分辨率 (GSD)： ≤ 0.10 米/像素。
4.坐标系：CGCS2000
5.成果格式：GeoTIFF(带坐标，真彩色)。
6.影像质量：清晰、无漏洞、尤其是船闸无明显变形。
7.精度验收：平面中误差≤ 0.30 米(实地)</t>
  </si>
  <si>
    <t>为运调系统服务</t>
  </si>
  <si>
    <t>3.2.1</t>
  </si>
  <si>
    <t>镇江水上服务区</t>
  </si>
  <si>
    <t>3.2.1.1</t>
  </si>
  <si>
    <t>智能快递柜设施</t>
  </si>
  <si>
    <t>快递柜由控制主柜和功能副柜组成，主柜由液晶面板.触控面板.主控系统.条码扫描模块.摄像头.视频监控等设备组成。可实现无人快递投递和接收。</t>
  </si>
  <si>
    <t>3.2.1.2</t>
  </si>
  <si>
    <t>视频监控设施更新</t>
  </si>
  <si>
    <t>电源线（1.5㎡）</t>
  </si>
  <si>
    <t>国标</t>
  </si>
  <si>
    <t>按实计</t>
  </si>
  <si>
    <t>电源线（2.5㎡）</t>
  </si>
  <si>
    <t>六类国标室外网线</t>
  </si>
  <si>
    <t>3.2.1.3</t>
  </si>
  <si>
    <t>智慧停泊管理终端感知设备</t>
  </si>
  <si>
    <t>具体技术要求：
1、不低于800万像素；
2、采用不小于1英寸CMOS；
3、视频采用H.265、H.264或MJPEG编码；
4、图像控制：曝光速度、AGC控制、白平衡方式控制等；
5、压缩输出码率：不低于32 Kbps~16 Mbps；
6、镜头规格：25mm，拍摄距离满足本项目抓拍距离需求；
7、快门速度是 50us到9000us；
8、光圈类型：自动光圈或手动光圈（支持远程调节）；
9、触发输出：不少于4路F+/F-输出接口，作为补光灯同步输出控制；
10、触发输入：不少于1路触发/报警输入；
11、补光：暖白光，不低于3颗灯珠，补光距离不小于40米；具备补光自适应功能；
12、功能：内置GPU，具备防抖、降噪、加热、除湿等功能，具备防雷、防浪涌保护；
13、通讯接口：具备RJ45 10 M/100 M/1000 M自适应以太网口、RS-485接口；
14、报警：具备掉线、遮挡报警等功能，提供SDK包二次开发使用；
15、具有独立的IP地址，可以直接接入以太网络，并可以通过客户端自动搜索IP地址；
16、工作温湿度：温度不低于-30 °C~70 °C，湿度不低于5%~95%@40℃，无凝结；
17、防护：不低于IP66；
18、含接地、安装支架等配套设备；
19、五年原厂质保</t>
  </si>
  <si>
    <t>船舶姿态感知计算单元</t>
  </si>
  <si>
    <t>具体技术要求：
1、处理器：单颗处理器，核心数≥20核，主频≥2.0GHz；国产自主可控；
2、内存：≥128GB DDR4，≥2666MHz；
3、硬盘：≥1块SATA SSD 960G硬盘；
4、GPU：显存≥8G，TFLOPS≥242；
5、接口：≥2个千兆网口；
6、工作温度：-10 ~ 60 °C；
7、适用于船闸运行环境，无故障运行时间不低于1万小时；
8、含功能算法，具体技术要求见设计说明书。
9、硬件5年原厂质保。</t>
  </si>
  <si>
    <t>补盲短距激光雷达</t>
  </si>
  <si>
    <t>具体技术要求：
1、单帧线束：不低于128线；
2、激光波长：不低于905nm；
3、探测范围：不弱于0.5~150m；
4、探测距离：最远探测距离150m ，在10%反射率条件下≥70m；
5、视场角：不低于(H*V) 120°× 40°;
6、角分辨率：不高于(H*V)0.13°× 0.55° ；
7、防水及防尘等级：IP67；
8、测距精度：不低于5cm(1σ)；
9、帧率： 10 FPS，可调节
10、工作温度： -40℃~65℃；
11、人眼安全等级：Class1(IEC-60825)；
12、额定电压：12/24V DC；
13、额定功率：≤29w；
14、数据传输接口：以太网；
15、点云扫描点频：不低于128万点/秒；
16、时间同步：具备网络时间同步功能；
17、五年原厂质保。</t>
  </si>
  <si>
    <t>（11）</t>
  </si>
  <si>
    <t>定向广播</t>
  </si>
  <si>
    <t>（1）LC分频器：方形电感器和卧式电容器组成LC谐振有效分频；
（2）效能驱动器：150dB±3dB（最大声压级）；
（3）安装形式：配套支架；
（4）音量管理：支持对所有接入设备远程设置音量；支持设置默认音量和临时音量；支持音量记忆功能，自动恢复默认音量；
（5）设备组网：支持BS架构，网络化设计，支持广域网和局域网；支持自定义分区与权限管理；
（6）文字播报：支持TTS文字转语音功能，支持设置文本文件的语言种类（普通话男.普通话女）.语速；
（7）扩展兼容：支持与第三方平台对接联动，提供平台SDK调用接口和文档；
（8）设备日志：支持实时查看设备登录记录，包含设备登录类型，时间，用户名，状态，IP地址记录；
（9）离线管理：支持设置离线任务，平台服务器或网络故障时，终端自动执行离线定时任务；
（13）防护等级：不低于IP66；
（14）工作温度：-30°C~+70°C。
（15）五年原厂质保</t>
  </si>
  <si>
    <t>（12）</t>
  </si>
  <si>
    <t>IP网络远程寻呼站</t>
  </si>
  <si>
    <t>网络接口：标准RJ45 输入
支持协议：TCP/IP，UDP
音频格式：MP3
采样率：8KHz~48KHz
传输速率：100Mbps
音频模式：16 位CD 音质
内接扬声器阻抗及额定功率：4Ω，2W
总偕波失真：≤1%
内置喇叭频率响应：317Hz~3.4KHz +1/-3dB
LIEN OUT 频率响应：80Hz~16KHz +1/-3dB
信噪比：&gt;65dB
PHONE OUT 输出阻抗及额定功率：32Ω，2mW
LINE OUT 输出电平：1000mV 工业标准压线接线端子
LINE OUT 输出阻抗：470Ω
LINE IN 输入灵敏度：350mV 工业标准压线接线端子
MIC 输入灵敏度（非平衡）：10mV
短路输入：干接点输入
短路输出：最大1A/30VDC 干接点
整机功耗：≤6W</t>
  </si>
  <si>
    <t>（13）</t>
  </si>
  <si>
    <t>客户端电脑</t>
  </si>
  <si>
    <t>配置：商用台式机，CPU不低于3.3G（四核），不低于16GB内存，不低于1TB固态硬盘.独立显卡不低于2G，板载10-100-1000M 网卡， USB3.0接口，音频输出接口；配套不低于24寸液晶显示器，含键盘鼠标和正版操作系统</t>
  </si>
  <si>
    <t>（14）</t>
  </si>
  <si>
    <t>智慧停泊终端服务器</t>
  </si>
  <si>
    <t>具体技术要求：
1、CPU：国产化芯片，≥2颗，核心数≥20核、主频≥2.4GHz，支持国产替代和软件适配开发；
2、内存：≥128G；
3、硬盘：≥1TB NVME，≥10TB SAS；
4、网卡：≥2个千兆电口；
5、电源：≥2个800W电源；
6、含国产操作系统
7、含软件功能，软件功能见设计说明书
8、硬件5年原厂质保</t>
  </si>
  <si>
    <t>（15）</t>
  </si>
  <si>
    <t>8米立杆</t>
  </si>
  <si>
    <t>具体参数要求：
（1）规格：8米立杆，包含定制杆件、杆件基础、悬臂支架、杆件安装施工、接网接电、防雷接地、所需配套辅材等
（2）防护：电源、信号防雷接地、防腐处理，防护等级不低于IP66；
（3）接线：监控点位网络采用运营商专线，电源接入采用就近取电，要求实现视频监控数据稳定传输和汇聚；
（4）费用说明：包含点位所需设备与杆件运输、杆件施工、辅材配件采购、线缆线路敷设、设备及配件安装、绿化破坏补偿恢复等全部费用。</t>
  </si>
  <si>
    <t>（16）</t>
  </si>
  <si>
    <t>（17）</t>
  </si>
  <si>
    <t>（18）</t>
  </si>
  <si>
    <t>（19）</t>
  </si>
  <si>
    <t>（20）</t>
  </si>
  <si>
    <t>3.2.1.4</t>
  </si>
  <si>
    <t>智慧停泊管理软件</t>
  </si>
  <si>
    <t>具体技术要求：
1、智慧停泊管理终端将前端感知的结构化数据与服务区实际业务管理工作相结合，实现网上查询、停泊区泊位监控、船舶姿态监测、停泊区船舶智慧管控、区域统计分析等功能。
详见设计文件</t>
  </si>
  <si>
    <t>镇江、丹阳水上服务区数据统一接入，市级港航看板通过链接跳转进入查看</t>
  </si>
  <si>
    <t>3.2.1.5</t>
  </si>
  <si>
    <t>空调</t>
  </si>
  <si>
    <t>类型：立柜式
变频/定频：变频
匹数：大3匹
能效：一级能效
含设备安装调试</t>
  </si>
  <si>
    <t>3.2.2</t>
  </si>
  <si>
    <t>丹阳水上服务区</t>
  </si>
  <si>
    <t>3.2.2.1</t>
  </si>
  <si>
    <t>3.2.2.2</t>
  </si>
  <si>
    <t>硬件设备具体技术要求：
1、处理器：单颗处理器，核心数≥8核，主频≥2.2GHz，并与算法匹配；
2、内存：≥32GB LPDDR4；
3、硬盘：存储≥512G
4、GPU：显存≥8GB，AI算力 ≥100 TOPS INT8；
5、接口：≥4个千兆自适应以太网口；
6、工作温度：-20℃~70℃
7、电源：12V/6A 
8、支持运行Linux、Ubuntu20.04、麒麟、openEuler操作系统；
9、适用于船闸运行环境，无故障运行时间不低于1万小时；
含功能算法，功能算法具体技术要求：
1、见详细设计说明书。
整体要求：
1、五年质保：</t>
  </si>
  <si>
    <t>3.3.1</t>
  </si>
  <si>
    <t>航道视频监控系统</t>
  </si>
  <si>
    <t>智能机箱（AIS与摄像机）</t>
  </si>
  <si>
    <t>机箱规格
1.机箱尺寸（净容积） 视频监控机箱：AIS专用机箱：净容积不低于 高 800×宽 600×深 600（mm）"
2.机箱材质：不低于1.2mm厚镀锌钢板，机箱表面静电喷塑处理
柜体参数  
3.工作环境温度 -20℃～70℃
4.智能机箱门锁：配置电子锁具，支持远程网络开锁和机械开锁功能
5.状态采集：配置有状态采集装置，能够实现电源状态、网络状态、开关门状态、温湿度和漏电等运行环境基本数据采集；
6.开门抓拍装置：内置摄像头和补光灯，具备开门抓拍功能；
7.散热：箱侧配置不少于2个120mm×120mm成品防尘散热格栅及对应温控风扇；
8.配电装置：机箱配置DIN导轨配电单元，配有微型断路器、40kA通流量单相电源防雷保护装置、接地汇流装置和2位交流电源；
基本功能  
9.负载控制：提供不少于4路可控输出，每路负载电源具备独立控制和独立重启功能；
10.电力参数采集：可监测不少于4路负载电源状态，实时采集每路负载电压、电流等参数并显示在后台系统；
11.报警和定位：具备供电供网异常、漏电和箱门开启等报警功能，具备BDS定位功能；
13.机箱外壳防护：防护等级不低于IP55；
14.网络安全：具有内外网络安全隔离网闸功能；
15.数据上传：机箱采集数据能够上传省港航机箱管理系统平台；
16.5年原厂质保</t>
  </si>
  <si>
    <t>15米杆件（含基础）</t>
  </si>
  <si>
    <t>20米杆件（含基础）</t>
  </si>
  <si>
    <t>供电</t>
  </si>
  <si>
    <t>1）</t>
  </si>
  <si>
    <t>供电电缆</t>
  </si>
  <si>
    <t>YJV22-3×16，含安装附件等</t>
  </si>
  <si>
    <t>2）</t>
  </si>
  <si>
    <t>手孔井</t>
  </si>
  <si>
    <t>3）</t>
  </si>
  <si>
    <t>管线敷设</t>
  </si>
  <si>
    <t>含管道开挖及回填，涉及破路的含路面恢复，开挖深度不低于70cm</t>
  </si>
  <si>
    <t>通信</t>
  </si>
  <si>
    <t>六类 UTP</t>
  </si>
  <si>
    <t>3.3.2</t>
  </si>
  <si>
    <t>增强型AIS系统</t>
  </si>
  <si>
    <t>增强型AIS基站</t>
  </si>
  <si>
    <t>频率范围：156.025～162.025MHz
信道中心频率：AIS1（161.975MHz）、AIS2（162.025MHz）、ASM1（161.95MHz）、ASM2（162.0MHz）；
调制方式：GMSK、QPSK；
接口：≥1路RJ4510M/100M自适应以太网口、≥2路RS232、≥2路RS422、≥1路外部GNSS接口；
发射功率：12.5W；
灵敏度（20%误包率）：优于-115dBm；
网络协议：TCP（server/client可选）或UDP；
工作电源：支持AC220V±20%@50Hz和DC48V±50%两路供电，电源切换设备不掉电；
工作模式：双机热备；
静态功耗：不超过45W；
工作温度：-15℃~55℃；
储存温度：-40℃~75℃；
支持对A类、B类船舶位置信息更新频率查询和指配，提供相应接口服务；
支持AIS动态播发报文频率实时监测；
支持作为客户端主动向指定服务端上传AIS数据。
5年原厂质保</t>
  </si>
  <si>
    <t>VHF天线及馈线</t>
  </si>
  <si>
    <r>
      <rPr>
        <sz val="10"/>
        <rFont val="宋体"/>
        <charset val="134"/>
      </rPr>
      <t>（1）频率范围：156 MHz～163 MHz
（2）工作带宽：7MHz
（3）极化方式 垂直极化
（4）方向性 水平全向
（5）天线增益 ≥</t>
    </r>
    <r>
      <rPr>
        <sz val="10"/>
        <rFont val="Arial"/>
        <charset val="0"/>
      </rPr>
      <t xml:space="preserve">	</t>
    </r>
    <r>
      <rPr>
        <sz val="10"/>
        <rFont val="宋体"/>
        <charset val="134"/>
      </rPr>
      <t>6dBi（</t>
    </r>
    <r>
      <rPr>
        <sz val="10"/>
        <rFont val="Arial"/>
        <charset val="0"/>
      </rPr>
      <t xml:space="preserve">	</t>
    </r>
    <r>
      <rPr>
        <sz val="10"/>
        <rFont val="宋体"/>
        <charset val="134"/>
      </rPr>
      <t>全向）
（6）电压驻波比≤1.5
（7）馈线总损耗：＜3db/100m（f=160MHz）
（8）端口阻抗 50</t>
    </r>
    <r>
      <rPr>
        <sz val="10"/>
        <rFont val="宋体"/>
        <charset val="0"/>
      </rPr>
      <t>Ω</t>
    </r>
  </si>
  <si>
    <t>GNSS天线及馈线</t>
  </si>
  <si>
    <r>
      <rPr>
        <sz val="10"/>
        <rFont val="宋体"/>
        <charset val="134"/>
      </rPr>
      <t>（1）阻抗50</t>
    </r>
    <r>
      <rPr>
        <sz val="10"/>
        <rFont val="宋体"/>
        <charset val="0"/>
      </rPr>
      <t>Ω</t>
    </r>
    <r>
      <rPr>
        <sz val="10"/>
        <rFont val="宋体"/>
        <charset val="134"/>
      </rPr>
      <t xml:space="preserve">
（2）频率1568MHz±20MHz
（3）极化方式 右旋圆极化
（4）方向性 水平全向
（5）天线增益 ≥38dBi
（6）电压驻波比≤1.5
（7）定位模式：可单北斗模式
（8）定位精度：≤10m</t>
    </r>
  </si>
  <si>
    <t>3.3.3</t>
  </si>
  <si>
    <t>现有视频监控平台数量许可数扩容</t>
  </si>
  <si>
    <t>配套支撑</t>
  </si>
  <si>
    <t>3.4.1</t>
  </si>
  <si>
    <t>主机及存储设备</t>
  </si>
  <si>
    <t>3.4.1.1</t>
  </si>
  <si>
    <t>数字孪生底座服务器</t>
  </si>
  <si>
    <r>
      <rPr>
        <sz val="10"/>
        <rFont val="宋体"/>
        <charset val="134"/>
      </rPr>
      <t>CPU：国产化芯片，≥2颗，C86架构：单颗核心数≥20核、主频≥2.4GHz，或ARM架构：单颗核心数≥32核、主频≥2.5GHz，支持国产替代和软件适配开发；</t>
    </r>
    <r>
      <rPr>
        <sz val="10"/>
        <color indexed="8"/>
        <rFont val="宋体"/>
        <charset val="134"/>
      </rPr>
      <t xml:space="preserve">
内存：≥128G；
硬盘：≥1TB NVME，≥10TB SAS；
网卡：≥2个千兆电口；
电源：≥2个800W电源；
含国产操作系统
五年原厂质保</t>
    </r>
  </si>
  <si>
    <t>市中心部署1台</t>
  </si>
  <si>
    <t>3.4.1.2</t>
  </si>
  <si>
    <t>地市高渲染工作站</t>
  </si>
  <si>
    <r>
      <rPr>
        <sz val="10"/>
        <rFont val="宋体"/>
        <charset val="134"/>
      </rPr>
      <t>CPU：≥1颗，核心数≥24核、主频≥3.2GHz；</t>
    </r>
    <r>
      <rPr>
        <sz val="10"/>
        <color indexed="8"/>
        <rFont val="宋体"/>
        <charset val="134"/>
      </rPr>
      <t xml:space="preserve">
内存：≥128G DDR5；
硬盘：≥4TB NVME；
显卡：≥2块，FP32≥73TFLOPS，图形渲染专用显卡；
网卡：≥2个千兆电口；
电源：≥1500W电源；
含正版操作系统；
含云渲染虚拟化软件（≥4路并发）
五年原厂质保</t>
    </r>
  </si>
  <si>
    <t>3.4.1.3</t>
  </si>
  <si>
    <t>地市中心数字孪生客户端工作站</t>
  </si>
  <si>
    <r>
      <rPr>
        <sz val="10"/>
        <rFont val="宋体"/>
        <charset val="134"/>
      </rPr>
      <t>CPU：≥1颗，核心数≥14核、主频≥3.2GHz；</t>
    </r>
    <r>
      <rPr>
        <sz val="10"/>
        <color indexed="8"/>
        <rFont val="宋体"/>
        <charset val="134"/>
      </rPr>
      <t xml:space="preserve">
内存：≥32G；
硬盘：≥1TB NVME，≥4TB SATA；
显卡：≥1块，FP32≥19TFLOPS，图形渲染专用显卡；
含正版操作系统、24寸液晶显示器和键盘鼠标
五年原厂质保</t>
    </r>
  </si>
  <si>
    <t>3.4.1.4</t>
  </si>
  <si>
    <t>一体化平台应用服务器</t>
  </si>
  <si>
    <r>
      <rPr>
        <sz val="10"/>
        <rFont val="宋体"/>
        <charset val="134"/>
      </rPr>
      <t>CPU：国产化芯片，≥2颗，C86架构：单颗核心数≥20核、主频≥2.4GHz，或ARM架构：单颗核心数≥32核、主频≥2.5GHz支持国产替代和软件适配开发；</t>
    </r>
    <r>
      <rPr>
        <sz val="10"/>
        <color indexed="8"/>
        <rFont val="宋体"/>
        <charset val="134"/>
      </rPr>
      <t xml:space="preserve">
内存：≥128G；
硬盘：≥1TB NVME，≥10TB SAS；
网卡：≥2个千兆电口；
电源：≥2个800W电源；
含国产操作系统
五年原厂质保</t>
    </r>
  </si>
  <si>
    <t>3.4.1.5</t>
  </si>
  <si>
    <t>一体化平台数据服务器</t>
  </si>
  <si>
    <t>3.4.1.6</t>
  </si>
  <si>
    <t>国产数据库管理软件</t>
  </si>
  <si>
    <t>5年原厂质保</t>
  </si>
  <si>
    <t>3.4.1.7</t>
  </si>
  <si>
    <t>流媒体服务器</t>
  </si>
  <si>
    <r>
      <rPr>
        <sz val="10"/>
        <rFont val="宋体"/>
        <charset val="134"/>
      </rPr>
      <t>CPU：≥1颗，核心数≥8核，主频≥2.4GHz；</t>
    </r>
    <r>
      <rPr>
        <sz val="10"/>
        <color indexed="8"/>
        <rFont val="宋体"/>
        <charset val="134"/>
      </rPr>
      <t xml:space="preserve">
内存：≥32G；
硬盘：≥2TB；
阵列卡：SAS_HBA卡, 支持RAID 0/1/10；
网口：≥2个千兆电口
五年原厂质保</t>
    </r>
  </si>
  <si>
    <t>3.4.1.8</t>
  </si>
  <si>
    <t>视频存储磁盘阵列</t>
  </si>
  <si>
    <t>1.性能参数
视频性能 接入路数768（网络输入带宽1536Mbps）
图片性能 最大支持不小于100张/S（单张图片500KB）
硬件规格：处理器 1颗64位多核处理器
 高速缓存 8GB
2.磁盘管理
磁盘类型 企业级硬盘
 磁盘接口类型 SATA
 磁盘容量 4TB/6TB/8TB/10TB/16TB
 磁盘接口数量不少于48
 热插拔磁盘 支持
 阵列类型 RAID5，RAID6，RAID0，RAID1，RAID10
3.存储管理 存储模式 标准模式，高冗余模式，高利用率模式
4.录像管理
 录像方式 定时录像，手动录像，主或子码流录像，报警录像等多种录像方式
 录像保护 支持断网补录，RAID 业务保护，录像丢失报警
 查询方式 按时间、事件类型查询
 下载方式 快速下载、批量下载
5.网络管理 网络协议 IPv4，HTTPS，SNMP，NTP
 接入协议 RTSP，ONVIF，SDK，GB/T28181
6.5年原厂质保</t>
  </si>
  <si>
    <t>其中市中心部署1台，谏壁船闸1台，镇江水上服务区1台，丹阳水上服务区1台</t>
  </si>
  <si>
    <t>3.4.1.9</t>
  </si>
  <si>
    <t>存储硬盘</t>
  </si>
  <si>
    <t>8T 企业级 SATA 硬盘</t>
  </si>
  <si>
    <t>块</t>
  </si>
  <si>
    <t>其中市中心70块，谏壁船闸70块，镇江水上服务区70块，丹阳水上服务区70台</t>
  </si>
  <si>
    <t>3.4.1.10</t>
  </si>
  <si>
    <t>视频上云网关</t>
  </si>
  <si>
    <r>
      <rPr>
        <sz val="10"/>
        <rFont val="宋体"/>
        <charset val="134"/>
      </rPr>
      <t>支持不少于200路的1080P视频流转32K/128K/1M/4M/源码率；</t>
    </r>
    <r>
      <rPr>
        <sz val="10"/>
        <color indexed="8"/>
        <rFont val="宋体"/>
        <charset val="134"/>
      </rPr>
      <t xml:space="preserve">
支持海康威视、大华、宇视等主流厂家视频监控设备的接入；
支持 RTSP、GB/T28181、ONVIF 等协议接入视频监控设备。
五年原厂质保</t>
    </r>
  </si>
  <si>
    <t>3.4.1.11</t>
  </si>
  <si>
    <t>授时服务器</t>
  </si>
  <si>
    <r>
      <rPr>
        <sz val="10"/>
        <rFont val="宋体"/>
        <charset val="134"/>
      </rPr>
      <t>支持单北斗卫星系统时间输入源，可扩展双路北斗双物理天线输入；</t>
    </r>
    <r>
      <rPr>
        <sz val="10"/>
        <color indexed="8"/>
        <rFont val="宋体"/>
        <charset val="134"/>
      </rPr>
      <t xml:space="preserve">
国产化要求：系统和CPU国产化；
支持NTP（版本含v1、v2、v3、v4）、SNTP、TIME、SSH、TELNET、IPV4等协议；
支持RS232/TTL等多种类型报文输出；
单口NTP客户端吞吐量：＞1万次/秒；
NTP客户端同步精度：＜50微秒；
支持2路物理隔离10/100/1000 以太网口；
支持监控时间服务器锁星状态、授时状态；
具备故障告警功能；
支持WEB管理要求:专业的时钟WEB网页管理，WEB可以实时查看授时状态、卫星数据、 NTP信息、网络状态，支持网络配置、系统服务管理和系统升级等功能；
支持显示时间、卫星状态、经纬度、高度、网络地址、设备运行等信息，以及查看时间源参考状态、时间、网卡IP地址及系统工作状态；
支持多路状态指示灯，用来指示卫星锁定、电源、授时状态、告警灯状态，便于设备运行维护；
5年原厂质保。</t>
    </r>
  </si>
  <si>
    <t>3.4.1.12</t>
  </si>
  <si>
    <t>标准机柜</t>
  </si>
  <si>
    <t>具体技术要求：
1、前后网孔门，机柜整体尺寸：600*1000*2000mm （宽*深*高），含2个8路PDU；42U标准机柜</t>
  </si>
  <si>
    <t>其中谏壁船闸4套，镇江水上服务区1套，丹阳水上服务区1套</t>
  </si>
  <si>
    <t>3.4.2</t>
  </si>
  <si>
    <t>通信网络系统</t>
  </si>
  <si>
    <t>3.4.2.1</t>
  </si>
  <si>
    <t>外场网段接入</t>
  </si>
  <si>
    <t>实现地市航道外场感知数据接入，包括汇聚交换机、转发服务器、路由、光纤收发器、运营商专线等设备。</t>
  </si>
  <si>
    <t>包括汇聚交换机、转发服务器、路由、光纤收发器、运营商专线等设备。</t>
  </si>
  <si>
    <t>汇聚交换机</t>
  </si>
  <si>
    <t>具体技术要求：
1.整机交换容量≥826Gbps；转发性能≥264Mpps；
2.单台端口：≥48个千兆电口，≥4个千兆SFP口，≥2个万兆SFP+口，含光模块；
3.支持SPAN/RSPAN镜像和多个镜像观察端口，可以对网络流量进行分析以采取相应管理维护措施;
4.MAC地址表≥32K，IPv4路由表容量≥8K，整机最大ARP地址表≥4K；
5.实现CPU保护功能，能限制非法报文对CPU的攻击，保护交换机在各种环境下稳定工作；
6.支持VRRP、OSPFv1/v2、OSPF v3、BGP、ISIS等增强三层路由协议；
7.支持ERPS以太环保护协议，切换时间≤50ms；
8.支持图形化操作的方式实现对网络的统一运维及管理
9.设备CPU等关键芯片为国产芯片；
含5年原厂质保</t>
  </si>
  <si>
    <t>其中市中心1台，镇江水上服务区1台，丹阳水上服务区1台</t>
  </si>
  <si>
    <t>船闸环网交换机</t>
  </si>
  <si>
    <r>
      <rPr>
        <sz val="10"/>
        <rFont val="宋体"/>
        <charset val="134"/>
      </rPr>
      <t>具体技术要求：
1、端口数量：至少支持24个千兆SFP光口，4个千兆光口，含24个千兆单模光模块（传输距离40公里）；
2、必须满足国产自主可控；
3、支持环网保护协议，自愈时间≤50ms；
4、支持RSTP/MSTP及VRRP等多种冗余组网机制；
5、支持VRRP, OSPF, RIP, IGMP, PIM, 静态路由；
6、支持HTTPS/SSL, SSH, TACACS+, IEEE802.1X, RADIUS；
7、交换容量：48Gbps，路由表 8K，MAC表 32K；
8、支持SNMPv1/v2c/v3,可通过网管软件集中管理；
9、支持管理方式：CLI、Telnet、中文Web界面和consle；
10、网络拓扑结构：支持总线/星型拓扑、环形结构；
11、支持IP/MAC冲突告警，失电告警，电源告警，端口LinkDown告警，环告警；
12、支持IEEE 802.1Q(VLAN)标准协议, 可创建VLAN数≥256个，VLAN ID 1</t>
    </r>
    <r>
      <rPr>
        <sz val="10"/>
        <rFont val="宋体"/>
        <charset val="134"/>
      </rPr>
      <t>〜</t>
    </r>
    <r>
      <rPr>
        <sz val="10"/>
        <rFont val="宋体"/>
        <charset val="134"/>
      </rPr>
      <t>4093；
13、支持端口聚合、端口流控、端口限速；
14、工作温度：-5℃～+50℃，储存温度：-40℃～+70℃，相对湿度：5～95%无凝露；
含5年原厂质保。</t>
    </r>
  </si>
  <si>
    <t>其中谏壁船闸4台</t>
  </si>
  <si>
    <t>3.4.2.2</t>
  </si>
  <si>
    <t>控制网段接入</t>
  </si>
  <si>
    <t>实现对船闸现地控制系统数据采集</t>
  </si>
  <si>
    <t>防火墙</t>
  </si>
  <si>
    <r>
      <rPr>
        <sz val="10"/>
        <rFont val="宋体"/>
        <charset val="134"/>
      </rPr>
      <t>国产化硬件，系统需配置，≥6个千兆GE电口，≥4个千兆SFP光口；≥4个万兆SFP+光口；配置≥64G SSD硬盘，冗余电源，整机吞吐量≥20Gbps；</t>
    </r>
    <r>
      <rPr>
        <sz val="10"/>
        <color indexed="8"/>
        <rFont val="宋体"/>
        <charset val="134"/>
      </rPr>
      <t xml:space="preserve">
支持策略风险调优，支持安全策略优化分析，支持策略数冗余及命中分析，支持基于应用风险的策略调优。
支持基于对包括但不限于操作系统、网络设备、办公软件、网页服务等保护对象的入侵防御策略，支持基于对漏洞、恶意文件、信息收集类攻击等的攻击分类的防护策略，支持基于服务器、客户端的防护策略。
支持基于文件协议、邮件协议、共享协议的病毒功能。
支持HTTPS加密流量的安全检测，支持TCP代理和SSL代理，且代理策略中可同时配置多类过滤条件，具体包括：源安全域、目的安全域、源地址、目的地址、用户和服务。
支持流量自学习功能，可设置自学习时间，并自动生成DDoS防范策略。
支持多用户共享上网行为管理。
包含原厂硬件质保期五年和五年入侵防御和防病毒特征库升级授权。</t>
    </r>
  </si>
  <si>
    <t>谏壁船闸1台</t>
  </si>
  <si>
    <t>网闸</t>
  </si>
  <si>
    <t>国产化硬件，内网接口：标配≥4个千兆电口，≥4个千兆SFP插槽，≥1个扩展槽；外网接口：标配标配≥4个千兆电口，≥4个千兆SFP插槽，≥1个扩展槽；
软件系统：默认包含全功能模块，标准配置包含安全浏览模块、文件传输模块、文件同步模块、邮件访问模块、数据库访问模块、数据库同步模块、自定义访问模块、数据中心模块等。
吞吐不小于500Mbps，并发不小于20万。
支持工控入侵防御特征库，涵盖：HTTP攻击类、拒绝服务类、木马类、蠕虫类、扫描类、网络访问类、系统漏洞类、溢出攻击类等。
采用国内外知名厂商病毒库，支持病毒库升级，并提供后续升级服务。
包含原厂硬件质保期五年。</t>
  </si>
  <si>
    <t>数采模块（干节点）</t>
  </si>
  <si>
    <t>32位及以上处理器，内存不低于16K，，不少于8个DI输入端口，4个DO输出端口，1个以太网口，通过干接点方式连接，设备应包含如下软件。
软件功能要求：实现信息网指令向控制网络传输，传输控制指令不少于20个，可采用自定义编码方式实现更多的数据传输，信息网侧设备提供标准的指令接口供软件程序调用。</t>
  </si>
  <si>
    <t>谏壁船闸2台</t>
  </si>
  <si>
    <t>3.4.3</t>
  </si>
  <si>
    <t>网络安全、数据安全设备</t>
  </si>
  <si>
    <t>3.4.3.1</t>
  </si>
  <si>
    <t>中心工业防火墙</t>
  </si>
  <si>
    <r>
      <rPr>
        <sz val="10"/>
        <rFont val="宋体"/>
        <charset val="134"/>
      </rPr>
      <t>国产化硬件，系统需配置，≥6个千兆GE电口，≥4个千兆SFP光口；≥4个万兆SFP+光口；配置≥64G SSD硬盘，冗余电源，整机吞吐量≥20Gbps；</t>
    </r>
    <r>
      <rPr>
        <sz val="10"/>
        <color indexed="8"/>
        <rFont val="宋体"/>
        <charset val="134"/>
      </rPr>
      <t xml:space="preserve">
支持基于应用的策略路由，可实现为不同的应用类型智能选择相应的链路；
支持显示系统状态信息，包括CPU、内存大小及使用率，磁盘大小及使用率、证书情况、系统版本、运行时长、主板温度等；
工业协议深度解析：支持至少20种工控协议的深度解析及协议合规检查，支持工业协议内部的指令、内部寄存器等信息进行深度检查，包括但不限于Modbus TCP、OPC Classic（DA、AE）、OPC UA、CIP、Ethernet/IP、S7 Comm、S7 Plus、IEC61850 MMS、Fins、DNP3、TRDP等；
支持资产识别、发现，并可对其资产信息进行管理；
内置独立的入侵防护特征库，支持不小于10000+入侵防护特征；
包含原厂硬件质保期五年和五年工业入侵防御和防病毒特征库升级授权。</t>
    </r>
  </si>
  <si>
    <t>3.4.3.2</t>
  </si>
  <si>
    <t>工业卫士软件</t>
  </si>
  <si>
    <r>
      <rPr>
        <sz val="10"/>
        <rFont val="宋体"/>
        <charset val="134"/>
      </rPr>
      <t>支持中标麒麟、银河麒麟（V4/V10）、统信UOS等国产主流操作系统；含五年病毒库升级服务</t>
    </r>
    <r>
      <rPr>
        <sz val="10"/>
        <color indexed="8"/>
        <rFont val="宋体"/>
        <charset val="134"/>
      </rPr>
      <t xml:space="preserve">
支持文件/进程/网络连接/外接设备管理等白名单功能；
支持安全环境/软件安全/关键配置安全等检测及修复功能；
支持对系统进行一键固化操作，自动生成白名单库；
支持对手动安装的软件进行自动追踪并添加到白名单列表中；
支持对CPU占用率、内存使用率、系统盘使用率设置限值，超过限值提示用户并记录日志；</t>
    </r>
  </si>
  <si>
    <t>3.4.3.3</t>
  </si>
  <si>
    <t>工业数据库审计系统</t>
  </si>
  <si>
    <t>采用国产化设备，≥6个电口（含1个管理口，1个HA口），≥4个千兆SFP接口插槽，内存不小于16G,硬盘不小于4T。含嵌入式审计软件一套，支持主流数据库如Oracle、SQL-Server、MySQL、达梦、人大金仓等数据库的审计，同时具备基础网络协议如HTTP、Telnet等协议的审计功能，可审计流量≥300M，实时SQL处理能力 20000条/s，不少于五年硬件质保及技术支持服务。</t>
  </si>
  <si>
    <t>3.4.3.4</t>
  </si>
  <si>
    <t>其中镇江水上服务区1台，丹阳水上服务区1台</t>
  </si>
  <si>
    <t>3.4.3.5</t>
  </si>
  <si>
    <t>主机杀毒</t>
  </si>
  <si>
    <r>
      <rPr>
        <sz val="10"/>
        <rFont val="宋体"/>
        <charset val="134"/>
      </rPr>
      <t>支持中标麒麟、银河麒麟（V4/V10）、统信UOS等操作系统；</t>
    </r>
    <r>
      <rPr>
        <sz val="10"/>
        <color indexed="8"/>
        <rFont val="宋体"/>
        <charset val="134"/>
      </rPr>
      <t xml:space="preserve">
支持精准查杀勒索、木马、蠕虫等各类病毒，提供病毒防御、系统防御以及网络防御等主动防御功能；
支持资产管理、运维管理、病毒查杀、外设管理、网络管理、终端响应、日志管理、防病毒模块等基础功能；
包含原厂硬件质保期五年，五年病毒库升级服务。</t>
    </r>
  </si>
  <si>
    <t>其中镇江水上服务区1套，丹阳水上服务区1套</t>
  </si>
  <si>
    <t>软件第三方测评费</t>
  </si>
  <si>
    <t>安全等级测试费</t>
  </si>
  <si>
    <t>合计</t>
  </si>
  <si>
    <t>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</si>
</sst>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 [$€]_-;\-* #,##0.00\ [$€]_-;_-* &quot;-&quot;??\ [$€]_-;_-@_-"/>
    <numFmt numFmtId="177" formatCode="0.00_ "/>
  </numFmts>
  <fonts count="43">
    <font>
      <sz val="11"/>
      <color theme="1"/>
      <name val="等线"/>
      <charset val="134"/>
      <scheme val="minor"/>
    </font>
    <font>
      <sz val="10"/>
      <color theme="1"/>
      <name val="宋体"/>
      <charset val="134"/>
    </font>
    <font>
      <sz val="10"/>
      <name val="宋体"/>
      <charset val="134"/>
    </font>
    <font>
      <b/>
      <sz val="10"/>
      <name val="宋体"/>
      <charset val="134"/>
    </font>
    <font>
      <sz val="10"/>
      <color rgb="FF000000"/>
      <name val="宋体"/>
      <charset val="134"/>
    </font>
    <font>
      <b/>
      <sz val="18"/>
      <name val="宋体"/>
      <charset val="134"/>
    </font>
    <font>
      <sz val="10"/>
      <name val="宋体"/>
      <charset val="0"/>
    </font>
    <font>
      <b/>
      <sz val="10"/>
      <color rgb="FFFF0000"/>
      <name val="宋体"/>
      <charset val="134"/>
    </font>
    <font>
      <sz val="10"/>
      <color rgb="FFFF0000"/>
      <name val="宋体"/>
      <charset val="134"/>
    </font>
    <font>
      <b/>
      <sz val="10"/>
      <color theme="1"/>
      <name val="宋体"/>
      <charset val="134"/>
    </font>
    <font>
      <sz val="12"/>
      <name val="宋体"/>
      <charset val="134"/>
    </font>
    <font>
      <sz val="10"/>
      <name val="仿宋_GB2312"/>
      <charset val="134"/>
    </font>
    <font>
      <b/>
      <sz val="10"/>
      <color rgb="FF000000"/>
      <name val="宋体"/>
      <charset val="134"/>
    </font>
    <font>
      <sz val="12"/>
      <color rgb="FFFF0000"/>
      <name val="宋体"/>
      <charset val="134"/>
    </font>
    <font>
      <sz val="10.5"/>
      <name val="宋体"/>
      <charset val="134"/>
    </font>
    <font>
      <sz val="12"/>
      <color indexed="8"/>
      <name val="宋体"/>
      <charset val="134"/>
    </font>
    <font>
      <b/>
      <sz val="22"/>
      <color indexed="8"/>
      <name val="宋体"/>
      <charset val="134"/>
    </font>
    <font>
      <b/>
      <sz val="32"/>
      <color rgb="FF000000"/>
      <name val="宋体"/>
      <charset val="134"/>
    </font>
    <font>
      <b/>
      <sz val="16"/>
      <name val="宋体"/>
      <charset val="134"/>
    </font>
    <font>
      <b/>
      <sz val="10"/>
      <name val="宋体"/>
      <charset val="0"/>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color indexed="8"/>
      <name val="宋体"/>
      <charset val="134"/>
    </font>
    <font>
      <sz val="11"/>
      <name val="等线"/>
      <charset val="134"/>
    </font>
    <font>
      <sz val="10"/>
      <color indexed="8"/>
      <name val="宋体"/>
      <charset val="134"/>
    </font>
    <font>
      <sz val="10"/>
      <name val="Arial"/>
      <charset val="0"/>
    </font>
  </fonts>
  <fills count="34">
    <fill>
      <patternFill patternType="none"/>
    </fill>
    <fill>
      <patternFill patternType="gray125"/>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0" fillId="3" borderId="11"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2" applyNumberFormat="0" applyFill="0" applyAlignment="0" applyProtection="0">
      <alignment vertical="center"/>
    </xf>
    <xf numFmtId="0" fontId="26" fillId="0" borderId="12" applyNumberFormat="0" applyFill="0" applyAlignment="0" applyProtection="0">
      <alignment vertical="center"/>
    </xf>
    <xf numFmtId="0" fontId="27" fillId="0" borderId="13" applyNumberFormat="0" applyFill="0" applyAlignment="0" applyProtection="0">
      <alignment vertical="center"/>
    </xf>
    <xf numFmtId="0" fontId="27" fillId="0" borderId="0" applyNumberFormat="0" applyFill="0" applyBorder="0" applyAlignment="0" applyProtection="0">
      <alignment vertical="center"/>
    </xf>
    <xf numFmtId="0" fontId="28" fillId="4" borderId="14" applyNumberFormat="0" applyAlignment="0" applyProtection="0">
      <alignment vertical="center"/>
    </xf>
    <xf numFmtId="0" fontId="29" fillId="5" borderId="15" applyNumberFormat="0" applyAlignment="0" applyProtection="0">
      <alignment vertical="center"/>
    </xf>
    <xf numFmtId="0" fontId="30" fillId="5" borderId="14" applyNumberFormat="0" applyAlignment="0" applyProtection="0">
      <alignment vertical="center"/>
    </xf>
    <xf numFmtId="0" fontId="31" fillId="6" borderId="16" applyNumberFormat="0" applyAlignment="0" applyProtection="0">
      <alignment vertical="center"/>
    </xf>
    <xf numFmtId="0" fontId="32" fillId="0" borderId="17" applyNumberFormat="0" applyFill="0" applyAlignment="0" applyProtection="0">
      <alignment vertical="center"/>
    </xf>
    <xf numFmtId="0" fontId="33" fillId="0" borderId="18" applyNumberFormat="0" applyFill="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8"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8" fillId="15" borderId="0" applyNumberFormat="0" applyBorder="0" applyAlignment="0" applyProtection="0">
      <alignment vertical="center"/>
    </xf>
    <xf numFmtId="0" fontId="38" fillId="16" borderId="0" applyNumberFormat="0" applyBorder="0" applyAlignment="0" applyProtection="0">
      <alignment vertical="center"/>
    </xf>
    <xf numFmtId="0" fontId="37" fillId="17" borderId="0" applyNumberFormat="0" applyBorder="0" applyAlignment="0" applyProtection="0">
      <alignment vertical="center"/>
    </xf>
    <xf numFmtId="0" fontId="37"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37" fillId="21" borderId="0" applyNumberFormat="0" applyBorder="0" applyAlignment="0" applyProtection="0">
      <alignment vertical="center"/>
    </xf>
    <xf numFmtId="0" fontId="37"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7" fillId="25" borderId="0" applyNumberFormat="0" applyBorder="0" applyAlignment="0" applyProtection="0">
      <alignment vertical="center"/>
    </xf>
    <xf numFmtId="0" fontId="37" fillId="26" borderId="0" applyNumberFormat="0" applyBorder="0" applyAlignment="0" applyProtection="0">
      <alignment vertical="center"/>
    </xf>
    <xf numFmtId="0" fontId="38" fillId="27" borderId="0" applyNumberFormat="0" applyBorder="0" applyAlignment="0" applyProtection="0">
      <alignment vertical="center"/>
    </xf>
    <xf numFmtId="0" fontId="38" fillId="28" borderId="0" applyNumberFormat="0" applyBorder="0" applyAlignment="0" applyProtection="0">
      <alignment vertical="center"/>
    </xf>
    <xf numFmtId="0" fontId="37" fillId="29" borderId="0" applyNumberFormat="0" applyBorder="0" applyAlignment="0" applyProtection="0">
      <alignment vertical="center"/>
    </xf>
    <xf numFmtId="0" fontId="37" fillId="30" borderId="0" applyNumberFormat="0" applyBorder="0" applyAlignment="0" applyProtection="0">
      <alignment vertical="center"/>
    </xf>
    <xf numFmtId="0" fontId="38" fillId="31" borderId="0" applyNumberFormat="0" applyBorder="0" applyAlignment="0" applyProtection="0">
      <alignment vertical="center"/>
    </xf>
    <xf numFmtId="0" fontId="38" fillId="32" borderId="0" applyNumberFormat="0" applyBorder="0" applyAlignment="0" applyProtection="0">
      <alignment vertical="center"/>
    </xf>
    <xf numFmtId="0" fontId="37" fillId="33" borderId="0" applyNumberFormat="0" applyBorder="0" applyAlignment="0" applyProtection="0">
      <alignment vertical="center"/>
    </xf>
    <xf numFmtId="0" fontId="15" fillId="0" borderId="0">
      <alignment vertical="center"/>
    </xf>
    <xf numFmtId="0" fontId="10" fillId="0" borderId="0"/>
    <xf numFmtId="0" fontId="10" fillId="0" borderId="0"/>
    <xf numFmtId="0" fontId="0" fillId="0" borderId="0">
      <alignment vertical="center"/>
    </xf>
    <xf numFmtId="176" fontId="39" fillId="0" borderId="0">
      <protection locked="0"/>
    </xf>
    <xf numFmtId="176" fontId="40" fillId="0" borderId="0">
      <protection locked="0"/>
    </xf>
  </cellStyleXfs>
  <cellXfs count="104">
    <xf numFmtId="0" fontId="0" fillId="0" borderId="0" xfId="0">
      <alignment vertical="center"/>
    </xf>
    <xf numFmtId="0" fontId="1" fillId="0" borderId="0" xfId="0" applyFont="1" applyFill="1" applyAlignment="1" applyProtection="1">
      <alignment vertical="center" wrapText="1"/>
    </xf>
    <xf numFmtId="0" fontId="2" fillId="0" borderId="0" xfId="52" applyFont="1" applyFill="1" applyAlignment="1" applyProtection="1">
      <alignment vertical="center" wrapText="1"/>
    </xf>
    <xf numFmtId="0" fontId="3" fillId="0" borderId="0" xfId="52" applyFont="1" applyFill="1" applyProtection="1">
      <alignment vertical="center"/>
    </xf>
    <xf numFmtId="0" fontId="1" fillId="0" borderId="0" xfId="52" applyFont="1" applyFill="1" applyProtection="1">
      <alignment vertical="center"/>
    </xf>
    <xf numFmtId="0" fontId="2" fillId="0" borderId="0" xfId="52" applyFont="1" applyFill="1" applyProtection="1">
      <alignment vertical="center"/>
    </xf>
    <xf numFmtId="0" fontId="2" fillId="0" borderId="0" xfId="53" applyNumberFormat="1" applyFont="1" applyFill="1" applyAlignment="1" applyProtection="1">
      <alignment horizontal="center" vertical="center" wrapText="1"/>
    </xf>
    <xf numFmtId="49" fontId="2" fillId="0" borderId="0" xfId="52" applyNumberFormat="1" applyFont="1" applyFill="1" applyProtection="1">
      <alignment vertical="center"/>
    </xf>
    <xf numFmtId="0" fontId="4" fillId="0" borderId="0" xfId="52" applyFont="1" applyFill="1" applyAlignment="1" applyProtection="1">
      <alignment horizontal="center" vertical="center" wrapText="1"/>
    </xf>
    <xf numFmtId="0" fontId="2" fillId="0" borderId="0" xfId="52" applyFont="1" applyFill="1" applyAlignment="1" applyProtection="1">
      <alignment horizontal="left" vertical="center" wrapText="1"/>
    </xf>
    <xf numFmtId="0" fontId="4" fillId="0" borderId="0" xfId="52" applyFont="1" applyFill="1" applyAlignment="1" applyProtection="1">
      <alignment horizontal="center" vertical="center"/>
    </xf>
    <xf numFmtId="0" fontId="2" fillId="0" borderId="0" xfId="52" applyFont="1" applyFill="1" applyAlignment="1" applyProtection="1">
      <alignment horizontal="center" vertical="center"/>
    </xf>
    <xf numFmtId="0" fontId="2" fillId="0" borderId="0" xfId="52" applyFont="1" applyFill="1" applyAlignment="1" applyProtection="1">
      <alignment horizontal="center" vertical="center" wrapText="1"/>
    </xf>
    <xf numFmtId="0" fontId="5" fillId="0" borderId="0" xfId="52" applyFont="1" applyFill="1" applyBorder="1" applyAlignment="1" applyProtection="1">
      <alignment horizontal="center" vertical="center" wrapText="1"/>
    </xf>
    <xf numFmtId="0" fontId="5" fillId="0" borderId="0" xfId="52" applyFont="1" applyFill="1" applyBorder="1" applyAlignment="1" applyProtection="1">
      <alignment horizontal="left" vertical="center" wrapText="1"/>
    </xf>
    <xf numFmtId="0" fontId="1" fillId="0" borderId="0" xfId="0" applyFont="1" applyFill="1" applyAlignment="1" applyProtection="1">
      <alignment horizontal="center" vertical="center" wrapText="1"/>
    </xf>
    <xf numFmtId="0" fontId="3" fillId="0" borderId="1" xfId="52" applyFont="1" applyFill="1" applyBorder="1" applyAlignment="1" applyProtection="1">
      <alignment horizontal="center" vertical="center" wrapText="1"/>
    </xf>
    <xf numFmtId="0" fontId="3" fillId="0" borderId="1" xfId="52" applyFont="1" applyFill="1" applyBorder="1" applyAlignment="1" applyProtection="1">
      <alignment horizontal="center" vertical="center"/>
    </xf>
    <xf numFmtId="0" fontId="3" fillId="0" borderId="1" xfId="52" applyFont="1" applyFill="1" applyBorder="1" applyAlignment="1" applyProtection="1">
      <alignment horizontal="left" vertical="center" wrapText="1"/>
    </xf>
    <xf numFmtId="0" fontId="3" fillId="0" borderId="1" xfId="52" applyNumberFormat="1" applyFont="1" applyFill="1" applyBorder="1" applyAlignment="1" applyProtection="1">
      <alignment horizontal="center" vertical="center"/>
    </xf>
    <xf numFmtId="177" fontId="3" fillId="0" borderId="1" xfId="52" applyNumberFormat="1" applyFont="1" applyFill="1" applyBorder="1" applyAlignment="1" applyProtection="1">
      <alignment horizontal="center" vertical="center" wrapText="1"/>
    </xf>
    <xf numFmtId="0" fontId="2" fillId="0" borderId="1" xfId="52" applyFont="1" applyFill="1" applyBorder="1" applyAlignment="1" applyProtection="1">
      <alignment horizontal="center" vertical="center"/>
    </xf>
    <xf numFmtId="0" fontId="2" fillId="0" borderId="1" xfId="52" applyFont="1" applyFill="1" applyBorder="1" applyAlignment="1" applyProtection="1">
      <alignment horizontal="center" vertical="center" wrapText="1"/>
    </xf>
    <xf numFmtId="0" fontId="2" fillId="0" borderId="1" xfId="52" applyFont="1" applyFill="1" applyBorder="1" applyAlignment="1" applyProtection="1">
      <alignment horizontal="left" vertical="center" wrapText="1"/>
    </xf>
    <xf numFmtId="0" fontId="2" fillId="0" borderId="1" xfId="52" applyNumberFormat="1" applyFont="1" applyFill="1" applyBorder="1" applyAlignment="1" applyProtection="1">
      <alignment horizontal="center" vertical="center"/>
    </xf>
    <xf numFmtId="177" fontId="2" fillId="0" borderId="1" xfId="52" applyNumberFormat="1" applyFont="1" applyFill="1" applyBorder="1" applyAlignment="1" applyProtection="1">
      <alignment horizontal="center" vertical="center" wrapText="1"/>
    </xf>
    <xf numFmtId="0" fontId="2" fillId="0" borderId="1" xfId="0" applyFont="1" applyFill="1" applyBorder="1" applyAlignment="1" applyProtection="1">
      <alignment horizontal="center" vertical="center"/>
    </xf>
    <xf numFmtId="0" fontId="2" fillId="0" borderId="1" xfId="0" applyFont="1" applyFill="1" applyBorder="1" applyAlignment="1" applyProtection="1">
      <alignment horizontal="center" vertical="center" wrapText="1"/>
    </xf>
    <xf numFmtId="0" fontId="2" fillId="0" borderId="1" xfId="0" applyFont="1" applyFill="1" applyBorder="1" applyAlignment="1" applyProtection="1">
      <alignment horizontal="left" vertical="center" wrapText="1"/>
    </xf>
    <xf numFmtId="0" fontId="2" fillId="0" borderId="1" xfId="52" applyNumberFormat="1" applyFont="1" applyFill="1" applyBorder="1" applyAlignment="1" applyProtection="1">
      <alignment horizontal="center" vertical="center"/>
      <protection locked="0"/>
    </xf>
    <xf numFmtId="0" fontId="3" fillId="0" borderId="1" xfId="0" applyFont="1" applyFill="1" applyBorder="1" applyAlignment="1" applyProtection="1">
      <alignment horizontal="center" vertical="center"/>
    </xf>
    <xf numFmtId="0" fontId="3" fillId="0" borderId="1" xfId="52" applyNumberFormat="1" applyFont="1" applyFill="1" applyBorder="1" applyAlignment="1" applyProtection="1">
      <alignment horizontal="center" vertical="center"/>
      <protection locked="0"/>
    </xf>
    <xf numFmtId="49" fontId="2" fillId="0" borderId="1" xfId="52" applyNumberFormat="1" applyFont="1" applyFill="1" applyBorder="1" applyAlignment="1" applyProtection="1">
      <alignment horizontal="center" vertical="center"/>
    </xf>
    <xf numFmtId="0" fontId="2" fillId="0" borderId="1" xfId="0" applyNumberFormat="1" applyFont="1" applyFill="1" applyBorder="1" applyAlignment="1" applyProtection="1">
      <alignment horizontal="center" vertical="center"/>
      <protection locked="0"/>
    </xf>
    <xf numFmtId="0" fontId="3" fillId="0" borderId="1" xfId="0" applyNumberFormat="1" applyFont="1" applyFill="1" applyBorder="1" applyAlignment="1" applyProtection="1">
      <alignment horizontal="center" vertical="center"/>
      <protection locked="0"/>
    </xf>
    <xf numFmtId="177" fontId="3" fillId="0" borderId="1" xfId="0" applyNumberFormat="1" applyFont="1" applyFill="1" applyBorder="1" applyAlignment="1" applyProtection="1">
      <alignment horizontal="center" vertical="center" wrapText="1"/>
    </xf>
    <xf numFmtId="177" fontId="2" fillId="0" borderId="1" xfId="0" applyNumberFormat="1" applyFont="1" applyFill="1" applyBorder="1" applyAlignment="1" applyProtection="1">
      <alignment horizontal="center" vertical="center" wrapText="1"/>
    </xf>
    <xf numFmtId="0" fontId="3" fillId="0" borderId="1" xfId="0" applyFont="1" applyFill="1" applyBorder="1" applyAlignment="1" applyProtection="1">
      <alignment horizontal="left" vertical="center" wrapText="1"/>
    </xf>
    <xf numFmtId="49" fontId="2" fillId="0" borderId="1" xfId="0" applyNumberFormat="1" applyFont="1" applyFill="1" applyBorder="1" applyAlignment="1" applyProtection="1">
      <alignment horizontal="center" vertical="center"/>
    </xf>
    <xf numFmtId="0" fontId="2" fillId="0" borderId="1" xfId="0" applyNumberFormat="1" applyFont="1" applyFill="1" applyBorder="1" applyAlignment="1" applyProtection="1">
      <alignment horizontal="center" vertical="center" wrapText="1"/>
    </xf>
    <xf numFmtId="0" fontId="2" fillId="0" borderId="1" xfId="0" applyNumberFormat="1" applyFont="1" applyFill="1" applyBorder="1" applyAlignment="1" applyProtection="1">
      <alignment horizontal="left" vertical="center" wrapText="1"/>
    </xf>
    <xf numFmtId="0" fontId="2" fillId="0" borderId="1" xfId="0" applyNumberFormat="1" applyFont="1" applyFill="1" applyBorder="1" applyAlignment="1" applyProtection="1">
      <alignment horizontal="center" vertical="center"/>
    </xf>
    <xf numFmtId="0" fontId="2" fillId="0" borderId="1" xfId="53" applyNumberFormat="1" applyFont="1" applyFill="1" applyBorder="1" applyAlignment="1" applyProtection="1">
      <alignment horizontal="center" vertical="center"/>
    </xf>
    <xf numFmtId="0" fontId="2" fillId="0" borderId="1" xfId="54" applyNumberFormat="1" applyFont="1" applyFill="1" applyBorder="1" applyAlignment="1" applyProtection="1">
      <alignment horizontal="center" vertical="center" wrapText="1"/>
    </xf>
    <xf numFmtId="0" fontId="2" fillId="0" borderId="1" xfId="54" applyNumberFormat="1" applyFont="1" applyFill="1" applyBorder="1" applyAlignment="1" applyProtection="1">
      <alignment horizontal="left" vertical="center" wrapText="1"/>
    </xf>
    <xf numFmtId="0" fontId="6" fillId="0" borderId="1" xfId="54" applyNumberFormat="1" applyFont="1" applyFill="1" applyBorder="1" applyAlignment="1" applyProtection="1">
      <alignment horizontal="center" vertical="center" wrapText="1"/>
    </xf>
    <xf numFmtId="0" fontId="7" fillId="0" borderId="0" xfId="52" applyFont="1" applyFill="1" applyAlignment="1" applyProtection="1">
      <alignment horizontal="center" vertical="center" wrapText="1"/>
    </xf>
    <xf numFmtId="0" fontId="3" fillId="0" borderId="1" xfId="0" applyNumberFormat="1" applyFont="1" applyFill="1" applyBorder="1" applyAlignment="1" applyProtection="1">
      <alignment horizontal="left" vertical="center" wrapText="1"/>
    </xf>
    <xf numFmtId="0" fontId="3" fillId="0" borderId="1" xfId="0" applyNumberFormat="1" applyFont="1" applyFill="1" applyBorder="1" applyAlignment="1" applyProtection="1">
      <alignment horizontal="center" vertical="center"/>
    </xf>
    <xf numFmtId="177" fontId="8" fillId="0" borderId="1" xfId="0" applyNumberFormat="1" applyFont="1" applyFill="1" applyBorder="1" applyAlignment="1" applyProtection="1">
      <alignment horizontal="center" vertical="center" wrapText="1"/>
    </xf>
    <xf numFmtId="0" fontId="2" fillId="0" borderId="1" xfId="52" applyFont="1" applyFill="1" applyBorder="1" applyAlignment="1" applyProtection="1">
      <alignment horizontal="center" vertical="center" wrapText="1"/>
      <protection locked="0"/>
    </xf>
    <xf numFmtId="0" fontId="2" fillId="0" borderId="1" xfId="54" applyNumberFormat="1" applyFont="1" applyFill="1" applyBorder="1" applyAlignment="1" applyProtection="1">
      <alignment horizontal="center" vertical="center"/>
    </xf>
    <xf numFmtId="0" fontId="2" fillId="0" borderId="1" xfId="54" applyNumberFormat="1" applyFont="1" applyFill="1" applyBorder="1" applyAlignment="1" applyProtection="1">
      <alignment horizontal="center" vertical="center"/>
      <protection locked="0"/>
    </xf>
    <xf numFmtId="0" fontId="2" fillId="0" borderId="1" xfId="53" applyNumberFormat="1" applyFont="1" applyFill="1" applyBorder="1" applyAlignment="1" applyProtection="1">
      <alignment horizontal="center" vertical="center" wrapText="1"/>
    </xf>
    <xf numFmtId="0" fontId="2" fillId="0" borderId="1" xfId="53" applyNumberFormat="1" applyFont="1" applyFill="1" applyBorder="1" applyAlignment="1" applyProtection="1">
      <alignment horizontal="left" vertical="center" wrapText="1"/>
    </xf>
    <xf numFmtId="177" fontId="2" fillId="0" borderId="1" xfId="54"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horizontal="left" vertical="center" wrapText="1"/>
    </xf>
    <xf numFmtId="0" fontId="9" fillId="0" borderId="1" xfId="0" applyFont="1" applyFill="1" applyBorder="1" applyAlignment="1" applyProtection="1">
      <alignment horizontal="center" vertical="center" wrapText="1"/>
    </xf>
    <xf numFmtId="177" fontId="9" fillId="0" borderId="1" xfId="0" applyNumberFormat="1" applyFont="1" applyFill="1" applyBorder="1" applyAlignment="1" applyProtection="1">
      <alignment horizontal="center" vertical="center" wrapText="1"/>
      <protection locked="0"/>
    </xf>
    <xf numFmtId="0" fontId="7" fillId="0" borderId="0" xfId="52" applyFont="1" applyFill="1" applyProtection="1">
      <alignment vertical="center"/>
    </xf>
    <xf numFmtId="0" fontId="2" fillId="0" borderId="0" xfId="1" applyNumberFormat="1" applyFont="1" applyFill="1" applyBorder="1" applyAlignment="1" applyProtection="1">
      <alignment horizontal="center" vertical="center" wrapText="1"/>
    </xf>
    <xf numFmtId="0" fontId="2" fillId="0" borderId="0" xfId="0" applyFont="1" applyFill="1" applyAlignment="1" applyProtection="1">
      <alignment horizontal="center" vertical="center" wrapText="1"/>
    </xf>
    <xf numFmtId="177" fontId="2" fillId="0" borderId="1" xfId="0" applyNumberFormat="1" applyFont="1" applyFill="1" applyBorder="1" applyAlignment="1" applyProtection="1">
      <alignment horizontal="center" vertical="center"/>
      <protection locked="0"/>
    </xf>
    <xf numFmtId="0" fontId="3" fillId="0" borderId="1" xfId="52" applyNumberFormat="1" applyFont="1" applyFill="1" applyBorder="1" applyAlignment="1" applyProtection="1">
      <alignment horizontal="center" vertical="center" wrapText="1"/>
    </xf>
    <xf numFmtId="0" fontId="10" fillId="0" borderId="0" xfId="0" applyFont="1" applyFill="1" applyBorder="1" applyAlignment="1">
      <alignment vertical="center"/>
    </xf>
    <xf numFmtId="0" fontId="11" fillId="0" borderId="0" xfId="0" applyFont="1" applyFill="1" applyBorder="1" applyAlignment="1" applyProtection="1">
      <alignment horizontal="center" vertical="center"/>
    </xf>
    <xf numFmtId="0" fontId="11" fillId="0" borderId="0" xfId="0" applyFont="1" applyFill="1" applyBorder="1" applyAlignment="1"/>
    <xf numFmtId="0" fontId="5" fillId="0" borderId="0" xfId="0" applyFont="1" applyFill="1" applyBorder="1" applyAlignment="1">
      <alignment horizontal="center"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xf>
    <xf numFmtId="0" fontId="12" fillId="0" borderId="1" xfId="0" applyFont="1" applyFill="1" applyBorder="1" applyAlignment="1">
      <alignment horizontal="center" vertical="center" wrapText="1"/>
    </xf>
    <xf numFmtId="0" fontId="3" fillId="0" borderId="1" xfId="52" applyFont="1" applyFill="1" applyBorder="1" applyAlignment="1">
      <alignment horizontal="center" vertical="center" wrapText="1"/>
    </xf>
    <xf numFmtId="10" fontId="10" fillId="0" borderId="0" xfId="3" applyNumberFormat="1" applyFont="1" applyFill="1" applyBorder="1" applyAlignment="1">
      <alignment vertical="center"/>
    </xf>
    <xf numFmtId="0" fontId="12" fillId="0" borderId="2" xfId="0" applyFont="1" applyFill="1" applyBorder="1" applyAlignment="1">
      <alignment horizontal="center" vertical="center" wrapText="1"/>
    </xf>
    <xf numFmtId="0" fontId="12" fillId="0" borderId="1" xfId="0" applyFont="1" applyFill="1" applyBorder="1" applyAlignment="1">
      <alignment horizontal="center" vertical="center"/>
    </xf>
    <xf numFmtId="0" fontId="12" fillId="0" borderId="3" xfId="0" applyFont="1" applyFill="1" applyBorder="1" applyAlignment="1">
      <alignment horizontal="center" vertical="center" wrapText="1"/>
    </xf>
    <xf numFmtId="177" fontId="10" fillId="0" borderId="0" xfId="0" applyNumberFormat="1" applyFont="1" applyFill="1" applyBorder="1" applyAlignment="1">
      <alignment vertical="center"/>
    </xf>
    <xf numFmtId="0" fontId="13" fillId="0" borderId="0" xfId="0" applyFont="1" applyFill="1" applyBorder="1" applyAlignment="1">
      <alignment horizontal="center" vertical="center"/>
    </xf>
    <xf numFmtId="10" fontId="10" fillId="0" borderId="0" xfId="0" applyNumberFormat="1" applyFont="1" applyFill="1" applyBorder="1" applyAlignment="1">
      <alignment vertical="center"/>
    </xf>
    <xf numFmtId="0" fontId="2" fillId="0" borderId="0" xfId="0" applyFont="1" applyFill="1" applyBorder="1" applyAlignment="1">
      <alignment horizontal="right" vertical="center"/>
    </xf>
    <xf numFmtId="0" fontId="2" fillId="0" borderId="4" xfId="0" applyFont="1" applyFill="1" applyBorder="1" applyAlignment="1" applyProtection="1">
      <alignment horizontal="center" vertical="center"/>
      <protection locked="0"/>
    </xf>
    <xf numFmtId="10" fontId="2" fillId="0" borderId="0" xfId="0" applyNumberFormat="1" applyFont="1" applyFill="1" applyBorder="1" applyAlignment="1">
      <alignment vertical="center"/>
    </xf>
    <xf numFmtId="0" fontId="2" fillId="0" borderId="0" xfId="0" applyFont="1" applyFill="1" applyBorder="1" applyAlignment="1" applyProtection="1">
      <alignment horizontal="center" vertical="center"/>
    </xf>
    <xf numFmtId="0" fontId="14" fillId="0" borderId="0" xfId="0" applyFont="1" applyFill="1" applyBorder="1" applyAlignment="1">
      <alignment vertical="center"/>
    </xf>
    <xf numFmtId="0" fontId="5" fillId="0" borderId="0" xfId="0" applyFont="1" applyFill="1" applyBorder="1" applyAlignment="1" applyProtection="1">
      <alignment horizontal="center" vertical="center"/>
    </xf>
    <xf numFmtId="0" fontId="2" fillId="0" borderId="0" xfId="0" applyFont="1" applyFill="1" applyAlignment="1">
      <alignment horizontal="left" vertical="center" wrapText="1"/>
    </xf>
    <xf numFmtId="0" fontId="2" fillId="0" borderId="5"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8" xfId="0" applyFont="1" applyFill="1" applyBorder="1" applyAlignment="1">
      <alignment horizontal="left" vertical="center" wrapText="1"/>
    </xf>
    <xf numFmtId="0" fontId="2" fillId="0" borderId="9" xfId="0" applyFont="1" applyFill="1" applyBorder="1" applyAlignment="1">
      <alignment horizontal="left" vertical="center" wrapText="1"/>
    </xf>
    <xf numFmtId="0" fontId="2" fillId="0" borderId="10" xfId="0" applyFont="1" applyFill="1" applyBorder="1" applyAlignment="1">
      <alignment horizontal="left" vertical="center" wrapText="1"/>
    </xf>
    <xf numFmtId="0" fontId="15" fillId="0" borderId="0" xfId="49" applyFont="1">
      <alignment vertical="center"/>
    </xf>
    <xf numFmtId="0" fontId="6" fillId="0" borderId="0" xfId="0" applyFont="1" applyFill="1" applyBorder="1" applyAlignment="1">
      <alignment vertical="center"/>
    </xf>
    <xf numFmtId="49" fontId="16" fillId="2" borderId="0" xfId="49" applyNumberFormat="1" applyFont="1" applyFill="1" applyAlignment="1">
      <alignment horizontal="center" vertical="center" wrapText="1"/>
    </xf>
    <xf numFmtId="49" fontId="17" fillId="0" borderId="0" xfId="49" applyNumberFormat="1" applyFont="1" applyFill="1" applyAlignment="1">
      <alignment horizontal="center" vertical="center" wrapText="1"/>
    </xf>
    <xf numFmtId="0" fontId="18" fillId="0" borderId="0" xfId="50" applyFont="1" applyAlignment="1">
      <alignment horizontal="right" vertical="center"/>
    </xf>
    <xf numFmtId="0" fontId="18" fillId="0" borderId="0" xfId="50" applyFont="1" applyAlignment="1">
      <alignment horizontal="center" vertical="center" wrapText="1"/>
    </xf>
    <xf numFmtId="0" fontId="18" fillId="0" borderId="0" xfId="50" applyFont="1" applyAlignment="1">
      <alignment horizontal="center" vertical="center"/>
    </xf>
    <xf numFmtId="0" fontId="18" fillId="0" borderId="0" xfId="51" applyFont="1" applyAlignment="1">
      <alignment horizontal="right" vertical="center"/>
    </xf>
    <xf numFmtId="0" fontId="19" fillId="0" borderId="0" xfId="0" applyFont="1" applyFill="1" applyBorder="1" applyAlignment="1">
      <alignment vertical="center"/>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船闸清单及编码-20160808" xfId="49"/>
    <cellStyle name="常规_QL1工程量清单（终稿，删航道）" xfId="50"/>
    <cellStyle name="常规_锡澄运河桥梁清单（二次复核，汇总）" xfId="51"/>
    <cellStyle name="常规 2" xfId="52"/>
    <cellStyle name="常规 9 2" xfId="53"/>
    <cellStyle name="常规 9" xfId="5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view="pageBreakPreview" zoomScaleNormal="100" workbookViewId="0">
      <selection activeCell="C5" sqref="C5"/>
    </sheetView>
  </sheetViews>
  <sheetFormatPr defaultColWidth="7.56666666666667" defaultRowHeight="14.25" customHeight="1" outlineLevelRow="7" outlineLevelCol="3"/>
  <cols>
    <col min="1" max="1" width="18.45" style="95" customWidth="1"/>
    <col min="2" max="2" width="12.6666666666667" style="95" customWidth="1"/>
    <col min="3" max="3" width="42.5" style="95" customWidth="1"/>
    <col min="4" max="4" width="16.25" style="95" customWidth="1"/>
    <col min="5" max="16384" width="7.56666666666667" style="95"/>
  </cols>
  <sheetData>
    <row r="1" s="95" customFormat="1" ht="65" customHeight="1" spans="1:4">
      <c r="A1" s="97" t="s">
        <v>0</v>
      </c>
      <c r="B1" s="97"/>
      <c r="C1" s="97"/>
      <c r="D1" s="97"/>
    </row>
    <row r="2" s="95" customFormat="1" ht="67" customHeight="1" spans="1:4">
      <c r="A2" s="97"/>
      <c r="B2" s="97"/>
      <c r="C2" s="97"/>
      <c r="D2" s="97"/>
    </row>
    <row r="3" s="95" customFormat="1" ht="200" customHeight="1"/>
    <row r="4" s="95" customFormat="1" ht="57" customHeight="1" spans="1:4">
      <c r="A4" s="98" t="s">
        <v>1</v>
      </c>
      <c r="B4" s="98"/>
      <c r="C4" s="98"/>
      <c r="D4" s="98"/>
    </row>
    <row r="5" s="95" customFormat="1" ht="250" customHeight="1"/>
    <row r="6" s="96" customFormat="1" ht="41" customHeight="1" spans="1:4">
      <c r="A6" s="99" t="s">
        <v>2</v>
      </c>
      <c r="B6" s="100" t="s">
        <v>3</v>
      </c>
      <c r="C6" s="101"/>
    </row>
    <row r="7" s="96" customFormat="1" ht="41" customHeight="1" spans="1:4">
      <c r="A7" s="102" t="s">
        <v>4</v>
      </c>
      <c r="B7" s="100"/>
      <c r="C7" s="101"/>
      <c r="D7" s="103" t="s">
        <v>5</v>
      </c>
    </row>
    <row r="8" s="96" customFormat="1" ht="41" customHeight="1" spans="1:4">
      <c r="A8" s="102" t="s">
        <v>6</v>
      </c>
      <c r="B8" s="100"/>
      <c r="C8" s="101"/>
    </row>
  </sheetData>
  <mergeCells count="5">
    <mergeCell ref="A4:D4"/>
    <mergeCell ref="B6:C6"/>
    <mergeCell ref="B7:C7"/>
    <mergeCell ref="B8:C8"/>
    <mergeCell ref="A1:D2"/>
  </mergeCells>
  <printOptions horizontalCentered="1"/>
  <pageMargins left="0.700694444444445" right="0.314583333333333" top="0.472222222222222" bottom="0.393055555555556" header="0.594444444444444" footer="0"/>
  <pageSetup paperSize="9" orientation="portrait"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tabSelected="1" view="pageBreakPreview" zoomScaleNormal="100" workbookViewId="0">
      <selection activeCell="E8" sqref="E8"/>
    </sheetView>
  </sheetViews>
  <sheetFormatPr defaultColWidth="7.21666666666667" defaultRowHeight="14.25" outlineLevelCol="1"/>
  <cols>
    <col min="1" max="1" width="31.975" style="65" customWidth="1"/>
    <col min="2" max="2" width="57.6666666666667" style="65" customWidth="1"/>
    <col min="3" max="16384" width="7.21666666666667" style="65"/>
  </cols>
  <sheetData>
    <row r="1" s="65" customFormat="1" ht="40" customHeight="1" spans="1:2">
      <c r="A1" s="85" t="s">
        <v>7</v>
      </c>
      <c r="B1" s="85"/>
    </row>
    <row r="2" s="65" customFormat="1" ht="25" customHeight="1" spans="1:2">
      <c r="A2" s="86" t="s">
        <v>8</v>
      </c>
      <c r="B2" s="86"/>
    </row>
    <row r="3" s="84" customFormat="1" ht="43" customHeight="1" spans="1:2">
      <c r="A3" s="87" t="s">
        <v>9</v>
      </c>
      <c r="B3" s="88"/>
    </row>
    <row r="4" s="84" customFormat="1" ht="43" customHeight="1" spans="1:2">
      <c r="A4" s="89" t="s">
        <v>10</v>
      </c>
      <c r="B4" s="90"/>
    </row>
    <row r="5" s="84" customFormat="1" ht="43" customHeight="1" spans="1:2">
      <c r="A5" s="89" t="s">
        <v>11</v>
      </c>
      <c r="B5" s="90"/>
    </row>
    <row r="6" s="84" customFormat="1" ht="62" customHeight="1" spans="1:2">
      <c r="A6" s="89" t="s">
        <v>12</v>
      </c>
      <c r="B6" s="90"/>
    </row>
    <row r="7" s="84" customFormat="1" ht="62" customHeight="1" spans="1:2">
      <c r="A7" s="89" t="s">
        <v>13</v>
      </c>
      <c r="B7" s="90"/>
    </row>
    <row r="8" s="84" customFormat="1" ht="62" customHeight="1" spans="1:2">
      <c r="A8" s="91" t="s">
        <v>14</v>
      </c>
      <c r="B8" s="92"/>
    </row>
    <row r="9" s="84" customFormat="1" ht="62" customHeight="1" spans="1:2">
      <c r="A9" s="91" t="s">
        <v>15</v>
      </c>
      <c r="B9" s="92"/>
    </row>
    <row r="10" s="84" customFormat="1" ht="36" customHeight="1" spans="1:2">
      <c r="A10" s="93" t="s">
        <v>16</v>
      </c>
      <c r="B10" s="94"/>
    </row>
  </sheetData>
  <sheetProtection algorithmName="SHA-512" hashValue="c/595hLVLrGB/EqBCUh6cfEyTZv0ScSryd3dWcpqkXqHDYY+3xeiPAq2VoMFxkviNvtrUKxRqS+mdRS1j7ajAA==" saltValue="w+LFL9AVdjRGMNH/gTJOuA==" spinCount="100000" sheet="1" formatCells="0" formatColumns="0" formatRows="0" objects="1"/>
  <mergeCells count="10">
    <mergeCell ref="A1:B1"/>
    <mergeCell ref="A2:B2"/>
    <mergeCell ref="A3:B3"/>
    <mergeCell ref="A4:B4"/>
    <mergeCell ref="A5:B5"/>
    <mergeCell ref="A6:B6"/>
    <mergeCell ref="A7:B7"/>
    <mergeCell ref="A8:B8"/>
    <mergeCell ref="A9:B9"/>
    <mergeCell ref="A10:B10"/>
  </mergeCells>
  <printOptions horizontalCentered="1"/>
  <pageMargins left="0.393055555555556" right="0.314583333333333" top="0.472222222222222" bottom="0.393055555555556" header="0.594444444444444" footer="0"/>
  <pageSetup paperSize="9" orientation="portrait"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view="pageBreakPreview" zoomScaleNormal="100" workbookViewId="0">
      <selection activeCell="C14" sqref="C14"/>
    </sheetView>
  </sheetViews>
  <sheetFormatPr defaultColWidth="7.94166666666667" defaultRowHeight="14.25" outlineLevelCol="4"/>
  <cols>
    <col min="1" max="1" width="9.91666666666667" style="65" customWidth="1"/>
    <col min="2" max="2" width="50.65" style="65" customWidth="1"/>
    <col min="3" max="3" width="17.075" style="65" customWidth="1"/>
    <col min="4" max="4" width="13.9166666666667" style="65"/>
    <col min="5" max="5" width="12.8333333333333" style="65"/>
    <col min="6" max="6" width="9.50833333333333" style="65"/>
    <col min="7" max="7" width="11.575" style="65"/>
    <col min="8" max="8" width="8.59166666666667" style="65"/>
    <col min="9" max="16384" width="7.94166666666667" style="65"/>
  </cols>
  <sheetData>
    <row r="1" s="65" customFormat="1" ht="39" customHeight="1" spans="1:5">
      <c r="A1" s="68" t="s">
        <v>17</v>
      </c>
      <c r="B1" s="68"/>
      <c r="C1" s="68"/>
    </row>
    <row r="2" s="65" customFormat="1" ht="27" customHeight="1" spans="1:5">
      <c r="A2" s="69" t="str">
        <f>工程量说明!A2</f>
        <v>项目名称：苏南运河干（支）线数字化转型升级项目施工项目（SZH-SNSG2标段）</v>
      </c>
      <c r="B2" s="70"/>
      <c r="C2" s="70"/>
    </row>
    <row r="3" s="65" customFormat="1" ht="29.5" customHeight="1" spans="1:5">
      <c r="A3" s="71" t="s">
        <v>18</v>
      </c>
      <c r="B3" s="71" t="s">
        <v>19</v>
      </c>
      <c r="C3" s="71" t="s">
        <v>20</v>
      </c>
    </row>
    <row r="4" s="65" customFormat="1" ht="29.5" customHeight="1" spans="1:5">
      <c r="A4" s="72" t="s">
        <v>21</v>
      </c>
      <c r="B4" s="72" t="s">
        <v>22</v>
      </c>
      <c r="C4" s="71">
        <f>SUM(工程量清单!G8:G43)</f>
        <v>0</v>
      </c>
      <c r="E4" s="73"/>
    </row>
    <row r="5" s="65" customFormat="1" ht="32" customHeight="1" spans="1:5">
      <c r="A5" s="72" t="s">
        <v>23</v>
      </c>
      <c r="B5" s="72" t="s">
        <v>24</v>
      </c>
      <c r="C5" s="71">
        <f>SUM(工程量清单!G48:G73)</f>
        <v>0</v>
      </c>
      <c r="E5" s="73"/>
    </row>
    <row r="6" s="65" customFormat="1" ht="32" customHeight="1" spans="1:5">
      <c r="A6" s="72" t="s">
        <v>25</v>
      </c>
      <c r="B6" s="72" t="s">
        <v>26</v>
      </c>
      <c r="C6" s="71">
        <f>SUM(工程量清单!G78:G259)</f>
        <v>0</v>
      </c>
      <c r="E6" s="73"/>
    </row>
    <row r="7" s="65" customFormat="1" ht="32" customHeight="1" spans="1:5">
      <c r="A7" s="72" t="s">
        <v>27</v>
      </c>
      <c r="B7" s="72" t="s">
        <v>28</v>
      </c>
      <c r="C7" s="71">
        <f>SUM(工程量清单!G261:G262)</f>
        <v>0</v>
      </c>
    </row>
    <row r="8" s="65" customFormat="1" ht="32" customHeight="1" spans="1:5">
      <c r="A8" s="72" t="s">
        <v>29</v>
      </c>
      <c r="B8" s="74" t="s">
        <v>30</v>
      </c>
      <c r="C8" s="71">
        <f>ROUND(SUM(C4:C7),0)</f>
        <v>0</v>
      </c>
    </row>
    <row r="9" s="65" customFormat="1" ht="32" customHeight="1" spans="1:5">
      <c r="A9" s="72" t="s">
        <v>31</v>
      </c>
      <c r="B9" s="74" t="s">
        <v>32</v>
      </c>
      <c r="C9" s="71">
        <f>ROUND(C8*3%,0)</f>
        <v>0</v>
      </c>
    </row>
    <row r="10" s="65" customFormat="1" ht="32" customHeight="1" spans="1:5">
      <c r="A10" s="72" t="s">
        <v>33</v>
      </c>
      <c r="B10" s="74" t="s">
        <v>34</v>
      </c>
      <c r="C10" s="71">
        <f>ROUND(12820000*1.5%,0)</f>
        <v>192300</v>
      </c>
    </row>
    <row r="11" s="65" customFormat="1" ht="32" customHeight="1" spans="1:5">
      <c r="A11" s="72" t="s">
        <v>35</v>
      </c>
      <c r="B11" s="74" t="s">
        <v>36</v>
      </c>
      <c r="C11" s="75">
        <f>ROUND(12820000*0.3%,0)</f>
        <v>38460</v>
      </c>
    </row>
    <row r="12" s="65" customFormat="1" ht="32" customHeight="1" spans="1:5">
      <c r="A12" s="74" t="s">
        <v>37</v>
      </c>
      <c r="B12" s="76"/>
      <c r="C12" s="75">
        <f>SUM(C8:C11)</f>
        <v>230760</v>
      </c>
      <c r="D12" s="77"/>
    </row>
    <row r="13" s="65" customFormat="1" ht="20" customHeight="1" spans="1:5">
      <c r="C13" s="78"/>
      <c r="D13" s="65"/>
      <c r="E13" s="79"/>
    </row>
    <row r="14" s="65" customFormat="1" ht="20" customHeight="1" spans="1:5">
      <c r="B14" s="80" t="s">
        <v>38</v>
      </c>
      <c r="C14" s="81" t="s">
        <v>5</v>
      </c>
      <c r="D14" s="82"/>
    </row>
    <row r="15" s="66" customFormat="1" ht="20" customHeight="1" spans="1:5">
      <c r="A15" s="65"/>
      <c r="B15" s="80"/>
      <c r="C15" s="83"/>
    </row>
    <row r="16" s="66" customFormat="1" ht="20" customHeight="1" spans="1:5">
      <c r="A16" s="65"/>
      <c r="B16" s="80" t="s">
        <v>39</v>
      </c>
      <c r="C16" s="81" t="s">
        <v>5</v>
      </c>
    </row>
    <row r="17" s="66" customFormat="1" ht="20" customHeight="1" spans="1:5">
      <c r="A17" s="65"/>
      <c r="B17" s="80"/>
      <c r="C17" s="83"/>
    </row>
    <row r="18" s="66" customFormat="1" ht="20" customHeight="1" spans="1:5">
      <c r="A18" s="65"/>
      <c r="B18" s="80" t="s">
        <v>40</v>
      </c>
      <c r="C18" s="81"/>
    </row>
    <row r="19" s="67" customFormat="1" ht="20" customHeight="1" spans="1:5">
      <c r="A19" s="65"/>
      <c r="B19" s="65"/>
      <c r="C19" s="65"/>
    </row>
    <row r="21" s="65" customFormat="1" spans="1:5">
      <c r="C21" s="78"/>
    </row>
    <row r="22" s="65" customFormat="1" spans="1:5">
      <c r="D22" s="79"/>
      <c r="E22" s="79"/>
    </row>
  </sheetData>
  <sheetProtection algorithmName="SHA-512" hashValue="aT40b2JFVF3pPlzgLKKt3RfXqZ/Z0IuiBcWH1QjMIVBxKrhg1rvlLRiA5CpjT+yRFFEj2ubDMkURCrI7FsuQaQ==" saltValue="Su1fwB1g4sCCcWMWbx02SQ==" spinCount="100000" sheet="1" formatCells="0" formatColumns="0" formatRows="0" objects="1"/>
  <mergeCells count="3">
    <mergeCell ref="A1:C1"/>
    <mergeCell ref="A2:C2"/>
    <mergeCell ref="A12:B12"/>
  </mergeCells>
  <printOptions horizontalCentered="1"/>
  <pageMargins left="0.393055555555556" right="0.314583333333333" top="0.472222222222222" bottom="0.393055555555556" header="0.594444444444444" footer="0"/>
  <pageSetup paperSize="9" orientation="portrait" horizontalDpi="6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TV263"/>
  <sheetViews>
    <sheetView view="pageBreakPreview" zoomScale="130" zoomScaleNormal="100" topLeftCell="A257" workbookViewId="0">
      <selection activeCell="C259" sqref="C259"/>
    </sheetView>
  </sheetViews>
  <sheetFormatPr defaultColWidth="8.25" defaultRowHeight="12"/>
  <cols>
    <col min="1" max="1" width="9" style="7" customWidth="1"/>
    <col min="2" max="2" width="19.5833333333333" style="8" customWidth="1"/>
    <col min="3" max="3" width="60.5" style="9" customWidth="1"/>
    <col min="4" max="4" width="5.83333333333333" style="10" customWidth="1"/>
    <col min="5" max="5" width="6.16666666666667" style="10" customWidth="1"/>
    <col min="6" max="6" width="9.475" style="11" customWidth="1"/>
    <col min="7" max="7" width="9.16666666666667" style="11" customWidth="1"/>
    <col min="8" max="8" width="16.8333333333333" style="12" customWidth="1"/>
    <col min="9" max="9" width="14.6666666666667" style="5" customWidth="1"/>
    <col min="10" max="16384" width="8.25" style="5"/>
  </cols>
  <sheetData>
    <row r="1" s="1" customFormat="1" ht="45" customHeight="1" spans="1:12">
      <c r="A1" s="13" t="s">
        <v>1</v>
      </c>
      <c r="B1" s="13"/>
      <c r="C1" s="14"/>
      <c r="D1" s="13"/>
      <c r="E1" s="13"/>
      <c r="F1" s="13"/>
      <c r="G1" s="13"/>
      <c r="H1" s="13"/>
      <c r="I1" s="15"/>
      <c r="J1" s="15"/>
      <c r="L1" s="15"/>
    </row>
    <row r="2" s="1" customFormat="1" ht="24" customHeight="1" spans="1:12">
      <c r="A2" s="9" t="str">
        <f>工程量说明!A2</f>
        <v>项目名称：苏南运河干（支）线数字化转型升级项目施工项目（SZH-SNSG2标段）</v>
      </c>
      <c r="B2" s="12"/>
      <c r="C2" s="9"/>
      <c r="D2" s="9"/>
      <c r="E2" s="9"/>
      <c r="F2" s="9"/>
      <c r="G2" s="9"/>
      <c r="H2" s="12"/>
      <c r="I2" s="15"/>
      <c r="J2" s="15"/>
      <c r="L2" s="15"/>
    </row>
    <row r="3" s="2" customFormat="1" ht="33" customHeight="1" spans="1:12">
      <c r="A3" s="16" t="s">
        <v>18</v>
      </c>
      <c r="B3" s="16" t="s">
        <v>19</v>
      </c>
      <c r="C3" s="16" t="s">
        <v>41</v>
      </c>
      <c r="D3" s="16" t="s">
        <v>42</v>
      </c>
      <c r="E3" s="16" t="s">
        <v>43</v>
      </c>
      <c r="F3" s="16" t="s">
        <v>44</v>
      </c>
      <c r="G3" s="16" t="s">
        <v>45</v>
      </c>
      <c r="H3" s="16" t="s">
        <v>46</v>
      </c>
      <c r="I3" s="12"/>
      <c r="J3" s="12"/>
      <c r="L3" s="12"/>
    </row>
    <row r="4" s="3" customFormat="1" ht="26" customHeight="1" spans="1:12">
      <c r="A4" s="17" t="s">
        <v>21</v>
      </c>
      <c r="B4" s="16" t="s">
        <v>22</v>
      </c>
      <c r="C4" s="18"/>
      <c r="D4" s="17"/>
      <c r="E4" s="17"/>
      <c r="F4" s="19"/>
      <c r="G4" s="19"/>
      <c r="H4" s="20"/>
    </row>
    <row r="5" s="3" customFormat="1" ht="26" customHeight="1" spans="1:12">
      <c r="A5" s="21">
        <v>1.1</v>
      </c>
      <c r="B5" s="22" t="s">
        <v>47</v>
      </c>
      <c r="C5" s="23"/>
      <c r="D5" s="21"/>
      <c r="E5" s="21"/>
      <c r="F5" s="24"/>
      <c r="G5" s="24"/>
      <c r="H5" s="25"/>
    </row>
    <row r="6" s="4" customFormat="1" ht="26" customHeight="1" spans="1:12">
      <c r="A6" s="21" t="s">
        <v>48</v>
      </c>
      <c r="B6" s="22" t="s">
        <v>49</v>
      </c>
      <c r="C6" s="23"/>
      <c r="D6" s="21"/>
      <c r="E6" s="21"/>
      <c r="F6" s="24"/>
      <c r="G6" s="24"/>
      <c r="H6" s="25"/>
      <c r="I6" s="5"/>
      <c r="J6" s="5"/>
    </row>
    <row r="7" s="4" customFormat="1" ht="30" customHeight="1" spans="1:12">
      <c r="A7" s="26" t="s">
        <v>50</v>
      </c>
      <c r="B7" s="27" t="s">
        <v>51</v>
      </c>
      <c r="C7" s="28"/>
      <c r="D7" s="26"/>
      <c r="E7" s="26"/>
      <c r="F7" s="24"/>
      <c r="G7" s="24"/>
      <c r="H7" s="25"/>
      <c r="I7" s="5"/>
      <c r="J7" s="5"/>
    </row>
    <row r="8" s="4" customFormat="1" ht="30" customHeight="1" spans="1:12">
      <c r="A8" s="21" t="s">
        <v>52</v>
      </c>
      <c r="B8" s="27" t="s">
        <v>53</v>
      </c>
      <c r="C8" s="23" t="s">
        <v>54</v>
      </c>
      <c r="D8" s="26" t="s">
        <v>55</v>
      </c>
      <c r="E8" s="26">
        <v>1</v>
      </c>
      <c r="F8" s="29"/>
      <c r="G8" s="24">
        <f>ROUND(E8*F8,2)</f>
        <v>0</v>
      </c>
      <c r="H8" s="25"/>
      <c r="I8" s="5"/>
      <c r="J8" s="5"/>
    </row>
    <row r="9" s="4" customFormat="1" ht="30" customHeight="1" spans="1:12">
      <c r="A9" s="21" t="s">
        <v>56</v>
      </c>
      <c r="B9" s="27" t="s">
        <v>57</v>
      </c>
      <c r="C9" s="23" t="s">
        <v>54</v>
      </c>
      <c r="D9" s="26" t="s">
        <v>55</v>
      </c>
      <c r="E9" s="26">
        <v>1</v>
      </c>
      <c r="F9" s="29"/>
      <c r="G9" s="24">
        <f t="shared" ref="G9:G72" si="0">ROUND(E9*F9,2)</f>
        <v>0</v>
      </c>
      <c r="H9" s="25"/>
      <c r="I9" s="5"/>
      <c r="J9" s="5"/>
    </row>
    <row r="10" s="4" customFormat="1" ht="30" customHeight="1" spans="1:12">
      <c r="A10" s="26" t="s">
        <v>58</v>
      </c>
      <c r="B10" s="27" t="s">
        <v>59</v>
      </c>
      <c r="C10" s="28"/>
      <c r="D10" s="30"/>
      <c r="E10" s="30"/>
      <c r="F10" s="31"/>
      <c r="G10" s="24"/>
      <c r="H10" s="20"/>
      <c r="I10" s="5"/>
      <c r="J10" s="5"/>
    </row>
    <row r="11" s="4" customFormat="1" ht="30" customHeight="1" spans="1:12">
      <c r="A11" s="21" t="s">
        <v>52</v>
      </c>
      <c r="B11" s="27" t="s">
        <v>60</v>
      </c>
      <c r="C11" s="23" t="s">
        <v>54</v>
      </c>
      <c r="D11" s="26" t="s">
        <v>55</v>
      </c>
      <c r="E11" s="26">
        <v>1</v>
      </c>
      <c r="F11" s="29"/>
      <c r="G11" s="24">
        <f t="shared" si="0"/>
        <v>0</v>
      </c>
      <c r="H11" s="25"/>
      <c r="I11" s="5"/>
      <c r="J11" s="5"/>
    </row>
    <row r="12" s="4" customFormat="1" ht="30" customHeight="1" spans="1:12">
      <c r="A12" s="21" t="s">
        <v>56</v>
      </c>
      <c r="B12" s="27" t="s">
        <v>61</v>
      </c>
      <c r="C12" s="23" t="s">
        <v>54</v>
      </c>
      <c r="D12" s="26" t="s">
        <v>55</v>
      </c>
      <c r="E12" s="26">
        <v>1</v>
      </c>
      <c r="F12" s="29"/>
      <c r="G12" s="24">
        <f t="shared" si="0"/>
        <v>0</v>
      </c>
      <c r="H12" s="25"/>
      <c r="I12" s="5"/>
      <c r="J12" s="5"/>
    </row>
    <row r="13" s="4" customFormat="1" ht="30" customHeight="1" spans="1:12">
      <c r="A13" s="32" t="s">
        <v>62</v>
      </c>
      <c r="B13" s="27" t="s">
        <v>63</v>
      </c>
      <c r="C13" s="23"/>
      <c r="D13" s="30"/>
      <c r="E13" s="30"/>
      <c r="F13" s="31"/>
      <c r="G13" s="24"/>
      <c r="H13" s="20"/>
      <c r="I13" s="5"/>
      <c r="J13" s="5"/>
    </row>
    <row r="14" s="4" customFormat="1" ht="30" customHeight="1" spans="1:12">
      <c r="A14" s="32" t="s">
        <v>52</v>
      </c>
      <c r="B14" s="27" t="s">
        <v>64</v>
      </c>
      <c r="C14" s="23" t="s">
        <v>54</v>
      </c>
      <c r="D14" s="26" t="s">
        <v>55</v>
      </c>
      <c r="E14" s="26">
        <v>1</v>
      </c>
      <c r="F14" s="33"/>
      <c r="G14" s="24">
        <f t="shared" si="0"/>
        <v>0</v>
      </c>
      <c r="H14" s="25"/>
      <c r="I14" s="5"/>
      <c r="J14" s="5"/>
    </row>
    <row r="15" s="4" customFormat="1" ht="30" customHeight="1" spans="1:12">
      <c r="A15" s="32" t="s">
        <v>56</v>
      </c>
      <c r="B15" s="27" t="s">
        <v>65</v>
      </c>
      <c r="C15" s="23" t="s">
        <v>54</v>
      </c>
      <c r="D15" s="26" t="s">
        <v>55</v>
      </c>
      <c r="E15" s="26">
        <v>1</v>
      </c>
      <c r="F15" s="33"/>
      <c r="G15" s="24">
        <f t="shared" si="0"/>
        <v>0</v>
      </c>
      <c r="H15" s="25"/>
      <c r="I15" s="5"/>
      <c r="J15" s="5"/>
    </row>
    <row r="16" s="4" customFormat="1" ht="30" customHeight="1" spans="1:12">
      <c r="A16" s="32" t="s">
        <v>66</v>
      </c>
      <c r="B16" s="27" t="s">
        <v>67</v>
      </c>
      <c r="C16" s="23" t="s">
        <v>54</v>
      </c>
      <c r="D16" s="26" t="s">
        <v>55</v>
      </c>
      <c r="E16" s="26">
        <v>1</v>
      </c>
      <c r="F16" s="33"/>
      <c r="G16" s="24">
        <f t="shared" si="0"/>
        <v>0</v>
      </c>
      <c r="H16" s="25"/>
      <c r="I16" s="5"/>
      <c r="J16" s="5"/>
    </row>
    <row r="17" s="4" customFormat="1" ht="30" customHeight="1" spans="1:10">
      <c r="A17" s="32" t="s">
        <v>68</v>
      </c>
      <c r="B17" s="27" t="s">
        <v>69</v>
      </c>
      <c r="C17" s="23"/>
      <c r="D17" s="30"/>
      <c r="E17" s="30"/>
      <c r="F17" s="34"/>
      <c r="G17" s="24"/>
      <c r="H17" s="20"/>
      <c r="I17" s="5"/>
      <c r="J17" s="5"/>
    </row>
    <row r="18" s="4" customFormat="1" ht="30" customHeight="1" spans="1:10">
      <c r="A18" s="32" t="s">
        <v>52</v>
      </c>
      <c r="B18" s="27" t="s">
        <v>70</v>
      </c>
      <c r="C18" s="23" t="s">
        <v>54</v>
      </c>
      <c r="D18" s="26" t="s">
        <v>55</v>
      </c>
      <c r="E18" s="26">
        <v>1</v>
      </c>
      <c r="F18" s="33"/>
      <c r="G18" s="24">
        <f t="shared" si="0"/>
        <v>0</v>
      </c>
      <c r="H18" s="25"/>
      <c r="I18" s="5"/>
      <c r="J18" s="5"/>
    </row>
    <row r="19" s="4" customFormat="1" ht="30" customHeight="1" spans="1:10">
      <c r="A19" s="32" t="s">
        <v>56</v>
      </c>
      <c r="B19" s="27" t="s">
        <v>71</v>
      </c>
      <c r="C19" s="23" t="s">
        <v>54</v>
      </c>
      <c r="D19" s="26" t="s">
        <v>55</v>
      </c>
      <c r="E19" s="26">
        <v>1</v>
      </c>
      <c r="F19" s="33"/>
      <c r="G19" s="24">
        <f t="shared" si="0"/>
        <v>0</v>
      </c>
      <c r="H19" s="25"/>
      <c r="I19" s="5"/>
      <c r="J19" s="5"/>
    </row>
    <row r="20" s="4" customFormat="1" ht="30" customHeight="1" spans="1:10">
      <c r="A20" s="32" t="s">
        <v>72</v>
      </c>
      <c r="B20" s="27" t="s">
        <v>73</v>
      </c>
      <c r="C20" s="23"/>
      <c r="D20" s="30"/>
      <c r="E20" s="30"/>
      <c r="F20" s="34"/>
      <c r="G20" s="24"/>
      <c r="H20" s="20"/>
      <c r="I20" s="5"/>
      <c r="J20" s="5"/>
    </row>
    <row r="21" s="4" customFormat="1" ht="30" customHeight="1" spans="1:10">
      <c r="A21" s="32" t="s">
        <v>52</v>
      </c>
      <c r="B21" s="27" t="s">
        <v>74</v>
      </c>
      <c r="C21" s="23" t="s">
        <v>54</v>
      </c>
      <c r="D21" s="26" t="s">
        <v>55</v>
      </c>
      <c r="E21" s="26">
        <v>1</v>
      </c>
      <c r="F21" s="33"/>
      <c r="G21" s="24">
        <f t="shared" si="0"/>
        <v>0</v>
      </c>
      <c r="H21" s="25"/>
      <c r="I21" s="5"/>
      <c r="J21" s="5"/>
    </row>
    <row r="22" s="4" customFormat="1" ht="30" customHeight="1" spans="1:10">
      <c r="A22" s="32" t="s">
        <v>56</v>
      </c>
      <c r="B22" s="27" t="s">
        <v>75</v>
      </c>
      <c r="C22" s="23" t="s">
        <v>54</v>
      </c>
      <c r="D22" s="26" t="s">
        <v>55</v>
      </c>
      <c r="E22" s="26">
        <v>1</v>
      </c>
      <c r="F22" s="33"/>
      <c r="G22" s="24">
        <f t="shared" si="0"/>
        <v>0</v>
      </c>
      <c r="H22" s="25"/>
      <c r="I22" s="5"/>
      <c r="J22" s="5"/>
    </row>
    <row r="23" s="4" customFormat="1" ht="30" customHeight="1" spans="1:10">
      <c r="A23" s="32" t="s">
        <v>66</v>
      </c>
      <c r="B23" s="27" t="s">
        <v>76</v>
      </c>
      <c r="C23" s="23" t="s">
        <v>54</v>
      </c>
      <c r="D23" s="26" t="s">
        <v>55</v>
      </c>
      <c r="E23" s="26">
        <v>1</v>
      </c>
      <c r="F23" s="33"/>
      <c r="G23" s="24">
        <f t="shared" si="0"/>
        <v>0</v>
      </c>
      <c r="H23" s="25"/>
      <c r="I23" s="5"/>
      <c r="J23" s="5"/>
    </row>
    <row r="24" s="4" customFormat="1" ht="30" customHeight="1" spans="1:10">
      <c r="A24" s="32" t="s">
        <v>77</v>
      </c>
      <c r="B24" s="27" t="s">
        <v>78</v>
      </c>
      <c r="C24" s="23" t="s">
        <v>54</v>
      </c>
      <c r="D24" s="26" t="s">
        <v>55</v>
      </c>
      <c r="E24" s="26">
        <v>1</v>
      </c>
      <c r="F24" s="33"/>
      <c r="G24" s="24">
        <f t="shared" si="0"/>
        <v>0</v>
      </c>
      <c r="H24" s="25"/>
      <c r="I24" s="5"/>
      <c r="J24" s="5"/>
    </row>
    <row r="25" s="4" customFormat="1" ht="30" customHeight="1" spans="1:10">
      <c r="A25" s="32" t="s">
        <v>79</v>
      </c>
      <c r="B25" s="27" t="s">
        <v>80</v>
      </c>
      <c r="C25" s="23"/>
      <c r="D25" s="30"/>
      <c r="E25" s="30"/>
      <c r="F25" s="31"/>
      <c r="G25" s="24"/>
      <c r="H25" s="20"/>
      <c r="I25" s="5"/>
      <c r="J25" s="5"/>
    </row>
    <row r="26" s="4" customFormat="1" ht="30" customHeight="1" spans="1:10">
      <c r="A26" s="32" t="s">
        <v>52</v>
      </c>
      <c r="B26" s="27" t="s">
        <v>81</v>
      </c>
      <c r="C26" s="23" t="s">
        <v>54</v>
      </c>
      <c r="D26" s="26" t="s">
        <v>55</v>
      </c>
      <c r="E26" s="26">
        <v>1</v>
      </c>
      <c r="F26" s="33"/>
      <c r="G26" s="24">
        <f t="shared" si="0"/>
        <v>0</v>
      </c>
      <c r="H26" s="25"/>
      <c r="I26" s="5"/>
      <c r="J26" s="5"/>
    </row>
    <row r="27" s="4" customFormat="1" ht="36" customHeight="1" spans="1:10">
      <c r="A27" s="32" t="s">
        <v>56</v>
      </c>
      <c r="B27" s="27" t="s">
        <v>82</v>
      </c>
      <c r="C27" s="23" t="s">
        <v>54</v>
      </c>
      <c r="D27" s="26" t="s">
        <v>55</v>
      </c>
      <c r="E27" s="26">
        <v>1</v>
      </c>
      <c r="F27" s="33"/>
      <c r="G27" s="24">
        <f t="shared" si="0"/>
        <v>0</v>
      </c>
      <c r="H27" s="25"/>
      <c r="I27" s="5"/>
      <c r="J27" s="5"/>
    </row>
    <row r="28" s="4" customFormat="1" ht="36" customHeight="1" spans="1:10">
      <c r="A28" s="32" t="s">
        <v>66</v>
      </c>
      <c r="B28" s="27" t="s">
        <v>83</v>
      </c>
      <c r="C28" s="23" t="s">
        <v>54</v>
      </c>
      <c r="D28" s="26" t="s">
        <v>55</v>
      </c>
      <c r="E28" s="26">
        <v>1</v>
      </c>
      <c r="F28" s="33"/>
      <c r="G28" s="24">
        <f t="shared" si="0"/>
        <v>0</v>
      </c>
      <c r="H28" s="25"/>
      <c r="I28" s="5"/>
      <c r="J28" s="5"/>
    </row>
    <row r="29" s="4" customFormat="1" ht="32" customHeight="1" spans="1:10">
      <c r="A29" s="32" t="s">
        <v>77</v>
      </c>
      <c r="B29" s="27" t="s">
        <v>84</v>
      </c>
      <c r="C29" s="23" t="s">
        <v>54</v>
      </c>
      <c r="D29" s="26" t="s">
        <v>55</v>
      </c>
      <c r="E29" s="26">
        <v>1</v>
      </c>
      <c r="F29" s="33"/>
      <c r="G29" s="24">
        <f t="shared" si="0"/>
        <v>0</v>
      </c>
      <c r="H29" s="25"/>
      <c r="I29" s="5"/>
      <c r="J29" s="5"/>
    </row>
    <row r="30" s="4" customFormat="1" ht="37" customHeight="1" spans="1:10">
      <c r="A30" s="32" t="s">
        <v>85</v>
      </c>
      <c r="B30" s="22" t="s">
        <v>86</v>
      </c>
      <c r="C30" s="23" t="s">
        <v>54</v>
      </c>
      <c r="D30" s="26" t="s">
        <v>55</v>
      </c>
      <c r="E30" s="26">
        <v>1</v>
      </c>
      <c r="F30" s="29"/>
      <c r="G30" s="24">
        <f t="shared" si="0"/>
        <v>0</v>
      </c>
      <c r="H30" s="25"/>
      <c r="I30" s="5"/>
      <c r="J30" s="5"/>
    </row>
    <row r="31" s="4" customFormat="1" ht="37" customHeight="1" spans="1:10">
      <c r="A31" s="21" t="s">
        <v>87</v>
      </c>
      <c r="B31" s="22" t="s">
        <v>88</v>
      </c>
      <c r="C31" s="23"/>
      <c r="D31" s="17"/>
      <c r="E31" s="17"/>
      <c r="F31" s="31"/>
      <c r="G31" s="24"/>
      <c r="H31" s="20"/>
      <c r="I31" s="5"/>
      <c r="J31" s="5"/>
    </row>
    <row r="32" s="4" customFormat="1" ht="30" customHeight="1" spans="1:10">
      <c r="A32" s="21" t="s">
        <v>89</v>
      </c>
      <c r="B32" s="22" t="s">
        <v>90</v>
      </c>
      <c r="C32" s="23"/>
      <c r="D32" s="17"/>
      <c r="E32" s="17"/>
      <c r="F32" s="31"/>
      <c r="G32" s="24"/>
      <c r="H32" s="20"/>
      <c r="I32" s="5"/>
      <c r="J32" s="5"/>
    </row>
    <row r="33" s="4" customFormat="1" ht="30" customHeight="1" spans="1:10">
      <c r="A33" s="32" t="s">
        <v>52</v>
      </c>
      <c r="B33" s="22" t="s">
        <v>91</v>
      </c>
      <c r="C33" s="23" t="s">
        <v>92</v>
      </c>
      <c r="D33" s="26" t="s">
        <v>55</v>
      </c>
      <c r="E33" s="21">
        <v>1</v>
      </c>
      <c r="F33" s="29"/>
      <c r="G33" s="24">
        <f t="shared" si="0"/>
        <v>0</v>
      </c>
      <c r="H33" s="25"/>
      <c r="I33" s="5"/>
      <c r="J33" s="5"/>
    </row>
    <row r="34" s="4" customFormat="1" ht="30" customHeight="1" spans="1:10">
      <c r="A34" s="32" t="s">
        <v>56</v>
      </c>
      <c r="B34" s="22" t="s">
        <v>93</v>
      </c>
      <c r="C34" s="23" t="s">
        <v>92</v>
      </c>
      <c r="D34" s="26" t="s">
        <v>55</v>
      </c>
      <c r="E34" s="21">
        <v>1</v>
      </c>
      <c r="F34" s="29"/>
      <c r="G34" s="24">
        <f t="shared" si="0"/>
        <v>0</v>
      </c>
      <c r="H34" s="25"/>
      <c r="I34" s="5"/>
      <c r="J34" s="5"/>
    </row>
    <row r="35" s="4" customFormat="1" ht="30" customHeight="1" spans="1:10">
      <c r="A35" s="32" t="s">
        <v>66</v>
      </c>
      <c r="B35" s="22" t="s">
        <v>80</v>
      </c>
      <c r="C35" s="23" t="s">
        <v>54</v>
      </c>
      <c r="D35" s="26" t="s">
        <v>55</v>
      </c>
      <c r="E35" s="21">
        <v>1</v>
      </c>
      <c r="F35" s="29"/>
      <c r="G35" s="24">
        <f t="shared" si="0"/>
        <v>0</v>
      </c>
      <c r="H35" s="25"/>
      <c r="I35" s="5"/>
      <c r="J35" s="5"/>
    </row>
    <row r="36" s="4" customFormat="1" ht="30" customHeight="1" spans="1:10">
      <c r="A36" s="21" t="s">
        <v>94</v>
      </c>
      <c r="B36" s="22" t="s">
        <v>95</v>
      </c>
      <c r="C36" s="23"/>
      <c r="D36" s="17"/>
      <c r="E36" s="17"/>
      <c r="F36" s="31"/>
      <c r="G36" s="24"/>
      <c r="H36" s="20"/>
      <c r="I36" s="5"/>
      <c r="J36" s="5"/>
    </row>
    <row r="37" s="4" customFormat="1" ht="30" customHeight="1" spans="1:10">
      <c r="A37" s="32" t="s">
        <v>52</v>
      </c>
      <c r="B37" s="22" t="s">
        <v>96</v>
      </c>
      <c r="C37" s="23" t="s">
        <v>54</v>
      </c>
      <c r="D37" s="26" t="s">
        <v>55</v>
      </c>
      <c r="E37" s="26">
        <v>1</v>
      </c>
      <c r="F37" s="29"/>
      <c r="G37" s="24">
        <f t="shared" si="0"/>
        <v>0</v>
      </c>
      <c r="H37" s="25"/>
      <c r="I37" s="5"/>
      <c r="J37" s="5"/>
    </row>
    <row r="38" s="4" customFormat="1" ht="30" customHeight="1" spans="1:10">
      <c r="A38" s="32" t="s">
        <v>56</v>
      </c>
      <c r="B38" s="22" t="s">
        <v>97</v>
      </c>
      <c r="C38" s="23" t="s">
        <v>54</v>
      </c>
      <c r="D38" s="26" t="s">
        <v>55</v>
      </c>
      <c r="E38" s="26">
        <v>1</v>
      </c>
      <c r="F38" s="29"/>
      <c r="G38" s="24">
        <f t="shared" si="0"/>
        <v>0</v>
      </c>
      <c r="H38" s="25"/>
      <c r="I38" s="5"/>
      <c r="J38" s="5"/>
    </row>
    <row r="39" s="4" customFormat="1" ht="30" customHeight="1" spans="1:10">
      <c r="A39" s="32" t="s">
        <v>66</v>
      </c>
      <c r="B39" s="22" t="s">
        <v>98</v>
      </c>
      <c r="C39" s="23" t="s">
        <v>54</v>
      </c>
      <c r="D39" s="26" t="s">
        <v>55</v>
      </c>
      <c r="E39" s="26">
        <v>1</v>
      </c>
      <c r="F39" s="29"/>
      <c r="G39" s="24">
        <f t="shared" si="0"/>
        <v>0</v>
      </c>
      <c r="H39" s="25"/>
      <c r="I39" s="5"/>
      <c r="J39" s="5"/>
    </row>
    <row r="40" s="4" customFormat="1" ht="30" customHeight="1" spans="1:10">
      <c r="A40" s="32" t="s">
        <v>77</v>
      </c>
      <c r="B40" s="22" t="s">
        <v>99</v>
      </c>
      <c r="C40" s="23" t="s">
        <v>54</v>
      </c>
      <c r="D40" s="26" t="s">
        <v>55</v>
      </c>
      <c r="E40" s="26">
        <v>1</v>
      </c>
      <c r="F40" s="29"/>
      <c r="G40" s="24">
        <f t="shared" si="0"/>
        <v>0</v>
      </c>
      <c r="H40" s="25"/>
      <c r="I40" s="5"/>
      <c r="J40" s="5"/>
    </row>
    <row r="41" s="4" customFormat="1" ht="30" customHeight="1" spans="1:10">
      <c r="A41" s="32" t="s">
        <v>85</v>
      </c>
      <c r="B41" s="22" t="s">
        <v>100</v>
      </c>
      <c r="C41" s="23" t="s">
        <v>54</v>
      </c>
      <c r="D41" s="26" t="s">
        <v>55</v>
      </c>
      <c r="E41" s="26">
        <v>1</v>
      </c>
      <c r="F41" s="29"/>
      <c r="G41" s="24">
        <f t="shared" si="0"/>
        <v>0</v>
      </c>
      <c r="H41" s="25"/>
      <c r="I41" s="5"/>
      <c r="J41" s="5"/>
    </row>
    <row r="42" s="4" customFormat="1" ht="30" customHeight="1" spans="1:10">
      <c r="A42" s="32" t="s">
        <v>101</v>
      </c>
      <c r="B42" s="22" t="s">
        <v>102</v>
      </c>
      <c r="C42" s="23" t="s">
        <v>54</v>
      </c>
      <c r="D42" s="26" t="s">
        <v>55</v>
      </c>
      <c r="E42" s="26">
        <v>1</v>
      </c>
      <c r="F42" s="29"/>
      <c r="G42" s="24">
        <f t="shared" si="0"/>
        <v>0</v>
      </c>
      <c r="H42" s="25"/>
      <c r="I42" s="5"/>
      <c r="J42" s="5"/>
    </row>
    <row r="43" s="4" customFormat="1" ht="31" customHeight="1" spans="1:10">
      <c r="A43" s="21" t="s">
        <v>103</v>
      </c>
      <c r="B43" s="22" t="s">
        <v>104</v>
      </c>
      <c r="C43" s="23" t="s">
        <v>54</v>
      </c>
      <c r="D43" s="21" t="s">
        <v>105</v>
      </c>
      <c r="E43" s="21">
        <v>1</v>
      </c>
      <c r="F43" s="29"/>
      <c r="G43" s="24">
        <f t="shared" si="0"/>
        <v>0</v>
      </c>
      <c r="H43" s="20"/>
      <c r="I43" s="5"/>
      <c r="J43" s="5"/>
    </row>
    <row r="44" s="4" customFormat="1" ht="30" customHeight="1" spans="1:10">
      <c r="A44" s="17" t="s">
        <v>23</v>
      </c>
      <c r="B44" s="16" t="s">
        <v>24</v>
      </c>
      <c r="C44" s="18"/>
      <c r="D44" s="17"/>
      <c r="E44" s="17"/>
      <c r="F44" s="31"/>
      <c r="G44" s="24"/>
      <c r="H44" s="20"/>
      <c r="I44" s="5"/>
      <c r="J44" s="5"/>
    </row>
    <row r="45" s="4" customFormat="1" ht="30" customHeight="1" spans="1:10">
      <c r="A45" s="21">
        <v>2.1</v>
      </c>
      <c r="B45" s="22" t="s">
        <v>47</v>
      </c>
      <c r="C45" s="23"/>
      <c r="D45" s="21"/>
      <c r="E45" s="21"/>
      <c r="F45" s="31"/>
      <c r="G45" s="24"/>
      <c r="H45" s="20"/>
      <c r="I45" s="5"/>
      <c r="J45" s="5"/>
    </row>
    <row r="46" s="4" customFormat="1" ht="38" customHeight="1" spans="1:10">
      <c r="A46" s="21" t="s">
        <v>106</v>
      </c>
      <c r="B46" s="22" t="s">
        <v>107</v>
      </c>
      <c r="C46" s="23"/>
      <c r="D46" s="21"/>
      <c r="E46" s="21"/>
      <c r="F46" s="31"/>
      <c r="G46" s="24"/>
      <c r="H46" s="20"/>
      <c r="I46" s="5"/>
      <c r="J46" s="5"/>
    </row>
    <row r="47" s="4" customFormat="1" ht="45" customHeight="1" spans="1:10">
      <c r="A47" s="26" t="s">
        <v>108</v>
      </c>
      <c r="B47" s="27" t="s">
        <v>109</v>
      </c>
      <c r="C47" s="28" t="s">
        <v>110</v>
      </c>
      <c r="D47" s="26"/>
      <c r="E47" s="26"/>
      <c r="F47" s="34"/>
      <c r="G47" s="24"/>
      <c r="H47" s="35"/>
      <c r="I47" s="5"/>
      <c r="J47" s="5"/>
    </row>
    <row r="48" s="4" customFormat="1" ht="47" customHeight="1" spans="1:10">
      <c r="A48" s="26" t="s">
        <v>52</v>
      </c>
      <c r="B48" s="27" t="s">
        <v>111</v>
      </c>
      <c r="C48" s="28" t="s">
        <v>112</v>
      </c>
      <c r="D48" s="27" t="s">
        <v>113</v>
      </c>
      <c r="E48" s="26">
        <v>0.1</v>
      </c>
      <c r="F48" s="33"/>
      <c r="G48" s="24">
        <f t="shared" si="0"/>
        <v>0</v>
      </c>
      <c r="H48" s="36" t="s">
        <v>114</v>
      </c>
      <c r="I48" s="5"/>
      <c r="J48" s="5"/>
    </row>
    <row r="49" s="4" customFormat="1" ht="47" customHeight="1" spans="1:10">
      <c r="A49" s="26" t="s">
        <v>56</v>
      </c>
      <c r="B49" s="27" t="s">
        <v>115</v>
      </c>
      <c r="C49" s="28" t="s">
        <v>116</v>
      </c>
      <c r="D49" s="26" t="s">
        <v>117</v>
      </c>
      <c r="E49" s="26">
        <v>1</v>
      </c>
      <c r="F49" s="33"/>
      <c r="G49" s="24">
        <f t="shared" si="0"/>
        <v>0</v>
      </c>
      <c r="H49" s="25"/>
      <c r="I49" s="5"/>
      <c r="J49" s="5"/>
    </row>
    <row r="50" s="4" customFormat="1" ht="30" customHeight="1" spans="1:10">
      <c r="A50" s="26" t="s">
        <v>66</v>
      </c>
      <c r="B50" s="27" t="s">
        <v>118</v>
      </c>
      <c r="C50" s="28" t="s">
        <v>119</v>
      </c>
      <c r="D50" s="26" t="s">
        <v>55</v>
      </c>
      <c r="E50" s="26">
        <v>1</v>
      </c>
      <c r="F50" s="33"/>
      <c r="G50" s="24">
        <f t="shared" si="0"/>
        <v>0</v>
      </c>
      <c r="H50" s="25"/>
      <c r="I50" s="5"/>
      <c r="J50" s="5"/>
    </row>
    <row r="51" s="4" customFormat="1" ht="30" customHeight="1" spans="1:10">
      <c r="A51" s="26" t="s">
        <v>77</v>
      </c>
      <c r="B51" s="27" t="s">
        <v>120</v>
      </c>
      <c r="C51" s="37"/>
      <c r="D51" s="26" t="s">
        <v>55</v>
      </c>
      <c r="E51" s="26">
        <v>1</v>
      </c>
      <c r="F51" s="33"/>
      <c r="G51" s="24">
        <f t="shared" si="0"/>
        <v>0</v>
      </c>
      <c r="H51" s="35"/>
      <c r="I51" s="5"/>
      <c r="J51" s="5"/>
    </row>
    <row r="52" s="4" customFormat="1" ht="60" customHeight="1" spans="1:10">
      <c r="A52" s="26" t="s">
        <v>121</v>
      </c>
      <c r="B52" s="27" t="s">
        <v>122</v>
      </c>
      <c r="C52" s="28" t="s">
        <v>123</v>
      </c>
      <c r="D52" s="30"/>
      <c r="E52" s="30"/>
      <c r="F52" s="34"/>
      <c r="G52" s="24"/>
      <c r="H52" s="35"/>
      <c r="I52" s="5"/>
      <c r="J52" s="5"/>
    </row>
    <row r="53" s="4" customFormat="1" ht="30" customHeight="1" spans="1:10">
      <c r="A53" s="26" t="s">
        <v>52</v>
      </c>
      <c r="B53" s="27" t="s">
        <v>124</v>
      </c>
      <c r="C53" s="28"/>
      <c r="D53" s="26" t="s">
        <v>55</v>
      </c>
      <c r="E53" s="26">
        <v>1</v>
      </c>
      <c r="F53" s="33"/>
      <c r="G53" s="24">
        <f t="shared" si="0"/>
        <v>0</v>
      </c>
      <c r="H53" s="25"/>
      <c r="I53" s="5"/>
      <c r="J53" s="5"/>
    </row>
    <row r="54" s="4" customFormat="1" ht="30" customHeight="1" spans="1:10">
      <c r="A54" s="26" t="s">
        <v>56</v>
      </c>
      <c r="B54" s="27" t="s">
        <v>125</v>
      </c>
      <c r="C54" s="28"/>
      <c r="D54" s="26" t="s">
        <v>55</v>
      </c>
      <c r="E54" s="26">
        <v>1</v>
      </c>
      <c r="F54" s="33"/>
      <c r="G54" s="24">
        <f t="shared" si="0"/>
        <v>0</v>
      </c>
      <c r="H54" s="25"/>
      <c r="I54" s="5"/>
      <c r="J54" s="5"/>
    </row>
    <row r="55" s="4" customFormat="1" ht="30" customHeight="1" spans="1:10">
      <c r="A55" s="26" t="s">
        <v>66</v>
      </c>
      <c r="B55" s="27" t="s">
        <v>126</v>
      </c>
      <c r="C55" s="28"/>
      <c r="D55" s="26" t="s">
        <v>55</v>
      </c>
      <c r="E55" s="26">
        <v>1</v>
      </c>
      <c r="F55" s="33"/>
      <c r="G55" s="24">
        <f t="shared" si="0"/>
        <v>0</v>
      </c>
      <c r="H55" s="25"/>
      <c r="I55" s="5"/>
      <c r="J55" s="5"/>
    </row>
    <row r="56" s="4" customFormat="1" ht="30" customHeight="1" spans="1:10">
      <c r="A56" s="26" t="s">
        <v>77</v>
      </c>
      <c r="B56" s="27" t="s">
        <v>122</v>
      </c>
      <c r="C56" s="28"/>
      <c r="D56" s="26" t="s">
        <v>55</v>
      </c>
      <c r="E56" s="26">
        <v>1</v>
      </c>
      <c r="F56" s="33"/>
      <c r="G56" s="24">
        <f t="shared" si="0"/>
        <v>0</v>
      </c>
      <c r="H56" s="25"/>
      <c r="I56" s="5"/>
      <c r="J56" s="5"/>
    </row>
    <row r="57" s="4" customFormat="1" ht="30" customHeight="1" spans="1:10">
      <c r="A57" s="21" t="s">
        <v>127</v>
      </c>
      <c r="B57" s="22" t="s">
        <v>128</v>
      </c>
      <c r="C57" s="23"/>
      <c r="D57" s="17"/>
      <c r="E57" s="17"/>
      <c r="F57" s="31"/>
      <c r="G57" s="24"/>
      <c r="H57" s="20"/>
      <c r="I57" s="5"/>
      <c r="J57" s="5"/>
    </row>
    <row r="58" s="4" customFormat="1" ht="30" customHeight="1" spans="1:10">
      <c r="A58" s="21" t="s">
        <v>129</v>
      </c>
      <c r="B58" s="22" t="s">
        <v>130</v>
      </c>
      <c r="C58" s="23" t="s">
        <v>131</v>
      </c>
      <c r="D58" s="30"/>
      <c r="E58" s="17"/>
      <c r="F58" s="31"/>
      <c r="G58" s="24"/>
      <c r="H58" s="20"/>
      <c r="I58" s="5"/>
      <c r="J58" s="5"/>
    </row>
    <row r="59" s="4" customFormat="1" ht="67" customHeight="1" spans="1:10">
      <c r="A59" s="32" t="s">
        <v>52</v>
      </c>
      <c r="B59" s="22" t="s">
        <v>111</v>
      </c>
      <c r="C59" s="28" t="s">
        <v>112</v>
      </c>
      <c r="D59" s="27" t="s">
        <v>113</v>
      </c>
      <c r="E59" s="21">
        <v>5.04</v>
      </c>
      <c r="F59" s="29"/>
      <c r="G59" s="24">
        <f t="shared" si="0"/>
        <v>0</v>
      </c>
      <c r="H59" s="25" t="s">
        <v>132</v>
      </c>
      <c r="I59" s="5"/>
      <c r="J59" s="5"/>
    </row>
    <row r="60" s="4" customFormat="1" ht="38" customHeight="1" spans="1:10">
      <c r="A60" s="32" t="s">
        <v>56</v>
      </c>
      <c r="B60" s="22" t="s">
        <v>133</v>
      </c>
      <c r="C60" s="23" t="s">
        <v>134</v>
      </c>
      <c r="D60" s="26" t="s">
        <v>135</v>
      </c>
      <c r="E60" s="21">
        <v>25.2</v>
      </c>
      <c r="F60" s="29"/>
      <c r="G60" s="24">
        <f t="shared" si="0"/>
        <v>0</v>
      </c>
      <c r="H60" s="25" t="s">
        <v>136</v>
      </c>
      <c r="I60" s="5"/>
      <c r="J60" s="5"/>
    </row>
    <row r="61" s="4" customFormat="1" ht="30" customHeight="1" spans="1:10">
      <c r="A61" s="32" t="s">
        <v>66</v>
      </c>
      <c r="B61" s="22" t="s">
        <v>137</v>
      </c>
      <c r="C61" s="23" t="s">
        <v>138</v>
      </c>
      <c r="D61" s="26" t="s">
        <v>139</v>
      </c>
      <c r="E61" s="21">
        <v>13</v>
      </c>
      <c r="F61" s="29"/>
      <c r="G61" s="24">
        <f t="shared" si="0"/>
        <v>0</v>
      </c>
      <c r="H61" s="25" t="s">
        <v>140</v>
      </c>
      <c r="I61" s="5"/>
      <c r="J61" s="5"/>
    </row>
    <row r="62" s="4" customFormat="1" ht="30" customHeight="1" spans="1:10">
      <c r="A62" s="32" t="s">
        <v>77</v>
      </c>
      <c r="B62" s="22" t="s">
        <v>141</v>
      </c>
      <c r="C62" s="23"/>
      <c r="D62" s="26" t="s">
        <v>117</v>
      </c>
      <c r="E62" s="21">
        <v>2</v>
      </c>
      <c r="F62" s="29"/>
      <c r="G62" s="24">
        <f t="shared" si="0"/>
        <v>0</v>
      </c>
      <c r="H62" s="25" t="s">
        <v>142</v>
      </c>
      <c r="I62" s="5"/>
      <c r="J62" s="5"/>
    </row>
    <row r="63" s="4" customFormat="1" ht="47" customHeight="1" spans="1:10">
      <c r="A63" s="32" t="s">
        <v>85</v>
      </c>
      <c r="B63" s="22" t="s">
        <v>143</v>
      </c>
      <c r="C63" s="23" t="s">
        <v>144</v>
      </c>
      <c r="D63" s="26" t="s">
        <v>135</v>
      </c>
      <c r="E63" s="21">
        <v>18</v>
      </c>
      <c r="F63" s="29"/>
      <c r="G63" s="24">
        <f t="shared" si="0"/>
        <v>0</v>
      </c>
      <c r="H63" s="25"/>
      <c r="I63" s="5"/>
      <c r="J63" s="5"/>
    </row>
    <row r="64" s="4" customFormat="1" ht="58" customHeight="1" spans="1:10">
      <c r="A64" s="21" t="s">
        <v>145</v>
      </c>
      <c r="B64" s="22" t="s">
        <v>122</v>
      </c>
      <c r="C64" s="23" t="s">
        <v>123</v>
      </c>
      <c r="D64" s="30"/>
      <c r="E64" s="17"/>
      <c r="F64" s="31"/>
      <c r="G64" s="24"/>
      <c r="H64" s="20"/>
      <c r="I64" s="5"/>
      <c r="J64" s="5"/>
    </row>
    <row r="65" s="4" customFormat="1" ht="30" customHeight="1" spans="1:10">
      <c r="A65" s="32" t="s">
        <v>52</v>
      </c>
      <c r="B65" s="22" t="s">
        <v>124</v>
      </c>
      <c r="C65" s="23"/>
      <c r="D65" s="26" t="s">
        <v>55</v>
      </c>
      <c r="E65" s="26">
        <v>1</v>
      </c>
      <c r="F65" s="33"/>
      <c r="G65" s="24">
        <f t="shared" si="0"/>
        <v>0</v>
      </c>
      <c r="H65" s="25"/>
      <c r="I65" s="5"/>
      <c r="J65" s="5"/>
    </row>
    <row r="66" s="4" customFormat="1" ht="30" customHeight="1" spans="1:10">
      <c r="A66" s="32" t="s">
        <v>56</v>
      </c>
      <c r="B66" s="22" t="s">
        <v>125</v>
      </c>
      <c r="C66" s="23"/>
      <c r="D66" s="26" t="s">
        <v>55</v>
      </c>
      <c r="E66" s="21">
        <v>1</v>
      </c>
      <c r="F66" s="33"/>
      <c r="G66" s="24">
        <f t="shared" si="0"/>
        <v>0</v>
      </c>
      <c r="H66" s="25"/>
      <c r="I66" s="5"/>
      <c r="J66" s="5"/>
    </row>
    <row r="67" s="4" customFormat="1" ht="30" customHeight="1" spans="1:10">
      <c r="A67" s="32" t="s">
        <v>66</v>
      </c>
      <c r="B67" s="22" t="s">
        <v>126</v>
      </c>
      <c r="C67" s="23"/>
      <c r="D67" s="26" t="s">
        <v>55</v>
      </c>
      <c r="E67" s="26">
        <v>1</v>
      </c>
      <c r="F67" s="33"/>
      <c r="G67" s="24">
        <f t="shared" si="0"/>
        <v>0</v>
      </c>
      <c r="H67" s="25"/>
      <c r="I67" s="5"/>
      <c r="J67" s="5"/>
    </row>
    <row r="68" s="4" customFormat="1" ht="30" customHeight="1" spans="1:10">
      <c r="A68" s="32" t="s">
        <v>77</v>
      </c>
      <c r="B68" s="22" t="s">
        <v>122</v>
      </c>
      <c r="C68" s="23"/>
      <c r="D68" s="26" t="s">
        <v>55</v>
      </c>
      <c r="E68" s="21">
        <v>1</v>
      </c>
      <c r="F68" s="33"/>
      <c r="G68" s="24">
        <f t="shared" si="0"/>
        <v>0</v>
      </c>
      <c r="H68" s="25"/>
      <c r="I68" s="5"/>
      <c r="J68" s="5"/>
    </row>
    <row r="69" s="4" customFormat="1" ht="30" customHeight="1" spans="1:10">
      <c r="A69" s="21" t="s">
        <v>146</v>
      </c>
      <c r="B69" s="22" t="s">
        <v>147</v>
      </c>
      <c r="C69" s="23"/>
      <c r="D69" s="21" t="s">
        <v>55</v>
      </c>
      <c r="E69" s="21">
        <v>1</v>
      </c>
      <c r="F69" s="29"/>
      <c r="G69" s="24">
        <f t="shared" si="0"/>
        <v>0</v>
      </c>
      <c r="H69" s="16"/>
      <c r="I69" s="5"/>
      <c r="J69" s="5"/>
    </row>
    <row r="70" s="4" customFormat="1" ht="30" customHeight="1" spans="1:10">
      <c r="A70" s="21">
        <v>2.2</v>
      </c>
      <c r="B70" s="22" t="s">
        <v>148</v>
      </c>
      <c r="C70" s="23"/>
      <c r="D70" s="21"/>
      <c r="E70" s="21"/>
      <c r="F70" s="29"/>
      <c r="G70" s="24"/>
      <c r="H70" s="16"/>
      <c r="I70" s="5"/>
      <c r="J70" s="5"/>
    </row>
    <row r="71" s="4" customFormat="1" ht="30" customHeight="1" spans="1:10">
      <c r="A71" s="21" t="s">
        <v>149</v>
      </c>
      <c r="B71" s="22" t="s">
        <v>147</v>
      </c>
      <c r="C71" s="23"/>
      <c r="D71" s="21" t="s">
        <v>55</v>
      </c>
      <c r="E71" s="21">
        <v>1</v>
      </c>
      <c r="F71" s="29"/>
      <c r="G71" s="24">
        <f t="shared" si="0"/>
        <v>0</v>
      </c>
      <c r="H71" s="16"/>
      <c r="I71" s="5"/>
      <c r="J71" s="5"/>
    </row>
    <row r="72" s="4" customFormat="1" ht="30" customHeight="1" spans="1:10">
      <c r="A72" s="21">
        <v>2.3</v>
      </c>
      <c r="B72" s="22" t="s">
        <v>150</v>
      </c>
      <c r="C72" s="23"/>
      <c r="D72" s="21"/>
      <c r="E72" s="21"/>
      <c r="F72" s="29"/>
      <c r="G72" s="24"/>
      <c r="H72" s="16"/>
      <c r="I72" s="5"/>
      <c r="J72" s="5"/>
    </row>
    <row r="73" s="4" customFormat="1" ht="30" customHeight="1" spans="1:10">
      <c r="A73" s="21" t="s">
        <v>151</v>
      </c>
      <c r="B73" s="22" t="s">
        <v>147</v>
      </c>
      <c r="C73" s="23"/>
      <c r="D73" s="21" t="s">
        <v>55</v>
      </c>
      <c r="E73" s="21">
        <v>1</v>
      </c>
      <c r="F73" s="29"/>
      <c r="G73" s="24">
        <f t="shared" ref="G73:G136" si="1">ROUND(E73*F73,2)</f>
        <v>0</v>
      </c>
      <c r="H73" s="16"/>
      <c r="I73" s="5"/>
      <c r="J73" s="5"/>
    </row>
    <row r="74" s="4" customFormat="1" ht="30" customHeight="1" spans="1:10">
      <c r="A74" s="17" t="s">
        <v>25</v>
      </c>
      <c r="B74" s="16" t="s">
        <v>152</v>
      </c>
      <c r="C74" s="23"/>
      <c r="D74" s="17"/>
      <c r="E74" s="17"/>
      <c r="F74" s="31"/>
      <c r="G74" s="24"/>
      <c r="H74" s="20"/>
      <c r="I74" s="5"/>
      <c r="J74" s="5"/>
    </row>
    <row r="75" s="4" customFormat="1" ht="30" customHeight="1" spans="1:10">
      <c r="A75" s="21">
        <v>3.1</v>
      </c>
      <c r="B75" s="22" t="s">
        <v>47</v>
      </c>
      <c r="C75" s="23"/>
      <c r="D75" s="17"/>
      <c r="E75" s="17"/>
      <c r="F75" s="31"/>
      <c r="G75" s="24"/>
      <c r="H75" s="20"/>
      <c r="I75" s="5"/>
      <c r="J75" s="5"/>
    </row>
    <row r="76" s="4" customFormat="1" ht="30" customHeight="1" spans="1:10">
      <c r="A76" s="21" t="s">
        <v>153</v>
      </c>
      <c r="B76" s="22" t="s">
        <v>154</v>
      </c>
      <c r="C76" s="23"/>
      <c r="D76" s="17"/>
      <c r="E76" s="17"/>
      <c r="F76" s="31"/>
      <c r="G76" s="24"/>
      <c r="H76" s="20"/>
      <c r="I76" s="5"/>
      <c r="J76" s="5"/>
    </row>
    <row r="77" s="4" customFormat="1" ht="30" customHeight="1" spans="1:10">
      <c r="A77" s="21" t="s">
        <v>155</v>
      </c>
      <c r="B77" s="22" t="s">
        <v>156</v>
      </c>
      <c r="C77" s="23"/>
      <c r="D77" s="17"/>
      <c r="E77" s="17"/>
      <c r="F77" s="31"/>
      <c r="G77" s="24"/>
      <c r="H77" s="20"/>
      <c r="I77" s="5"/>
      <c r="J77" s="5"/>
    </row>
    <row r="78" s="4" customFormat="1" ht="314" customHeight="1" spans="1:10">
      <c r="A78" s="38" t="s">
        <v>52</v>
      </c>
      <c r="B78" s="39" t="s">
        <v>157</v>
      </c>
      <c r="C78" s="40" t="s">
        <v>158</v>
      </c>
      <c r="D78" s="41" t="s">
        <v>159</v>
      </c>
      <c r="E78" s="41">
        <v>2</v>
      </c>
      <c r="F78" s="29"/>
      <c r="G78" s="24">
        <f t="shared" si="1"/>
        <v>0</v>
      </c>
      <c r="H78" s="25"/>
      <c r="I78" s="5"/>
      <c r="J78" s="5"/>
    </row>
    <row r="79" s="4" customFormat="1" ht="344" customHeight="1" spans="1:10">
      <c r="A79" s="38" t="s">
        <v>56</v>
      </c>
      <c r="B79" s="39" t="s">
        <v>160</v>
      </c>
      <c r="C79" s="40" t="s">
        <v>161</v>
      </c>
      <c r="D79" s="41" t="s">
        <v>159</v>
      </c>
      <c r="E79" s="41">
        <v>4</v>
      </c>
      <c r="F79" s="29"/>
      <c r="G79" s="24">
        <f t="shared" si="1"/>
        <v>0</v>
      </c>
      <c r="H79" s="25"/>
      <c r="I79" s="5"/>
      <c r="J79" s="5"/>
    </row>
    <row r="80" s="4" customFormat="1" ht="90" customHeight="1" spans="1:10">
      <c r="A80" s="38" t="s">
        <v>66</v>
      </c>
      <c r="B80" s="22" t="s">
        <v>162</v>
      </c>
      <c r="C80" s="40" t="s">
        <v>163</v>
      </c>
      <c r="D80" s="21" t="s">
        <v>159</v>
      </c>
      <c r="E80" s="21">
        <v>1</v>
      </c>
      <c r="F80" s="29"/>
      <c r="G80" s="24">
        <f t="shared" si="1"/>
        <v>0</v>
      </c>
      <c r="H80" s="25"/>
      <c r="I80" s="5"/>
      <c r="J80" s="5"/>
    </row>
    <row r="81" s="4" customFormat="1" ht="265" customHeight="1" spans="1:10">
      <c r="A81" s="38" t="s">
        <v>77</v>
      </c>
      <c r="B81" s="22" t="s">
        <v>164</v>
      </c>
      <c r="C81" s="40" t="s">
        <v>165</v>
      </c>
      <c r="D81" s="21" t="s">
        <v>159</v>
      </c>
      <c r="E81" s="21">
        <v>4</v>
      </c>
      <c r="F81" s="29"/>
      <c r="G81" s="24">
        <f t="shared" si="1"/>
        <v>0</v>
      </c>
      <c r="H81" s="25"/>
      <c r="I81" s="5"/>
      <c r="J81" s="5"/>
    </row>
    <row r="82" s="4" customFormat="1" ht="169" customHeight="1" spans="1:10">
      <c r="A82" s="38" t="s">
        <v>85</v>
      </c>
      <c r="B82" s="22" t="s">
        <v>166</v>
      </c>
      <c r="C82" s="40" t="s">
        <v>167</v>
      </c>
      <c r="D82" s="21" t="s">
        <v>159</v>
      </c>
      <c r="E82" s="21">
        <v>1</v>
      </c>
      <c r="F82" s="29"/>
      <c r="G82" s="24">
        <f t="shared" si="1"/>
        <v>0</v>
      </c>
      <c r="H82" s="25"/>
      <c r="I82" s="5"/>
      <c r="J82" s="5"/>
    </row>
    <row r="83" s="4" customFormat="1" ht="183" customHeight="1" spans="1:10">
      <c r="A83" s="38" t="s">
        <v>101</v>
      </c>
      <c r="B83" s="22" t="s">
        <v>168</v>
      </c>
      <c r="C83" s="23" t="s">
        <v>169</v>
      </c>
      <c r="D83" s="21" t="s">
        <v>159</v>
      </c>
      <c r="E83" s="21">
        <v>4</v>
      </c>
      <c r="F83" s="29"/>
      <c r="G83" s="24">
        <f t="shared" si="1"/>
        <v>0</v>
      </c>
      <c r="H83" s="25"/>
      <c r="I83" s="5"/>
      <c r="J83" s="5"/>
    </row>
    <row r="84" s="4" customFormat="1" ht="137" customHeight="1" spans="1:10">
      <c r="A84" s="38" t="s">
        <v>170</v>
      </c>
      <c r="B84" s="22" t="s">
        <v>171</v>
      </c>
      <c r="C84" s="23" t="s">
        <v>172</v>
      </c>
      <c r="D84" s="21" t="s">
        <v>159</v>
      </c>
      <c r="E84" s="41">
        <v>8</v>
      </c>
      <c r="F84" s="29"/>
      <c r="G84" s="24">
        <f t="shared" si="1"/>
        <v>0</v>
      </c>
      <c r="H84" s="25"/>
      <c r="I84" s="5"/>
      <c r="J84" s="5"/>
    </row>
    <row r="85" s="4" customFormat="1" ht="341" customHeight="1" spans="1:10">
      <c r="A85" s="38" t="s">
        <v>173</v>
      </c>
      <c r="B85" s="39" t="s">
        <v>174</v>
      </c>
      <c r="C85" s="40" t="s">
        <v>175</v>
      </c>
      <c r="D85" s="24" t="s">
        <v>105</v>
      </c>
      <c r="E85" s="41">
        <v>4</v>
      </c>
      <c r="F85" s="33"/>
      <c r="G85" s="24">
        <f t="shared" si="1"/>
        <v>0</v>
      </c>
      <c r="H85" s="25"/>
      <c r="I85" s="5"/>
      <c r="J85" s="5"/>
    </row>
    <row r="86" s="3" customFormat="1" ht="30" customHeight="1" spans="1:10">
      <c r="A86" s="38" t="s">
        <v>176</v>
      </c>
      <c r="B86" s="22" t="s">
        <v>177</v>
      </c>
      <c r="C86" s="23" t="s">
        <v>178</v>
      </c>
      <c r="D86" s="21" t="s">
        <v>105</v>
      </c>
      <c r="E86" s="21">
        <v>4</v>
      </c>
      <c r="F86" s="29"/>
      <c r="G86" s="24">
        <f t="shared" si="1"/>
        <v>0</v>
      </c>
      <c r="H86" s="25"/>
    </row>
    <row r="87" s="3" customFormat="1" ht="30" customHeight="1" spans="1:10">
      <c r="A87" s="38" t="s">
        <v>179</v>
      </c>
      <c r="B87" s="22" t="s">
        <v>180</v>
      </c>
      <c r="C87" s="23" t="s">
        <v>181</v>
      </c>
      <c r="D87" s="21" t="s">
        <v>55</v>
      </c>
      <c r="E87" s="21">
        <v>1</v>
      </c>
      <c r="F87" s="29"/>
      <c r="G87" s="24">
        <f t="shared" si="1"/>
        <v>0</v>
      </c>
      <c r="H87" s="20"/>
    </row>
    <row r="88" s="3" customFormat="1" ht="30" customHeight="1" spans="1:10">
      <c r="A88" s="21" t="s">
        <v>182</v>
      </c>
      <c r="B88" s="22" t="s">
        <v>183</v>
      </c>
      <c r="C88" s="23"/>
      <c r="D88" s="17"/>
      <c r="E88" s="17"/>
      <c r="F88" s="31"/>
      <c r="G88" s="24"/>
      <c r="H88" s="20"/>
    </row>
    <row r="89" s="3" customFormat="1" ht="30" customHeight="1" spans="1:10">
      <c r="A89" s="38" t="s">
        <v>184</v>
      </c>
      <c r="B89" s="22" t="s">
        <v>185</v>
      </c>
      <c r="C89" s="28"/>
      <c r="D89" s="17"/>
      <c r="E89" s="17"/>
      <c r="F89" s="29"/>
      <c r="G89" s="24"/>
      <c r="H89" s="25"/>
    </row>
    <row r="90" s="3" customFormat="1" ht="312" customHeight="1" spans="1:10">
      <c r="A90" s="38" t="s">
        <v>52</v>
      </c>
      <c r="B90" s="39" t="s">
        <v>157</v>
      </c>
      <c r="C90" s="40" t="s">
        <v>186</v>
      </c>
      <c r="D90" s="21" t="s">
        <v>159</v>
      </c>
      <c r="E90" s="21">
        <v>2</v>
      </c>
      <c r="F90" s="29"/>
      <c r="G90" s="24">
        <f t="shared" si="1"/>
        <v>0</v>
      </c>
      <c r="H90" s="25"/>
    </row>
    <row r="91" s="3" customFormat="1" ht="261" customHeight="1" spans="1:10">
      <c r="A91" s="38" t="s">
        <v>56</v>
      </c>
      <c r="B91" s="39" t="s">
        <v>187</v>
      </c>
      <c r="C91" s="40" t="s">
        <v>188</v>
      </c>
      <c r="D91" s="41" t="s">
        <v>159</v>
      </c>
      <c r="E91" s="41">
        <v>2</v>
      </c>
      <c r="F91" s="33"/>
      <c r="G91" s="24">
        <f t="shared" si="1"/>
        <v>0</v>
      </c>
      <c r="H91" s="25"/>
    </row>
    <row r="92" s="3" customFormat="1" ht="169" customHeight="1" spans="1:10">
      <c r="A92" s="38" t="s">
        <v>66</v>
      </c>
      <c r="B92" s="39" t="s">
        <v>189</v>
      </c>
      <c r="C92" s="28" t="s">
        <v>190</v>
      </c>
      <c r="D92" s="26" t="s">
        <v>105</v>
      </c>
      <c r="E92" s="21">
        <v>4</v>
      </c>
      <c r="F92" s="29"/>
      <c r="G92" s="24">
        <f t="shared" si="1"/>
        <v>0</v>
      </c>
      <c r="H92" s="25"/>
    </row>
    <row r="93" s="3" customFormat="1" ht="37" customHeight="1" spans="1:10">
      <c r="A93" s="38" t="s">
        <v>77</v>
      </c>
      <c r="B93" s="39" t="s">
        <v>191</v>
      </c>
      <c r="C93" s="40" t="s">
        <v>192</v>
      </c>
      <c r="D93" s="41" t="s">
        <v>193</v>
      </c>
      <c r="E93" s="21">
        <v>4</v>
      </c>
      <c r="F93" s="29"/>
      <c r="G93" s="24">
        <f t="shared" si="1"/>
        <v>0</v>
      </c>
      <c r="H93" s="25"/>
    </row>
    <row r="94" s="3" customFormat="1" ht="170" customHeight="1" spans="1:10">
      <c r="A94" s="38" t="s">
        <v>85</v>
      </c>
      <c r="B94" s="39" t="s">
        <v>194</v>
      </c>
      <c r="C94" s="40" t="s">
        <v>195</v>
      </c>
      <c r="D94" s="41" t="s">
        <v>105</v>
      </c>
      <c r="E94" s="41">
        <v>2</v>
      </c>
      <c r="F94" s="33"/>
      <c r="G94" s="24">
        <f t="shared" si="1"/>
        <v>0</v>
      </c>
      <c r="H94" s="25"/>
    </row>
    <row r="95" s="3" customFormat="1" ht="38" customHeight="1" spans="1:10">
      <c r="A95" s="38" t="s">
        <v>101</v>
      </c>
      <c r="B95" s="22" t="s">
        <v>180</v>
      </c>
      <c r="C95" s="23" t="s">
        <v>181</v>
      </c>
      <c r="D95" s="41" t="s">
        <v>55</v>
      </c>
      <c r="E95" s="41">
        <v>1</v>
      </c>
      <c r="F95" s="33"/>
      <c r="G95" s="24">
        <f t="shared" si="1"/>
        <v>0</v>
      </c>
      <c r="H95" s="25"/>
    </row>
    <row r="96" s="3" customFormat="1" ht="38" customHeight="1" spans="1:10">
      <c r="A96" s="38" t="s">
        <v>196</v>
      </c>
      <c r="B96" s="22" t="s">
        <v>197</v>
      </c>
      <c r="C96" s="23"/>
      <c r="D96" s="17"/>
      <c r="E96" s="17"/>
      <c r="F96" s="29"/>
      <c r="G96" s="24"/>
      <c r="H96" s="25"/>
    </row>
    <row r="97" s="3" customFormat="1" ht="323" customHeight="1" spans="1:8">
      <c r="A97" s="38" t="s">
        <v>52</v>
      </c>
      <c r="B97" s="39" t="s">
        <v>198</v>
      </c>
      <c r="C97" s="23" t="s">
        <v>199</v>
      </c>
      <c r="D97" s="21" t="s">
        <v>159</v>
      </c>
      <c r="E97" s="21">
        <v>4</v>
      </c>
      <c r="F97" s="29"/>
      <c r="G97" s="24">
        <f t="shared" si="1"/>
        <v>0</v>
      </c>
      <c r="H97" s="25"/>
    </row>
    <row r="98" s="3" customFormat="1" ht="173" customHeight="1" spans="1:8">
      <c r="A98" s="38" t="s">
        <v>56</v>
      </c>
      <c r="B98" s="39" t="s">
        <v>200</v>
      </c>
      <c r="C98" s="40" t="s">
        <v>167</v>
      </c>
      <c r="D98" s="21" t="s">
        <v>105</v>
      </c>
      <c r="E98" s="21">
        <v>1</v>
      </c>
      <c r="F98" s="29"/>
      <c r="G98" s="24">
        <f t="shared" si="1"/>
        <v>0</v>
      </c>
      <c r="H98" s="25"/>
    </row>
    <row r="99" s="3" customFormat="1" ht="36" customHeight="1" spans="1:8">
      <c r="A99" s="38" t="s">
        <v>66</v>
      </c>
      <c r="B99" s="22" t="s">
        <v>201</v>
      </c>
      <c r="C99" s="23" t="s">
        <v>202</v>
      </c>
      <c r="D99" s="21" t="s">
        <v>105</v>
      </c>
      <c r="E99" s="21">
        <v>2</v>
      </c>
      <c r="F99" s="29"/>
      <c r="G99" s="24">
        <f t="shared" si="1"/>
        <v>0</v>
      </c>
      <c r="H99" s="25"/>
    </row>
    <row r="100" s="3" customFormat="1" ht="36" customHeight="1" spans="1:8">
      <c r="A100" s="38" t="s">
        <v>77</v>
      </c>
      <c r="B100" s="22" t="s">
        <v>180</v>
      </c>
      <c r="C100" s="23" t="s">
        <v>181</v>
      </c>
      <c r="D100" s="21" t="s">
        <v>55</v>
      </c>
      <c r="E100" s="21">
        <v>1</v>
      </c>
      <c r="F100" s="29"/>
      <c r="G100" s="24">
        <f t="shared" si="1"/>
        <v>0</v>
      </c>
      <c r="H100" s="20"/>
    </row>
    <row r="101" s="3" customFormat="1" ht="36" customHeight="1" spans="1:8">
      <c r="A101" s="21" t="s">
        <v>203</v>
      </c>
      <c r="B101" s="22" t="s">
        <v>204</v>
      </c>
      <c r="C101" s="23"/>
      <c r="D101" s="17"/>
      <c r="E101" s="17"/>
      <c r="F101" s="29"/>
      <c r="G101" s="24"/>
      <c r="H101" s="20"/>
    </row>
    <row r="102" s="3" customFormat="1" ht="36" customHeight="1" spans="1:8">
      <c r="A102" s="26" t="s">
        <v>205</v>
      </c>
      <c r="B102" s="27" t="s">
        <v>206</v>
      </c>
      <c r="C102" s="28"/>
      <c r="D102" s="17"/>
      <c r="E102" s="30"/>
      <c r="F102" s="29"/>
      <c r="G102" s="24"/>
      <c r="H102" s="25"/>
    </row>
    <row r="103" s="3" customFormat="1" ht="268" customHeight="1" spans="1:8">
      <c r="A103" s="38" t="s">
        <v>52</v>
      </c>
      <c r="B103" s="22" t="s">
        <v>207</v>
      </c>
      <c r="C103" s="28" t="s">
        <v>208</v>
      </c>
      <c r="D103" s="21" t="s">
        <v>159</v>
      </c>
      <c r="E103" s="21">
        <v>10</v>
      </c>
      <c r="F103" s="29"/>
      <c r="G103" s="24">
        <f t="shared" si="1"/>
        <v>0</v>
      </c>
      <c r="H103" s="25"/>
    </row>
    <row r="104" s="3" customFormat="1" ht="179" customHeight="1" spans="1:8">
      <c r="A104" s="38" t="s">
        <v>56</v>
      </c>
      <c r="B104" s="22" t="s">
        <v>209</v>
      </c>
      <c r="C104" s="23" t="s">
        <v>210</v>
      </c>
      <c r="D104" s="21" t="s">
        <v>159</v>
      </c>
      <c r="E104" s="21">
        <v>10</v>
      </c>
      <c r="F104" s="29"/>
      <c r="G104" s="24">
        <f t="shared" si="1"/>
        <v>0</v>
      </c>
      <c r="H104" s="25"/>
    </row>
    <row r="105" s="3" customFormat="1" ht="30" customHeight="1" spans="1:8">
      <c r="A105" s="38" t="s">
        <v>66</v>
      </c>
      <c r="B105" s="22" t="s">
        <v>180</v>
      </c>
      <c r="C105" s="23" t="s">
        <v>181</v>
      </c>
      <c r="D105" s="41" t="s">
        <v>55</v>
      </c>
      <c r="E105" s="41">
        <v>1</v>
      </c>
      <c r="F105" s="33"/>
      <c r="G105" s="24">
        <f t="shared" si="1"/>
        <v>0</v>
      </c>
      <c r="H105" s="25"/>
    </row>
    <row r="106" s="3" customFormat="1" ht="36" customHeight="1" spans="1:8">
      <c r="A106" s="38" t="s">
        <v>211</v>
      </c>
      <c r="B106" s="27" t="s">
        <v>212</v>
      </c>
      <c r="C106" s="28"/>
      <c r="D106" s="17"/>
      <c r="E106" s="30"/>
      <c r="F106" s="29"/>
      <c r="G106" s="24"/>
      <c r="H106" s="25"/>
    </row>
    <row r="107" s="3" customFormat="1" ht="263" customHeight="1" spans="1:8">
      <c r="A107" s="38" t="s">
        <v>52</v>
      </c>
      <c r="B107" s="22" t="s">
        <v>164</v>
      </c>
      <c r="C107" s="40" t="s">
        <v>165</v>
      </c>
      <c r="D107" s="42" t="s">
        <v>159</v>
      </c>
      <c r="E107" s="42">
        <v>2</v>
      </c>
      <c r="F107" s="29"/>
      <c r="G107" s="24">
        <f t="shared" si="1"/>
        <v>0</v>
      </c>
      <c r="H107" s="25"/>
    </row>
    <row r="108" s="3" customFormat="1" ht="263" customHeight="1" spans="1:8">
      <c r="A108" s="38" t="s">
        <v>56</v>
      </c>
      <c r="B108" s="27" t="s">
        <v>213</v>
      </c>
      <c r="C108" s="28" t="s">
        <v>214</v>
      </c>
      <c r="D108" s="21" t="s">
        <v>159</v>
      </c>
      <c r="E108" s="21">
        <v>2</v>
      </c>
      <c r="F108" s="29"/>
      <c r="G108" s="24">
        <f t="shared" si="1"/>
        <v>0</v>
      </c>
      <c r="H108" s="25"/>
    </row>
    <row r="109" s="3" customFormat="1" ht="409" customHeight="1" spans="1:8">
      <c r="A109" s="38" t="s">
        <v>66</v>
      </c>
      <c r="B109" s="22" t="s">
        <v>215</v>
      </c>
      <c r="C109" s="23" t="s">
        <v>216</v>
      </c>
      <c r="D109" s="26" t="s">
        <v>159</v>
      </c>
      <c r="E109" s="26">
        <v>2</v>
      </c>
      <c r="F109" s="29"/>
      <c r="G109" s="24">
        <f t="shared" si="1"/>
        <v>0</v>
      </c>
      <c r="H109" s="25"/>
    </row>
    <row r="110" s="3" customFormat="1" ht="162" customHeight="1" spans="1:8">
      <c r="A110" s="38" t="s">
        <v>77</v>
      </c>
      <c r="B110" s="43" t="s">
        <v>217</v>
      </c>
      <c r="C110" s="44" t="s">
        <v>195</v>
      </c>
      <c r="D110" s="42" t="s">
        <v>105</v>
      </c>
      <c r="E110" s="42">
        <v>2</v>
      </c>
      <c r="F110" s="29"/>
      <c r="G110" s="24">
        <f t="shared" si="1"/>
        <v>0</v>
      </c>
      <c r="H110" s="25"/>
    </row>
    <row r="111" s="3" customFormat="1" ht="40" customHeight="1" spans="1:8">
      <c r="A111" s="38" t="s">
        <v>85</v>
      </c>
      <c r="B111" s="22" t="s">
        <v>180</v>
      </c>
      <c r="C111" s="23" t="s">
        <v>181</v>
      </c>
      <c r="D111" s="41" t="s">
        <v>55</v>
      </c>
      <c r="E111" s="41">
        <v>1</v>
      </c>
      <c r="F111" s="33"/>
      <c r="G111" s="24">
        <f t="shared" si="1"/>
        <v>0</v>
      </c>
      <c r="H111" s="25"/>
    </row>
    <row r="112" s="3" customFormat="1" ht="40" customHeight="1" spans="1:8">
      <c r="A112" s="26" t="s">
        <v>218</v>
      </c>
      <c r="B112" s="27" t="s">
        <v>219</v>
      </c>
      <c r="C112" s="28"/>
      <c r="D112" s="30"/>
      <c r="E112" s="30"/>
      <c r="F112" s="29"/>
      <c r="G112" s="24"/>
      <c r="H112" s="25"/>
    </row>
    <row r="113" s="3" customFormat="1" ht="301" customHeight="1" spans="1:9">
      <c r="A113" s="38" t="s">
        <v>52</v>
      </c>
      <c r="B113" s="43" t="s">
        <v>157</v>
      </c>
      <c r="C113" s="40" t="s">
        <v>186</v>
      </c>
      <c r="D113" s="41" t="s">
        <v>105</v>
      </c>
      <c r="E113" s="41">
        <v>2</v>
      </c>
      <c r="F113" s="33"/>
      <c r="G113" s="24">
        <f t="shared" si="1"/>
        <v>0</v>
      </c>
      <c r="H113" s="25"/>
    </row>
    <row r="114" s="3" customFormat="1" ht="161" customHeight="1" spans="1:9">
      <c r="A114" s="38" t="s">
        <v>56</v>
      </c>
      <c r="B114" s="43" t="s">
        <v>220</v>
      </c>
      <c r="C114" s="28" t="s">
        <v>195</v>
      </c>
      <c r="D114" s="26" t="s">
        <v>55</v>
      </c>
      <c r="E114" s="26">
        <v>2</v>
      </c>
      <c r="F114" s="29"/>
      <c r="G114" s="24">
        <f t="shared" si="1"/>
        <v>0</v>
      </c>
      <c r="H114" s="25"/>
    </row>
    <row r="115" s="3" customFormat="1" ht="37" customHeight="1" spans="1:9">
      <c r="A115" s="38" t="s">
        <v>66</v>
      </c>
      <c r="B115" s="27" t="s">
        <v>221</v>
      </c>
      <c r="C115" s="28" t="s">
        <v>222</v>
      </c>
      <c r="D115" s="26" t="s">
        <v>105</v>
      </c>
      <c r="E115" s="26">
        <v>2</v>
      </c>
      <c r="F115" s="29"/>
      <c r="G115" s="24">
        <f t="shared" si="1"/>
        <v>0</v>
      </c>
      <c r="H115" s="25"/>
    </row>
    <row r="116" s="3" customFormat="1" ht="37" customHeight="1" spans="1:9">
      <c r="A116" s="38" t="s">
        <v>77</v>
      </c>
      <c r="B116" s="22" t="s">
        <v>180</v>
      </c>
      <c r="C116" s="23" t="s">
        <v>181</v>
      </c>
      <c r="D116" s="41" t="s">
        <v>55</v>
      </c>
      <c r="E116" s="41">
        <v>1</v>
      </c>
      <c r="F116" s="33"/>
      <c r="G116" s="24">
        <f t="shared" si="1"/>
        <v>0</v>
      </c>
      <c r="H116" s="25"/>
    </row>
    <row r="117" s="3" customFormat="1" ht="37" customHeight="1" spans="1:9">
      <c r="A117" s="21" t="s">
        <v>223</v>
      </c>
      <c r="B117" s="22" t="s">
        <v>224</v>
      </c>
      <c r="C117" s="23"/>
      <c r="D117" s="17"/>
      <c r="E117" s="17"/>
      <c r="F117" s="29"/>
      <c r="G117" s="24"/>
      <c r="H117" s="25"/>
    </row>
    <row r="118" s="3" customFormat="1" ht="137" customHeight="1" spans="1:9">
      <c r="A118" s="38" t="s">
        <v>225</v>
      </c>
      <c r="B118" s="45" t="s">
        <v>226</v>
      </c>
      <c r="C118" s="28" t="s">
        <v>227</v>
      </c>
      <c r="D118" s="26" t="s">
        <v>105</v>
      </c>
      <c r="E118" s="41">
        <v>46</v>
      </c>
      <c r="F118" s="29"/>
      <c r="G118" s="24">
        <f t="shared" si="1"/>
        <v>0</v>
      </c>
      <c r="H118" s="25"/>
    </row>
    <row r="119" s="3" customFormat="1" ht="104" customHeight="1" spans="1:9">
      <c r="A119" s="38" t="s">
        <v>228</v>
      </c>
      <c r="B119" s="45" t="s">
        <v>229</v>
      </c>
      <c r="C119" s="28" t="s">
        <v>230</v>
      </c>
      <c r="D119" s="26" t="s">
        <v>159</v>
      </c>
      <c r="E119" s="41">
        <v>6</v>
      </c>
      <c r="F119" s="29"/>
      <c r="G119" s="24">
        <f t="shared" si="1"/>
        <v>0</v>
      </c>
      <c r="H119" s="25"/>
    </row>
    <row r="120" s="3" customFormat="1" ht="104" customHeight="1" spans="1:9">
      <c r="A120" s="38" t="s">
        <v>231</v>
      </c>
      <c r="B120" s="45" t="s">
        <v>229</v>
      </c>
      <c r="C120" s="28" t="s">
        <v>232</v>
      </c>
      <c r="D120" s="26" t="s">
        <v>159</v>
      </c>
      <c r="E120" s="41">
        <v>2</v>
      </c>
      <c r="F120" s="29"/>
      <c r="G120" s="24">
        <f t="shared" si="1"/>
        <v>0</v>
      </c>
      <c r="H120" s="25"/>
    </row>
    <row r="121" s="3" customFormat="1" ht="72" customHeight="1" spans="1:9">
      <c r="A121" s="38" t="s">
        <v>233</v>
      </c>
      <c r="B121" s="43" t="s">
        <v>234</v>
      </c>
      <c r="C121" s="28" t="s">
        <v>235</v>
      </c>
      <c r="D121" s="26" t="s">
        <v>105</v>
      </c>
      <c r="E121" s="41">
        <v>1</v>
      </c>
      <c r="F121" s="29"/>
      <c r="G121" s="24">
        <f t="shared" si="1"/>
        <v>0</v>
      </c>
      <c r="H121" s="25"/>
    </row>
    <row r="122" s="3" customFormat="1" ht="128" customHeight="1" spans="1:9">
      <c r="A122" s="38" t="s">
        <v>236</v>
      </c>
      <c r="B122" s="22" t="s">
        <v>171</v>
      </c>
      <c r="C122" s="23" t="s">
        <v>172</v>
      </c>
      <c r="D122" s="26" t="s">
        <v>105</v>
      </c>
      <c r="E122" s="41">
        <v>2</v>
      </c>
      <c r="F122" s="29"/>
      <c r="G122" s="24">
        <f t="shared" si="1"/>
        <v>0</v>
      </c>
      <c r="H122" s="25"/>
    </row>
    <row r="123" s="3" customFormat="1" ht="36" customHeight="1" spans="1:9">
      <c r="A123" s="38" t="s">
        <v>237</v>
      </c>
      <c r="B123" s="43" t="s">
        <v>238</v>
      </c>
      <c r="C123" s="28"/>
      <c r="D123" s="26" t="s">
        <v>105</v>
      </c>
      <c r="E123" s="41">
        <v>46</v>
      </c>
      <c r="F123" s="29"/>
      <c r="G123" s="24">
        <f t="shared" si="1"/>
        <v>0</v>
      </c>
      <c r="H123" s="25"/>
    </row>
    <row r="124" s="3" customFormat="1" ht="36" customHeight="1" spans="1:9">
      <c r="A124" s="38" t="s">
        <v>239</v>
      </c>
      <c r="B124" s="43" t="s">
        <v>240</v>
      </c>
      <c r="C124" s="28" t="s">
        <v>241</v>
      </c>
      <c r="D124" s="26" t="s">
        <v>105</v>
      </c>
      <c r="E124" s="41">
        <v>2</v>
      </c>
      <c r="F124" s="29"/>
      <c r="G124" s="24">
        <f t="shared" si="1"/>
        <v>0</v>
      </c>
      <c r="H124" s="25"/>
      <c r="I124" s="46"/>
    </row>
    <row r="125" s="3" customFormat="1" ht="111" customHeight="1" spans="1:9">
      <c r="A125" s="38" t="s">
        <v>242</v>
      </c>
      <c r="B125" s="43" t="s">
        <v>243</v>
      </c>
      <c r="C125" s="28" t="s">
        <v>244</v>
      </c>
      <c r="D125" s="26" t="s">
        <v>105</v>
      </c>
      <c r="E125" s="41">
        <v>1</v>
      </c>
      <c r="F125" s="29"/>
      <c r="G125" s="24">
        <f t="shared" si="1"/>
        <v>0</v>
      </c>
      <c r="H125" s="25"/>
      <c r="I125" s="46"/>
    </row>
    <row r="126" s="3" customFormat="1" ht="27" customHeight="1" spans="1:9">
      <c r="A126" s="38" t="s">
        <v>245</v>
      </c>
      <c r="B126" s="43" t="s">
        <v>246</v>
      </c>
      <c r="C126" s="28" t="s">
        <v>247</v>
      </c>
      <c r="D126" s="26" t="s">
        <v>248</v>
      </c>
      <c r="E126" s="41">
        <v>1800</v>
      </c>
      <c r="F126" s="29"/>
      <c r="G126" s="24">
        <f t="shared" si="1"/>
        <v>0</v>
      </c>
      <c r="H126" s="25"/>
      <c r="I126" s="46"/>
    </row>
    <row r="127" s="3" customFormat="1" ht="27" customHeight="1" spans="1:9">
      <c r="A127" s="38" t="s">
        <v>249</v>
      </c>
      <c r="B127" s="43" t="s">
        <v>250</v>
      </c>
      <c r="C127" s="28"/>
      <c r="D127" s="26" t="s">
        <v>105</v>
      </c>
      <c r="E127" s="41">
        <v>46</v>
      </c>
      <c r="F127" s="29"/>
      <c r="G127" s="24">
        <f t="shared" si="1"/>
        <v>0</v>
      </c>
      <c r="H127" s="25"/>
      <c r="I127" s="46"/>
    </row>
    <row r="128" s="3" customFormat="1" ht="27" customHeight="1" spans="1:9">
      <c r="A128" s="38" t="s">
        <v>251</v>
      </c>
      <c r="B128" s="43" t="s">
        <v>252</v>
      </c>
      <c r="C128" s="28" t="s">
        <v>253</v>
      </c>
      <c r="D128" s="26" t="s">
        <v>248</v>
      </c>
      <c r="E128" s="41">
        <v>1000</v>
      </c>
      <c r="F128" s="29"/>
      <c r="G128" s="24">
        <f t="shared" si="1"/>
        <v>0</v>
      </c>
      <c r="H128" s="25"/>
      <c r="I128" s="46"/>
    </row>
    <row r="129" s="3" customFormat="1" ht="27" customHeight="1" spans="1:9">
      <c r="A129" s="38" t="s">
        <v>254</v>
      </c>
      <c r="B129" s="43" t="s">
        <v>255</v>
      </c>
      <c r="C129" s="28" t="s">
        <v>256</v>
      </c>
      <c r="D129" s="26" t="s">
        <v>248</v>
      </c>
      <c r="E129" s="41">
        <v>1800</v>
      </c>
      <c r="F129" s="29"/>
      <c r="G129" s="24">
        <f t="shared" si="1"/>
        <v>0</v>
      </c>
      <c r="H129" s="25"/>
      <c r="I129" s="46"/>
    </row>
    <row r="130" s="3" customFormat="1" ht="27" customHeight="1" spans="1:9">
      <c r="A130" s="38" t="s">
        <v>257</v>
      </c>
      <c r="B130" s="43" t="s">
        <v>258</v>
      </c>
      <c r="C130" s="28" t="s">
        <v>259</v>
      </c>
      <c r="D130" s="26" t="s">
        <v>248</v>
      </c>
      <c r="E130" s="41">
        <v>400</v>
      </c>
      <c r="F130" s="29"/>
      <c r="G130" s="24">
        <f t="shared" si="1"/>
        <v>0</v>
      </c>
      <c r="H130" s="25"/>
      <c r="I130" s="46"/>
    </row>
    <row r="131" s="3" customFormat="1" ht="27" customHeight="1" spans="1:9">
      <c r="A131" s="38" t="s">
        <v>260</v>
      </c>
      <c r="B131" s="43" t="s">
        <v>261</v>
      </c>
      <c r="C131" s="28" t="s">
        <v>262</v>
      </c>
      <c r="D131" s="26" t="s">
        <v>105</v>
      </c>
      <c r="E131" s="41">
        <v>23</v>
      </c>
      <c r="F131" s="29"/>
      <c r="G131" s="24">
        <f t="shared" si="1"/>
        <v>0</v>
      </c>
      <c r="H131" s="25"/>
      <c r="I131" s="46"/>
    </row>
    <row r="132" s="3" customFormat="1" ht="27" customHeight="1" spans="1:9">
      <c r="A132" s="38" t="s">
        <v>263</v>
      </c>
      <c r="B132" s="22" t="s">
        <v>180</v>
      </c>
      <c r="C132" s="23" t="s">
        <v>181</v>
      </c>
      <c r="D132" s="26" t="s">
        <v>55</v>
      </c>
      <c r="E132" s="41">
        <v>1</v>
      </c>
      <c r="F132" s="33"/>
      <c r="G132" s="24">
        <f t="shared" si="1"/>
        <v>0</v>
      </c>
      <c r="H132" s="25"/>
      <c r="I132" s="46"/>
    </row>
    <row r="133" s="3" customFormat="1" ht="30" customHeight="1" spans="1:9">
      <c r="A133" s="21" t="s">
        <v>264</v>
      </c>
      <c r="B133" s="22" t="s">
        <v>265</v>
      </c>
      <c r="C133" s="40"/>
      <c r="D133" s="41"/>
      <c r="E133" s="41"/>
      <c r="F133" s="33"/>
      <c r="G133" s="24"/>
      <c r="H133" s="25"/>
      <c r="I133" s="46"/>
    </row>
    <row r="134" s="3" customFormat="1" ht="409" customHeight="1" spans="1:9">
      <c r="A134" s="38" t="s">
        <v>52</v>
      </c>
      <c r="B134" s="39" t="s">
        <v>215</v>
      </c>
      <c r="C134" s="28" t="s">
        <v>266</v>
      </c>
      <c r="D134" s="41" t="s">
        <v>105</v>
      </c>
      <c r="E134" s="41">
        <v>2</v>
      </c>
      <c r="F134" s="33"/>
      <c r="G134" s="24">
        <f t="shared" si="1"/>
        <v>0</v>
      </c>
      <c r="H134" s="25"/>
      <c r="I134" s="46"/>
    </row>
    <row r="135" s="3" customFormat="1" ht="347" customHeight="1" spans="1:9">
      <c r="A135" s="38" t="s">
        <v>56</v>
      </c>
      <c r="B135" s="39" t="s">
        <v>267</v>
      </c>
      <c r="C135" s="28" t="s">
        <v>268</v>
      </c>
      <c r="D135" s="41" t="s">
        <v>105</v>
      </c>
      <c r="E135" s="41">
        <v>2</v>
      </c>
      <c r="F135" s="33"/>
      <c r="G135" s="24">
        <f t="shared" si="1"/>
        <v>0</v>
      </c>
      <c r="H135" s="25"/>
      <c r="I135" s="46"/>
    </row>
    <row r="136" s="3" customFormat="1" ht="30" customHeight="1" spans="1:9">
      <c r="A136" s="38" t="s">
        <v>66</v>
      </c>
      <c r="B136" s="39" t="s">
        <v>269</v>
      </c>
      <c r="C136" s="40" t="s">
        <v>270</v>
      </c>
      <c r="D136" s="41" t="s">
        <v>193</v>
      </c>
      <c r="E136" s="41">
        <v>2</v>
      </c>
      <c r="F136" s="33"/>
      <c r="G136" s="24">
        <f t="shared" si="1"/>
        <v>0</v>
      </c>
      <c r="H136" s="25"/>
    </row>
    <row r="137" s="3" customFormat="1" ht="325" customHeight="1" spans="1:9">
      <c r="A137" s="38" t="s">
        <v>77</v>
      </c>
      <c r="B137" s="39" t="s">
        <v>174</v>
      </c>
      <c r="C137" s="40" t="s">
        <v>175</v>
      </c>
      <c r="D137" s="41" t="s">
        <v>105</v>
      </c>
      <c r="E137" s="41">
        <v>2</v>
      </c>
      <c r="F137" s="33"/>
      <c r="G137" s="24">
        <f t="shared" ref="G137:G200" si="2">ROUND(E137*F137,2)</f>
        <v>0</v>
      </c>
      <c r="H137" s="25"/>
    </row>
    <row r="138" s="3" customFormat="1" ht="131" customHeight="1" spans="1:9">
      <c r="A138" s="38" t="s">
        <v>85</v>
      </c>
      <c r="B138" s="22" t="s">
        <v>171</v>
      </c>
      <c r="C138" s="23" t="s">
        <v>172</v>
      </c>
      <c r="D138" s="21" t="s">
        <v>159</v>
      </c>
      <c r="E138" s="41">
        <v>4</v>
      </c>
      <c r="F138" s="29"/>
      <c r="G138" s="24">
        <f t="shared" si="2"/>
        <v>0</v>
      </c>
      <c r="H138" s="25"/>
    </row>
    <row r="139" s="3" customFormat="1" ht="163" customHeight="1" spans="1:9">
      <c r="A139" s="38" t="s">
        <v>101</v>
      </c>
      <c r="B139" s="39" t="s">
        <v>271</v>
      </c>
      <c r="C139" s="40" t="s">
        <v>195</v>
      </c>
      <c r="D139" s="41" t="s">
        <v>55</v>
      </c>
      <c r="E139" s="41">
        <v>1</v>
      </c>
      <c r="F139" s="33"/>
      <c r="G139" s="24">
        <f t="shared" si="2"/>
        <v>0</v>
      </c>
      <c r="H139" s="25"/>
    </row>
    <row r="140" s="3" customFormat="1" ht="30" customHeight="1" spans="1:9">
      <c r="A140" s="38" t="s">
        <v>170</v>
      </c>
      <c r="B140" s="22" t="s">
        <v>180</v>
      </c>
      <c r="C140" s="23" t="s">
        <v>181</v>
      </c>
      <c r="D140" s="41" t="s">
        <v>55</v>
      </c>
      <c r="E140" s="41">
        <v>4</v>
      </c>
      <c r="F140" s="33"/>
      <c r="G140" s="24">
        <f t="shared" si="2"/>
        <v>0</v>
      </c>
      <c r="H140" s="25"/>
    </row>
    <row r="141" s="3" customFormat="1" ht="30" customHeight="1" spans="1:9">
      <c r="A141" s="21" t="s">
        <v>272</v>
      </c>
      <c r="B141" s="39" t="s">
        <v>273</v>
      </c>
      <c r="C141" s="40" t="s">
        <v>274</v>
      </c>
      <c r="D141" s="41" t="s">
        <v>55</v>
      </c>
      <c r="E141" s="41">
        <v>1</v>
      </c>
      <c r="F141" s="33"/>
      <c r="G141" s="24">
        <f t="shared" si="2"/>
        <v>0</v>
      </c>
      <c r="H141" s="36"/>
    </row>
    <row r="142" s="3" customFormat="1" ht="39" customHeight="1" spans="1:9">
      <c r="A142" s="21" t="s">
        <v>275</v>
      </c>
      <c r="B142" s="39" t="s">
        <v>276</v>
      </c>
      <c r="C142" s="40"/>
      <c r="D142" s="42" t="s">
        <v>55</v>
      </c>
      <c r="E142" s="41">
        <v>1</v>
      </c>
      <c r="F142" s="33"/>
      <c r="G142" s="24">
        <f t="shared" si="2"/>
        <v>0</v>
      </c>
      <c r="H142" s="36"/>
    </row>
    <row r="143" s="3" customFormat="1" ht="114" customHeight="1" spans="1:9">
      <c r="A143" s="21" t="s">
        <v>277</v>
      </c>
      <c r="B143" s="22" t="s">
        <v>278</v>
      </c>
      <c r="C143" s="23" t="s">
        <v>279</v>
      </c>
      <c r="D143" s="42" t="s">
        <v>55</v>
      </c>
      <c r="E143" s="41">
        <v>1</v>
      </c>
      <c r="F143" s="33"/>
      <c r="G143" s="24">
        <f t="shared" si="2"/>
        <v>0</v>
      </c>
      <c r="H143" s="25" t="s">
        <v>280</v>
      </c>
    </row>
    <row r="144" s="5" customFormat="1" ht="33" customHeight="1" spans="1:9">
      <c r="A144" s="21">
        <v>3.2</v>
      </c>
      <c r="B144" s="22" t="s">
        <v>148</v>
      </c>
      <c r="C144" s="23"/>
      <c r="D144" s="21"/>
      <c r="E144" s="21"/>
      <c r="F144" s="29"/>
      <c r="G144" s="24"/>
      <c r="H144" s="25"/>
    </row>
    <row r="145" s="5" customFormat="1" ht="33" customHeight="1" spans="1:8">
      <c r="A145" s="21" t="s">
        <v>281</v>
      </c>
      <c r="B145" s="22" t="s">
        <v>282</v>
      </c>
      <c r="C145" s="23"/>
      <c r="D145" s="21"/>
      <c r="E145" s="21"/>
      <c r="F145" s="29"/>
      <c r="G145" s="24"/>
      <c r="H145" s="25"/>
    </row>
    <row r="146" s="5" customFormat="1" ht="39" customHeight="1" spans="1:8">
      <c r="A146" s="21" t="s">
        <v>283</v>
      </c>
      <c r="B146" s="22" t="s">
        <v>284</v>
      </c>
      <c r="C146" s="23" t="s">
        <v>285</v>
      </c>
      <c r="D146" s="21" t="s">
        <v>117</v>
      </c>
      <c r="E146" s="21">
        <v>1</v>
      </c>
      <c r="F146" s="29"/>
      <c r="G146" s="24">
        <f t="shared" si="2"/>
        <v>0</v>
      </c>
      <c r="H146" s="25"/>
    </row>
    <row r="147" s="3" customFormat="1" ht="35" customHeight="1" spans="1:8">
      <c r="A147" s="21" t="s">
        <v>286</v>
      </c>
      <c r="B147" s="39" t="s">
        <v>287</v>
      </c>
      <c r="C147" s="47"/>
      <c r="D147" s="48"/>
      <c r="E147" s="48"/>
      <c r="F147" s="34"/>
      <c r="G147" s="24"/>
      <c r="H147" s="35"/>
    </row>
    <row r="148" s="3" customFormat="1" ht="409" customHeight="1" spans="1:8">
      <c r="A148" s="38" t="s">
        <v>52</v>
      </c>
      <c r="B148" s="39" t="s">
        <v>215</v>
      </c>
      <c r="C148" s="28" t="s">
        <v>266</v>
      </c>
      <c r="D148" s="41" t="s">
        <v>117</v>
      </c>
      <c r="E148" s="41">
        <v>6</v>
      </c>
      <c r="F148" s="33"/>
      <c r="G148" s="24">
        <f t="shared" si="2"/>
        <v>0</v>
      </c>
      <c r="H148" s="36"/>
    </row>
    <row r="149" s="3" customFormat="1" ht="348" customHeight="1" spans="1:8">
      <c r="A149" s="38" t="s">
        <v>56</v>
      </c>
      <c r="B149" s="39" t="s">
        <v>267</v>
      </c>
      <c r="C149" s="28" t="s">
        <v>268</v>
      </c>
      <c r="D149" s="41" t="s">
        <v>117</v>
      </c>
      <c r="E149" s="41">
        <v>12</v>
      </c>
      <c r="F149" s="33"/>
      <c r="G149" s="24">
        <f t="shared" si="2"/>
        <v>0</v>
      </c>
      <c r="H149" s="36"/>
    </row>
    <row r="150" s="3" customFormat="1" ht="37" customHeight="1" spans="1:8">
      <c r="A150" s="38" t="s">
        <v>66</v>
      </c>
      <c r="B150" s="39" t="s">
        <v>288</v>
      </c>
      <c r="C150" s="40" t="s">
        <v>289</v>
      </c>
      <c r="D150" s="41" t="s">
        <v>248</v>
      </c>
      <c r="E150" s="41">
        <v>200</v>
      </c>
      <c r="F150" s="29"/>
      <c r="G150" s="24">
        <f t="shared" si="2"/>
        <v>0</v>
      </c>
      <c r="H150" s="36" t="s">
        <v>290</v>
      </c>
    </row>
    <row r="151" s="3" customFormat="1" ht="37" customHeight="1" spans="1:8">
      <c r="A151" s="38" t="s">
        <v>77</v>
      </c>
      <c r="B151" s="39" t="s">
        <v>291</v>
      </c>
      <c r="C151" s="40" t="s">
        <v>289</v>
      </c>
      <c r="D151" s="41" t="s">
        <v>248</v>
      </c>
      <c r="E151" s="41">
        <v>500</v>
      </c>
      <c r="F151" s="29"/>
      <c r="G151" s="24">
        <f t="shared" si="2"/>
        <v>0</v>
      </c>
      <c r="H151" s="36" t="s">
        <v>290</v>
      </c>
    </row>
    <row r="152" s="3" customFormat="1" ht="37" customHeight="1" spans="1:8">
      <c r="A152" s="38" t="s">
        <v>85</v>
      </c>
      <c r="B152" s="39" t="s">
        <v>252</v>
      </c>
      <c r="C152" s="40" t="s">
        <v>292</v>
      </c>
      <c r="D152" s="41" t="s">
        <v>248</v>
      </c>
      <c r="E152" s="41">
        <v>500</v>
      </c>
      <c r="F152" s="29"/>
      <c r="G152" s="24">
        <f t="shared" si="2"/>
        <v>0</v>
      </c>
      <c r="H152" s="36" t="s">
        <v>290</v>
      </c>
    </row>
    <row r="153" s="3" customFormat="1" ht="332" customHeight="1" spans="1:8">
      <c r="A153" s="38" t="s">
        <v>101</v>
      </c>
      <c r="B153" s="39" t="s">
        <v>174</v>
      </c>
      <c r="C153" s="40" t="s">
        <v>175</v>
      </c>
      <c r="D153" s="41" t="s">
        <v>105</v>
      </c>
      <c r="E153" s="41">
        <v>5</v>
      </c>
      <c r="F153" s="33"/>
      <c r="G153" s="24">
        <f t="shared" si="2"/>
        <v>0</v>
      </c>
      <c r="H153" s="36"/>
    </row>
    <row r="154" s="3" customFormat="1" ht="132" customHeight="1" spans="1:8">
      <c r="A154" s="38" t="s">
        <v>170</v>
      </c>
      <c r="B154" s="22" t="s">
        <v>171</v>
      </c>
      <c r="C154" s="23" t="s">
        <v>172</v>
      </c>
      <c r="D154" s="21" t="s">
        <v>159</v>
      </c>
      <c r="E154" s="41">
        <v>10</v>
      </c>
      <c r="F154" s="29"/>
      <c r="G154" s="24">
        <f t="shared" si="2"/>
        <v>0</v>
      </c>
      <c r="H154" s="36"/>
    </row>
    <row r="155" s="3" customFormat="1" ht="34" customHeight="1" spans="1:8">
      <c r="A155" s="38" t="s">
        <v>173</v>
      </c>
      <c r="B155" s="22" t="s">
        <v>180</v>
      </c>
      <c r="C155" s="23" t="s">
        <v>181</v>
      </c>
      <c r="D155" s="41" t="s">
        <v>55</v>
      </c>
      <c r="E155" s="41">
        <v>1</v>
      </c>
      <c r="F155" s="33"/>
      <c r="G155" s="24">
        <f t="shared" si="2"/>
        <v>0</v>
      </c>
      <c r="H155" s="36"/>
    </row>
    <row r="156" s="3" customFormat="1" ht="40" customHeight="1" spans="1:8">
      <c r="A156" s="21" t="s">
        <v>293</v>
      </c>
      <c r="B156" s="39" t="s">
        <v>294</v>
      </c>
      <c r="C156" s="47"/>
      <c r="D156" s="48"/>
      <c r="E156" s="48"/>
      <c r="F156" s="34"/>
      <c r="G156" s="24"/>
      <c r="H156" s="35"/>
    </row>
    <row r="157" s="3" customFormat="1" ht="409" customHeight="1" spans="1:8">
      <c r="A157" s="38" t="s">
        <v>52</v>
      </c>
      <c r="B157" s="39" t="s">
        <v>215</v>
      </c>
      <c r="C157" s="28" t="s">
        <v>266</v>
      </c>
      <c r="D157" s="41" t="s">
        <v>117</v>
      </c>
      <c r="E157" s="41">
        <v>2</v>
      </c>
      <c r="F157" s="33"/>
      <c r="G157" s="24">
        <f t="shared" si="2"/>
        <v>0</v>
      </c>
      <c r="H157" s="36"/>
    </row>
    <row r="158" s="3" customFormat="1" ht="360" customHeight="1" spans="1:8">
      <c r="A158" s="38" t="s">
        <v>56</v>
      </c>
      <c r="B158" s="39" t="s">
        <v>267</v>
      </c>
      <c r="C158" s="28" t="s">
        <v>268</v>
      </c>
      <c r="D158" s="41" t="s">
        <v>117</v>
      </c>
      <c r="E158" s="41">
        <v>4</v>
      </c>
      <c r="F158" s="33"/>
      <c r="G158" s="24">
        <f t="shared" si="2"/>
        <v>0</v>
      </c>
      <c r="H158" s="36"/>
    </row>
    <row r="159" s="3" customFormat="1" ht="307" customHeight="1" spans="1:8">
      <c r="A159" s="38" t="s">
        <v>66</v>
      </c>
      <c r="B159" s="39" t="s">
        <v>157</v>
      </c>
      <c r="C159" s="40" t="s">
        <v>186</v>
      </c>
      <c r="D159" s="41" t="s">
        <v>159</v>
      </c>
      <c r="E159" s="41">
        <v>2</v>
      </c>
      <c r="F159" s="33"/>
      <c r="G159" s="24">
        <f t="shared" si="2"/>
        <v>0</v>
      </c>
      <c r="H159" s="36"/>
    </row>
    <row r="160" s="3" customFormat="1" ht="325" customHeight="1" spans="1:8">
      <c r="A160" s="38" t="s">
        <v>77</v>
      </c>
      <c r="B160" s="39" t="s">
        <v>160</v>
      </c>
      <c r="C160" s="40" t="s">
        <v>295</v>
      </c>
      <c r="D160" s="41" t="s">
        <v>159</v>
      </c>
      <c r="E160" s="41">
        <v>4</v>
      </c>
      <c r="F160" s="33"/>
      <c r="G160" s="24">
        <f t="shared" si="2"/>
        <v>0</v>
      </c>
      <c r="H160" s="36"/>
    </row>
    <row r="161" s="3" customFormat="1" ht="91" customHeight="1" spans="1:8">
      <c r="A161" s="38" t="s">
        <v>85</v>
      </c>
      <c r="B161" s="39" t="s">
        <v>162</v>
      </c>
      <c r="C161" s="40" t="s">
        <v>163</v>
      </c>
      <c r="D161" s="41" t="s">
        <v>159</v>
      </c>
      <c r="E161" s="41">
        <v>2</v>
      </c>
      <c r="F161" s="33"/>
      <c r="G161" s="24">
        <f t="shared" si="2"/>
        <v>0</v>
      </c>
      <c r="H161" s="36"/>
    </row>
    <row r="162" s="3" customFormat="1" ht="165" customHeight="1" spans="1:8">
      <c r="A162" s="38" t="s">
        <v>101</v>
      </c>
      <c r="B162" s="39" t="s">
        <v>166</v>
      </c>
      <c r="C162" s="40" t="s">
        <v>195</v>
      </c>
      <c r="D162" s="41" t="s">
        <v>159</v>
      </c>
      <c r="E162" s="41">
        <v>2</v>
      </c>
      <c r="F162" s="33"/>
      <c r="G162" s="24">
        <f t="shared" si="2"/>
        <v>0</v>
      </c>
      <c r="H162" s="36"/>
    </row>
    <row r="163" s="3" customFormat="1" ht="173" customHeight="1" spans="1:8">
      <c r="A163" s="38" t="s">
        <v>170</v>
      </c>
      <c r="B163" s="22" t="s">
        <v>168</v>
      </c>
      <c r="C163" s="23" t="s">
        <v>169</v>
      </c>
      <c r="D163" s="41" t="s">
        <v>117</v>
      </c>
      <c r="E163" s="41">
        <v>4</v>
      </c>
      <c r="F163" s="33"/>
      <c r="G163" s="24">
        <f t="shared" si="2"/>
        <v>0</v>
      </c>
      <c r="H163" s="36"/>
    </row>
    <row r="164" s="3" customFormat="1" ht="271" customHeight="1" spans="1:8">
      <c r="A164" s="38" t="s">
        <v>173</v>
      </c>
      <c r="B164" s="39" t="s">
        <v>164</v>
      </c>
      <c r="C164" s="23" t="s">
        <v>165</v>
      </c>
      <c r="D164" s="41" t="s">
        <v>159</v>
      </c>
      <c r="E164" s="41">
        <v>5</v>
      </c>
      <c r="F164" s="33"/>
      <c r="G164" s="24">
        <f t="shared" si="2"/>
        <v>0</v>
      </c>
      <c r="H164" s="36"/>
    </row>
    <row r="165" s="3" customFormat="1" ht="166" customHeight="1" spans="1:8">
      <c r="A165" s="38" t="s">
        <v>176</v>
      </c>
      <c r="B165" s="39" t="s">
        <v>296</v>
      </c>
      <c r="C165" s="40" t="s">
        <v>297</v>
      </c>
      <c r="D165" s="41" t="s">
        <v>159</v>
      </c>
      <c r="E165" s="41">
        <f>E164</f>
        <v>5</v>
      </c>
      <c r="F165" s="33"/>
      <c r="G165" s="24">
        <f t="shared" si="2"/>
        <v>0</v>
      </c>
      <c r="H165" s="49"/>
    </row>
    <row r="166" s="3" customFormat="1" ht="262" customHeight="1" spans="1:8">
      <c r="A166" s="38" t="s">
        <v>179</v>
      </c>
      <c r="B166" s="39" t="s">
        <v>298</v>
      </c>
      <c r="C166" s="23" t="s">
        <v>299</v>
      </c>
      <c r="D166" s="41" t="s">
        <v>159</v>
      </c>
      <c r="E166" s="41">
        <v>5</v>
      </c>
      <c r="F166" s="33"/>
      <c r="G166" s="24">
        <f t="shared" si="2"/>
        <v>0</v>
      </c>
      <c r="H166" s="49"/>
    </row>
    <row r="167" s="3" customFormat="1" ht="238" customHeight="1" spans="1:8">
      <c r="A167" s="38" t="s">
        <v>300</v>
      </c>
      <c r="B167" s="39" t="s">
        <v>301</v>
      </c>
      <c r="C167" s="40" t="s">
        <v>302</v>
      </c>
      <c r="D167" s="41" t="s">
        <v>159</v>
      </c>
      <c r="E167" s="41">
        <v>4</v>
      </c>
      <c r="F167" s="33"/>
      <c r="G167" s="24">
        <f t="shared" si="2"/>
        <v>0</v>
      </c>
      <c r="H167" s="36"/>
    </row>
    <row r="168" s="3" customFormat="1" ht="280" customHeight="1" spans="1:8">
      <c r="A168" s="38" t="s">
        <v>303</v>
      </c>
      <c r="B168" s="27" t="s">
        <v>304</v>
      </c>
      <c r="C168" s="40" t="s">
        <v>305</v>
      </c>
      <c r="D168" s="22" t="s">
        <v>159</v>
      </c>
      <c r="E168" s="22">
        <v>1</v>
      </c>
      <c r="F168" s="50"/>
      <c r="G168" s="24">
        <f t="shared" si="2"/>
        <v>0</v>
      </c>
      <c r="H168" s="36"/>
    </row>
    <row r="169" s="3" customFormat="1" ht="53" customHeight="1" spans="1:8">
      <c r="A169" s="38" t="s">
        <v>306</v>
      </c>
      <c r="B169" s="39" t="s">
        <v>307</v>
      </c>
      <c r="C169" s="28" t="s">
        <v>308</v>
      </c>
      <c r="D169" s="41" t="s">
        <v>159</v>
      </c>
      <c r="E169" s="41">
        <v>1</v>
      </c>
      <c r="F169" s="33"/>
      <c r="G169" s="24">
        <f t="shared" si="2"/>
        <v>0</v>
      </c>
      <c r="H169" s="36"/>
    </row>
    <row r="170" s="3" customFormat="1" ht="147" customHeight="1" spans="1:8">
      <c r="A170" s="38" t="s">
        <v>309</v>
      </c>
      <c r="B170" s="43" t="s">
        <v>310</v>
      </c>
      <c r="C170" s="23" t="s">
        <v>311</v>
      </c>
      <c r="D170" s="51" t="s">
        <v>159</v>
      </c>
      <c r="E170" s="51">
        <v>1</v>
      </c>
      <c r="F170" s="52"/>
      <c r="G170" s="24">
        <f t="shared" si="2"/>
        <v>0</v>
      </c>
      <c r="H170" s="36"/>
    </row>
    <row r="171" s="3" customFormat="1" ht="137" customHeight="1" spans="1:8">
      <c r="A171" s="38" t="s">
        <v>312</v>
      </c>
      <c r="B171" s="39" t="s">
        <v>313</v>
      </c>
      <c r="C171" s="40" t="s">
        <v>314</v>
      </c>
      <c r="D171" s="41" t="s">
        <v>193</v>
      </c>
      <c r="E171" s="41">
        <v>2</v>
      </c>
      <c r="F171" s="33"/>
      <c r="G171" s="24">
        <f t="shared" si="2"/>
        <v>0</v>
      </c>
      <c r="H171" s="36"/>
    </row>
    <row r="172" s="5" customFormat="1" ht="337" customHeight="1" spans="1:8">
      <c r="A172" s="38" t="s">
        <v>315</v>
      </c>
      <c r="B172" s="39" t="s">
        <v>174</v>
      </c>
      <c r="C172" s="40" t="s">
        <v>175</v>
      </c>
      <c r="D172" s="41" t="s">
        <v>117</v>
      </c>
      <c r="E172" s="41">
        <v>5</v>
      </c>
      <c r="F172" s="33"/>
      <c r="G172" s="24">
        <f t="shared" si="2"/>
        <v>0</v>
      </c>
      <c r="H172" s="36"/>
    </row>
    <row r="173" s="5" customFormat="1" ht="27" customHeight="1" spans="1:8">
      <c r="A173" s="38" t="s">
        <v>316</v>
      </c>
      <c r="B173" s="53" t="s">
        <v>246</v>
      </c>
      <c r="C173" s="54" t="s">
        <v>247</v>
      </c>
      <c r="D173" s="42" t="s">
        <v>248</v>
      </c>
      <c r="E173" s="42">
        <v>800</v>
      </c>
      <c r="F173" s="29"/>
      <c r="G173" s="24">
        <f t="shared" si="2"/>
        <v>0</v>
      </c>
      <c r="H173" s="36" t="s">
        <v>290</v>
      </c>
    </row>
    <row r="174" s="5" customFormat="1" ht="27" customHeight="1" spans="1:8">
      <c r="A174" s="38" t="s">
        <v>317</v>
      </c>
      <c r="B174" s="53" t="s">
        <v>252</v>
      </c>
      <c r="C174" s="40" t="s">
        <v>292</v>
      </c>
      <c r="D174" s="42" t="s">
        <v>248</v>
      </c>
      <c r="E174" s="42">
        <v>500</v>
      </c>
      <c r="F174" s="29"/>
      <c r="G174" s="24">
        <f t="shared" si="2"/>
        <v>0</v>
      </c>
      <c r="H174" s="36" t="s">
        <v>290</v>
      </c>
    </row>
    <row r="175" s="5" customFormat="1" ht="116" customHeight="1" spans="1:8">
      <c r="A175" s="38" t="s">
        <v>318</v>
      </c>
      <c r="B175" s="22" t="s">
        <v>171</v>
      </c>
      <c r="C175" s="23" t="s">
        <v>172</v>
      </c>
      <c r="D175" s="21" t="s">
        <v>159</v>
      </c>
      <c r="E175" s="41">
        <v>8</v>
      </c>
      <c r="F175" s="29"/>
      <c r="G175" s="24">
        <f t="shared" si="2"/>
        <v>0</v>
      </c>
      <c r="H175" s="36"/>
    </row>
    <row r="176" s="5" customFormat="1" ht="31" customHeight="1" spans="1:8">
      <c r="A176" s="38" t="s">
        <v>319</v>
      </c>
      <c r="B176" s="22" t="s">
        <v>180</v>
      </c>
      <c r="C176" s="23" t="s">
        <v>181</v>
      </c>
      <c r="D176" s="41" t="s">
        <v>55</v>
      </c>
      <c r="E176" s="41">
        <v>1</v>
      </c>
      <c r="F176" s="33"/>
      <c r="G176" s="24">
        <f t="shared" si="2"/>
        <v>0</v>
      </c>
      <c r="H176" s="25"/>
    </row>
    <row r="177" s="5" customFormat="1" ht="77" customHeight="1" spans="1:8">
      <c r="A177" s="21" t="s">
        <v>320</v>
      </c>
      <c r="B177" s="39" t="s">
        <v>321</v>
      </c>
      <c r="C177" s="40" t="s">
        <v>322</v>
      </c>
      <c r="D177" s="41" t="s">
        <v>105</v>
      </c>
      <c r="E177" s="41">
        <v>1</v>
      </c>
      <c r="F177" s="33"/>
      <c r="G177" s="24">
        <f t="shared" si="2"/>
        <v>0</v>
      </c>
      <c r="H177" s="36" t="s">
        <v>323</v>
      </c>
    </row>
    <row r="178" s="5" customFormat="1" ht="83" customHeight="1" spans="1:8">
      <c r="A178" s="21" t="s">
        <v>324</v>
      </c>
      <c r="B178" s="39" t="s">
        <v>325</v>
      </c>
      <c r="C178" s="40" t="s">
        <v>326</v>
      </c>
      <c r="D178" s="21" t="s">
        <v>159</v>
      </c>
      <c r="E178" s="21">
        <v>1</v>
      </c>
      <c r="F178" s="33"/>
      <c r="G178" s="24">
        <f t="shared" si="2"/>
        <v>0</v>
      </c>
      <c r="H178" s="20"/>
    </row>
    <row r="179" s="5" customFormat="1" ht="33" customHeight="1" spans="1:8">
      <c r="A179" s="21" t="s">
        <v>327</v>
      </c>
      <c r="B179" s="22" t="s">
        <v>328</v>
      </c>
      <c r="C179" s="23"/>
      <c r="D179" s="21"/>
      <c r="E179" s="21"/>
      <c r="F179" s="29"/>
      <c r="G179" s="24"/>
      <c r="H179" s="25"/>
    </row>
    <row r="180" s="5" customFormat="1" ht="33" customHeight="1" spans="1:8">
      <c r="A180" s="21" t="s">
        <v>329</v>
      </c>
      <c r="B180" s="39" t="s">
        <v>287</v>
      </c>
      <c r="C180" s="40"/>
      <c r="D180" s="41"/>
      <c r="E180" s="41"/>
      <c r="F180" s="33"/>
      <c r="G180" s="24"/>
      <c r="H180" s="36"/>
    </row>
    <row r="181" s="5" customFormat="1" ht="409" customHeight="1" spans="1:8">
      <c r="A181" s="38" t="s">
        <v>52</v>
      </c>
      <c r="B181" s="39" t="s">
        <v>215</v>
      </c>
      <c r="C181" s="28" t="s">
        <v>266</v>
      </c>
      <c r="D181" s="41" t="s">
        <v>117</v>
      </c>
      <c r="E181" s="41">
        <v>3</v>
      </c>
      <c r="F181" s="33"/>
      <c r="G181" s="24">
        <f t="shared" si="2"/>
        <v>0</v>
      </c>
      <c r="H181" s="36"/>
    </row>
    <row r="182" s="5" customFormat="1" ht="127" customHeight="1" spans="1:8">
      <c r="A182" s="38" t="s">
        <v>56</v>
      </c>
      <c r="B182" s="39" t="s">
        <v>313</v>
      </c>
      <c r="C182" s="40" t="s">
        <v>314</v>
      </c>
      <c r="D182" s="41" t="s">
        <v>193</v>
      </c>
      <c r="E182" s="41">
        <v>3</v>
      </c>
      <c r="F182" s="33"/>
      <c r="G182" s="24">
        <f t="shared" si="2"/>
        <v>0</v>
      </c>
      <c r="H182" s="36"/>
    </row>
    <row r="183" s="5" customFormat="1" ht="331" customHeight="1" spans="1:8">
      <c r="A183" s="38" t="s">
        <v>66</v>
      </c>
      <c r="B183" s="39" t="s">
        <v>174</v>
      </c>
      <c r="C183" s="40" t="s">
        <v>175</v>
      </c>
      <c r="D183" s="41" t="s">
        <v>105</v>
      </c>
      <c r="E183" s="41">
        <v>3</v>
      </c>
      <c r="F183" s="33"/>
      <c r="G183" s="24">
        <f t="shared" si="2"/>
        <v>0</v>
      </c>
      <c r="H183" s="36"/>
    </row>
    <row r="184" s="5" customFormat="1" ht="28" customHeight="1" spans="1:8">
      <c r="A184" s="38" t="s">
        <v>77</v>
      </c>
      <c r="B184" s="39" t="s">
        <v>288</v>
      </c>
      <c r="C184" s="40" t="s">
        <v>289</v>
      </c>
      <c r="D184" s="41" t="s">
        <v>248</v>
      </c>
      <c r="E184" s="41">
        <v>50</v>
      </c>
      <c r="F184" s="29"/>
      <c r="G184" s="24">
        <f t="shared" si="2"/>
        <v>0</v>
      </c>
      <c r="H184" s="36" t="s">
        <v>290</v>
      </c>
    </row>
    <row r="185" s="5" customFormat="1" ht="28" customHeight="1" spans="1:8">
      <c r="A185" s="38" t="s">
        <v>85</v>
      </c>
      <c r="B185" s="39" t="s">
        <v>291</v>
      </c>
      <c r="C185" s="40" t="s">
        <v>289</v>
      </c>
      <c r="D185" s="41" t="s">
        <v>248</v>
      </c>
      <c r="E185" s="41">
        <v>300</v>
      </c>
      <c r="F185" s="29"/>
      <c r="G185" s="24">
        <f t="shared" si="2"/>
        <v>0</v>
      </c>
      <c r="H185" s="36" t="s">
        <v>290</v>
      </c>
    </row>
    <row r="186" s="5" customFormat="1" ht="28" customHeight="1" spans="1:8">
      <c r="A186" s="38" t="s">
        <v>101</v>
      </c>
      <c r="B186" s="39" t="s">
        <v>252</v>
      </c>
      <c r="C186" s="40" t="s">
        <v>292</v>
      </c>
      <c r="D186" s="41" t="s">
        <v>248</v>
      </c>
      <c r="E186" s="41">
        <v>100</v>
      </c>
      <c r="F186" s="29"/>
      <c r="G186" s="24">
        <f t="shared" si="2"/>
        <v>0</v>
      </c>
      <c r="H186" s="36" t="s">
        <v>290</v>
      </c>
    </row>
    <row r="187" s="3" customFormat="1" ht="28" customHeight="1" spans="1:8">
      <c r="A187" s="38" t="s">
        <v>170</v>
      </c>
      <c r="B187" s="39" t="s">
        <v>246</v>
      </c>
      <c r="C187" s="40"/>
      <c r="D187" s="41" t="s">
        <v>248</v>
      </c>
      <c r="E187" s="41">
        <v>300</v>
      </c>
      <c r="F187" s="29"/>
      <c r="G187" s="24">
        <f t="shared" si="2"/>
        <v>0</v>
      </c>
      <c r="H187" s="36" t="s">
        <v>290</v>
      </c>
    </row>
    <row r="188" s="3" customFormat="1" ht="132" customHeight="1" spans="1:8">
      <c r="A188" s="38" t="s">
        <v>173</v>
      </c>
      <c r="B188" s="22" t="s">
        <v>171</v>
      </c>
      <c r="C188" s="23" t="s">
        <v>172</v>
      </c>
      <c r="D188" s="21" t="s">
        <v>159</v>
      </c>
      <c r="E188" s="41">
        <v>6</v>
      </c>
      <c r="F188" s="29"/>
      <c r="G188" s="24">
        <f t="shared" si="2"/>
        <v>0</v>
      </c>
      <c r="H188" s="36"/>
    </row>
    <row r="189" s="3" customFormat="1" ht="32" customHeight="1" spans="1:8">
      <c r="A189" s="38" t="s">
        <v>176</v>
      </c>
      <c r="B189" s="22" t="s">
        <v>180</v>
      </c>
      <c r="C189" s="23" t="s">
        <v>181</v>
      </c>
      <c r="D189" s="41" t="s">
        <v>55</v>
      </c>
      <c r="E189" s="41">
        <v>1</v>
      </c>
      <c r="F189" s="33"/>
      <c r="G189" s="24">
        <f t="shared" si="2"/>
        <v>0</v>
      </c>
      <c r="H189" s="36"/>
    </row>
    <row r="190" s="3" customFormat="1" ht="36" customHeight="1" spans="1:8">
      <c r="A190" s="21" t="s">
        <v>330</v>
      </c>
      <c r="B190" s="39" t="s">
        <v>294</v>
      </c>
      <c r="C190" s="47"/>
      <c r="D190" s="48"/>
      <c r="E190" s="48"/>
      <c r="F190" s="34"/>
      <c r="G190" s="24"/>
      <c r="H190" s="35"/>
    </row>
    <row r="191" s="3" customFormat="1" ht="409" customHeight="1" spans="1:8">
      <c r="A191" s="38" t="s">
        <v>52</v>
      </c>
      <c r="B191" s="39" t="s">
        <v>215</v>
      </c>
      <c r="C191" s="28" t="s">
        <v>266</v>
      </c>
      <c r="D191" s="41" t="s">
        <v>117</v>
      </c>
      <c r="E191" s="41">
        <v>2</v>
      </c>
      <c r="F191" s="33"/>
      <c r="G191" s="24">
        <f t="shared" si="2"/>
        <v>0</v>
      </c>
      <c r="H191" s="36"/>
    </row>
    <row r="192" s="3" customFormat="1" ht="341" customHeight="1" spans="1:8">
      <c r="A192" s="38" t="s">
        <v>56</v>
      </c>
      <c r="B192" s="39" t="s">
        <v>267</v>
      </c>
      <c r="C192" s="28" t="s">
        <v>268</v>
      </c>
      <c r="D192" s="41" t="s">
        <v>117</v>
      </c>
      <c r="E192" s="41">
        <v>4</v>
      </c>
      <c r="F192" s="33"/>
      <c r="G192" s="24">
        <f t="shared" si="2"/>
        <v>0</v>
      </c>
      <c r="H192" s="36"/>
    </row>
    <row r="193" s="3" customFormat="1" ht="314" customHeight="1" spans="1:10">
      <c r="A193" s="38" t="s">
        <v>66</v>
      </c>
      <c r="B193" s="39" t="s">
        <v>157</v>
      </c>
      <c r="C193" s="40" t="s">
        <v>186</v>
      </c>
      <c r="D193" s="41" t="s">
        <v>159</v>
      </c>
      <c r="E193" s="41">
        <v>2</v>
      </c>
      <c r="F193" s="33"/>
      <c r="G193" s="24">
        <f t="shared" si="2"/>
        <v>0</v>
      </c>
      <c r="H193" s="36"/>
    </row>
    <row r="194" s="3" customFormat="1" ht="337" customHeight="1" spans="1:10">
      <c r="A194" s="38" t="s">
        <v>77</v>
      </c>
      <c r="B194" s="39" t="s">
        <v>160</v>
      </c>
      <c r="C194" s="40" t="s">
        <v>295</v>
      </c>
      <c r="D194" s="41" t="s">
        <v>159</v>
      </c>
      <c r="E194" s="41">
        <v>4</v>
      </c>
      <c r="F194" s="33"/>
      <c r="G194" s="24">
        <f t="shared" si="2"/>
        <v>0</v>
      </c>
      <c r="H194" s="36"/>
    </row>
    <row r="195" s="3" customFormat="1" ht="83" customHeight="1" spans="1:10">
      <c r="A195" s="38" t="s">
        <v>85</v>
      </c>
      <c r="B195" s="39" t="s">
        <v>162</v>
      </c>
      <c r="C195" s="40" t="s">
        <v>163</v>
      </c>
      <c r="D195" s="41" t="s">
        <v>159</v>
      </c>
      <c r="E195" s="41">
        <v>2</v>
      </c>
      <c r="F195" s="33"/>
      <c r="G195" s="24">
        <f t="shared" si="2"/>
        <v>0</v>
      </c>
      <c r="H195" s="36"/>
    </row>
    <row r="196" s="3" customFormat="1" ht="203" customHeight="1" spans="1:10">
      <c r="A196" s="38" t="s">
        <v>101</v>
      </c>
      <c r="B196" s="39" t="s">
        <v>166</v>
      </c>
      <c r="C196" s="40" t="s">
        <v>331</v>
      </c>
      <c r="D196" s="41" t="s">
        <v>159</v>
      </c>
      <c r="E196" s="41">
        <v>2</v>
      </c>
      <c r="F196" s="33"/>
      <c r="G196" s="24">
        <f t="shared" si="2"/>
        <v>0</v>
      </c>
      <c r="H196" s="36"/>
    </row>
    <row r="197" s="3" customFormat="1" ht="178" customHeight="1" spans="1:10">
      <c r="A197" s="38" t="s">
        <v>170</v>
      </c>
      <c r="B197" s="22" t="s">
        <v>168</v>
      </c>
      <c r="C197" s="23" t="s">
        <v>169</v>
      </c>
      <c r="D197" s="41" t="s">
        <v>117</v>
      </c>
      <c r="E197" s="41">
        <v>4</v>
      </c>
      <c r="F197" s="33"/>
      <c r="G197" s="24">
        <f t="shared" si="2"/>
        <v>0</v>
      </c>
      <c r="H197" s="36"/>
    </row>
    <row r="198" s="3" customFormat="1" ht="264" customHeight="1" spans="1:10">
      <c r="A198" s="38" t="s">
        <v>173</v>
      </c>
      <c r="B198" s="39" t="s">
        <v>164</v>
      </c>
      <c r="C198" s="23" t="s">
        <v>165</v>
      </c>
      <c r="D198" s="41" t="s">
        <v>159</v>
      </c>
      <c r="E198" s="41">
        <v>2</v>
      </c>
      <c r="F198" s="33"/>
      <c r="G198" s="24">
        <f t="shared" si="2"/>
        <v>0</v>
      </c>
      <c r="H198" s="36"/>
    </row>
    <row r="199" s="3" customFormat="1" ht="147" customHeight="1" spans="1:10">
      <c r="A199" s="38" t="s">
        <v>176</v>
      </c>
      <c r="B199" s="39" t="s">
        <v>296</v>
      </c>
      <c r="C199" s="40" t="s">
        <v>297</v>
      </c>
      <c r="D199" s="41" t="s">
        <v>159</v>
      </c>
      <c r="E199" s="41">
        <f>E198</f>
        <v>2</v>
      </c>
      <c r="F199" s="33"/>
      <c r="G199" s="24">
        <f t="shared" si="2"/>
        <v>0</v>
      </c>
      <c r="H199" s="49"/>
    </row>
    <row r="200" s="3" customFormat="1" ht="251" customHeight="1" spans="1:10">
      <c r="A200" s="38" t="s">
        <v>179</v>
      </c>
      <c r="B200" s="39" t="s">
        <v>298</v>
      </c>
      <c r="C200" s="23" t="s">
        <v>299</v>
      </c>
      <c r="D200" s="41" t="s">
        <v>159</v>
      </c>
      <c r="E200" s="41">
        <v>2</v>
      </c>
      <c r="F200" s="33"/>
      <c r="G200" s="24">
        <f t="shared" si="2"/>
        <v>0</v>
      </c>
      <c r="H200" s="49"/>
    </row>
    <row r="201" s="3" customFormat="1" ht="241" customHeight="1" spans="1:10">
      <c r="A201" s="38" t="s">
        <v>300</v>
      </c>
      <c r="B201" s="39" t="s">
        <v>301</v>
      </c>
      <c r="C201" s="40" t="s">
        <v>302</v>
      </c>
      <c r="D201" s="41" t="s">
        <v>159</v>
      </c>
      <c r="E201" s="41">
        <v>2</v>
      </c>
      <c r="F201" s="33"/>
      <c r="G201" s="24">
        <f t="shared" ref="G201:G221" si="3">ROUND(E201*F201,2)</f>
        <v>0</v>
      </c>
      <c r="H201" s="36"/>
    </row>
    <row r="202" s="3" customFormat="1" ht="265" customHeight="1" spans="1:10">
      <c r="A202" s="38" t="s">
        <v>303</v>
      </c>
      <c r="B202" s="27" t="s">
        <v>304</v>
      </c>
      <c r="C202" s="40" t="s">
        <v>305</v>
      </c>
      <c r="D202" s="22" t="s">
        <v>159</v>
      </c>
      <c r="E202" s="22">
        <v>1</v>
      </c>
      <c r="F202" s="50"/>
      <c r="G202" s="24">
        <f t="shared" si="3"/>
        <v>0</v>
      </c>
      <c r="H202" s="36"/>
    </row>
    <row r="203" s="3" customFormat="1" ht="70" customHeight="1" spans="1:10">
      <c r="A203" s="38" t="s">
        <v>306</v>
      </c>
      <c r="B203" s="39" t="s">
        <v>307</v>
      </c>
      <c r="C203" s="28" t="s">
        <v>308</v>
      </c>
      <c r="D203" s="41" t="s">
        <v>159</v>
      </c>
      <c r="E203" s="41">
        <v>1</v>
      </c>
      <c r="F203" s="33"/>
      <c r="G203" s="24">
        <f t="shared" si="3"/>
        <v>0</v>
      </c>
      <c r="H203" s="36"/>
    </row>
    <row r="204" s="3" customFormat="1" ht="132" customHeight="1" spans="1:10">
      <c r="A204" s="38" t="s">
        <v>309</v>
      </c>
      <c r="B204" s="39" t="s">
        <v>313</v>
      </c>
      <c r="C204" s="40" t="s">
        <v>314</v>
      </c>
      <c r="D204" s="41" t="s">
        <v>193</v>
      </c>
      <c r="E204" s="41">
        <v>2</v>
      </c>
      <c r="F204" s="33"/>
      <c r="G204" s="24">
        <f t="shared" si="3"/>
        <v>0</v>
      </c>
      <c r="H204" s="36"/>
    </row>
    <row r="205" s="3" customFormat="1" ht="346" customHeight="1" spans="1:10">
      <c r="A205" s="38" t="s">
        <v>312</v>
      </c>
      <c r="B205" s="39" t="s">
        <v>174</v>
      </c>
      <c r="C205" s="40" t="s">
        <v>175</v>
      </c>
      <c r="D205" s="41" t="s">
        <v>117</v>
      </c>
      <c r="E205" s="41">
        <v>2</v>
      </c>
      <c r="F205" s="33"/>
      <c r="G205" s="24">
        <f t="shared" si="3"/>
        <v>0</v>
      </c>
      <c r="H205" s="36"/>
    </row>
    <row r="206" s="4" customFormat="1" ht="32" customHeight="1" spans="1:10">
      <c r="A206" s="38" t="s">
        <v>315</v>
      </c>
      <c r="B206" s="53" t="s">
        <v>246</v>
      </c>
      <c r="C206" s="54" t="s">
        <v>247</v>
      </c>
      <c r="D206" s="42" t="s">
        <v>248</v>
      </c>
      <c r="E206" s="42">
        <v>500</v>
      </c>
      <c r="F206" s="29"/>
      <c r="G206" s="24">
        <f t="shared" si="3"/>
        <v>0</v>
      </c>
      <c r="H206" s="36" t="s">
        <v>290</v>
      </c>
      <c r="I206" s="5"/>
      <c r="J206" s="5"/>
    </row>
    <row r="207" s="4" customFormat="1" ht="32" customHeight="1" spans="1:10">
      <c r="A207" s="38" t="s">
        <v>316</v>
      </c>
      <c r="B207" s="53" t="s">
        <v>252</v>
      </c>
      <c r="C207" s="40" t="s">
        <v>292</v>
      </c>
      <c r="D207" s="42" t="s">
        <v>248</v>
      </c>
      <c r="E207" s="42">
        <v>300</v>
      </c>
      <c r="F207" s="29"/>
      <c r="G207" s="24">
        <f t="shared" si="3"/>
        <v>0</v>
      </c>
      <c r="H207" s="36" t="s">
        <v>290</v>
      </c>
      <c r="I207" s="5"/>
      <c r="J207" s="5"/>
    </row>
    <row r="208" s="4" customFormat="1" ht="130" customHeight="1" spans="1:10">
      <c r="A208" s="38" t="s">
        <v>317</v>
      </c>
      <c r="B208" s="22" t="s">
        <v>171</v>
      </c>
      <c r="C208" s="23" t="s">
        <v>172</v>
      </c>
      <c r="D208" s="21" t="s">
        <v>159</v>
      </c>
      <c r="E208" s="41">
        <v>4</v>
      </c>
      <c r="F208" s="33"/>
      <c r="G208" s="24">
        <f t="shared" si="3"/>
        <v>0</v>
      </c>
      <c r="H208" s="36"/>
      <c r="I208" s="5"/>
      <c r="J208" s="5"/>
    </row>
    <row r="209" s="5" customFormat="1" ht="30" customHeight="1" spans="1:10">
      <c r="A209" s="38" t="s">
        <v>318</v>
      </c>
      <c r="B209" s="22" t="s">
        <v>180</v>
      </c>
      <c r="C209" s="23" t="s">
        <v>181</v>
      </c>
      <c r="D209" s="41" t="s">
        <v>55</v>
      </c>
      <c r="E209" s="41">
        <v>1</v>
      </c>
      <c r="F209" s="33"/>
      <c r="G209" s="24">
        <f t="shared" si="3"/>
        <v>0</v>
      </c>
      <c r="H209" s="25"/>
    </row>
    <row r="210" s="5" customFormat="1" ht="24" customHeight="1" spans="1:10">
      <c r="A210" s="21">
        <v>3.3</v>
      </c>
      <c r="B210" s="22" t="s">
        <v>150</v>
      </c>
      <c r="C210" s="18"/>
      <c r="D210" s="17"/>
      <c r="E210" s="17"/>
      <c r="F210" s="31"/>
      <c r="G210" s="24"/>
      <c r="H210" s="20"/>
    </row>
    <row r="211" s="4" customFormat="1" ht="24" customHeight="1" spans="1:10">
      <c r="A211" s="41" t="s">
        <v>332</v>
      </c>
      <c r="B211" s="39" t="s">
        <v>333</v>
      </c>
      <c r="C211" s="47"/>
      <c r="D211" s="48"/>
      <c r="E211" s="48"/>
      <c r="F211" s="34"/>
      <c r="G211" s="24"/>
      <c r="H211" s="35"/>
      <c r="I211" s="5"/>
      <c r="J211" s="5"/>
    </row>
    <row r="212" s="4" customFormat="1" ht="409" customHeight="1" spans="1:10">
      <c r="A212" s="41" t="s">
        <v>52</v>
      </c>
      <c r="B212" s="39" t="s">
        <v>215</v>
      </c>
      <c r="C212" s="28" t="s">
        <v>266</v>
      </c>
      <c r="D212" s="41" t="s">
        <v>159</v>
      </c>
      <c r="E212" s="41">
        <v>8</v>
      </c>
      <c r="F212" s="29"/>
      <c r="G212" s="24">
        <f t="shared" si="3"/>
        <v>0</v>
      </c>
      <c r="H212" s="36"/>
      <c r="I212" s="5"/>
      <c r="J212" s="5"/>
    </row>
    <row r="213" s="4" customFormat="1" ht="343" customHeight="1" spans="1:10">
      <c r="A213" s="41" t="s">
        <v>56</v>
      </c>
      <c r="B213" s="39" t="s">
        <v>267</v>
      </c>
      <c r="C213" s="28" t="s">
        <v>268</v>
      </c>
      <c r="D213" s="41" t="s">
        <v>159</v>
      </c>
      <c r="E213" s="41">
        <v>16</v>
      </c>
      <c r="F213" s="33"/>
      <c r="G213" s="24">
        <f t="shared" si="3"/>
        <v>0</v>
      </c>
      <c r="H213" s="36"/>
      <c r="I213" s="5"/>
      <c r="J213" s="5"/>
    </row>
    <row r="214" s="4" customFormat="1" ht="333" customHeight="1" spans="1:10">
      <c r="A214" s="41" t="s">
        <v>66</v>
      </c>
      <c r="B214" s="39" t="s">
        <v>174</v>
      </c>
      <c r="C214" s="40" t="s">
        <v>175</v>
      </c>
      <c r="D214" s="41" t="s">
        <v>105</v>
      </c>
      <c r="E214" s="41">
        <v>7</v>
      </c>
      <c r="F214" s="33"/>
      <c r="G214" s="24">
        <f t="shared" si="3"/>
        <v>0</v>
      </c>
      <c r="H214" s="36"/>
      <c r="I214" s="5"/>
      <c r="J214" s="5"/>
    </row>
    <row r="215" s="4" customFormat="1" ht="329" customHeight="1" spans="1:10">
      <c r="A215" s="41" t="s">
        <v>77</v>
      </c>
      <c r="B215" s="39" t="s">
        <v>334</v>
      </c>
      <c r="C215" s="40" t="s">
        <v>335</v>
      </c>
      <c r="D215" s="41" t="s">
        <v>105</v>
      </c>
      <c r="E215" s="41">
        <v>1</v>
      </c>
      <c r="F215" s="33"/>
      <c r="G215" s="24">
        <f t="shared" si="3"/>
        <v>0</v>
      </c>
      <c r="H215" s="36"/>
      <c r="I215" s="5"/>
      <c r="J215" s="5"/>
    </row>
    <row r="216" s="5" customFormat="1" ht="30" customHeight="1" spans="1:10">
      <c r="A216" s="41" t="s">
        <v>85</v>
      </c>
      <c r="B216" s="39" t="s">
        <v>336</v>
      </c>
      <c r="C216" s="40"/>
      <c r="D216" s="41" t="s">
        <v>105</v>
      </c>
      <c r="E216" s="41">
        <v>7</v>
      </c>
      <c r="F216" s="33"/>
      <c r="G216" s="24">
        <f t="shared" si="3"/>
        <v>0</v>
      </c>
      <c r="H216" s="36"/>
    </row>
    <row r="217" s="5" customFormat="1" ht="30" customHeight="1" spans="1:10">
      <c r="A217" s="41" t="s">
        <v>101</v>
      </c>
      <c r="B217" s="39" t="s">
        <v>337</v>
      </c>
      <c r="C217" s="40"/>
      <c r="D217" s="41" t="s">
        <v>105</v>
      </c>
      <c r="E217" s="41">
        <v>1</v>
      </c>
      <c r="F217" s="33"/>
      <c r="G217" s="24">
        <f t="shared" si="3"/>
        <v>0</v>
      </c>
      <c r="H217" s="36"/>
    </row>
    <row r="218" s="5" customFormat="1" ht="30" customHeight="1" spans="1:10">
      <c r="A218" s="41" t="s">
        <v>170</v>
      </c>
      <c r="B218" s="22" t="s">
        <v>338</v>
      </c>
      <c r="C218" s="23"/>
      <c r="D218" s="21"/>
      <c r="E218" s="41"/>
      <c r="F218" s="33"/>
      <c r="G218" s="24"/>
      <c r="H218" s="36"/>
    </row>
    <row r="219" s="5" customFormat="1" ht="30" customHeight="1" spans="1:10">
      <c r="A219" s="41" t="s">
        <v>339</v>
      </c>
      <c r="B219" s="22" t="s">
        <v>340</v>
      </c>
      <c r="C219" s="23" t="s">
        <v>341</v>
      </c>
      <c r="D219" s="41" t="s">
        <v>248</v>
      </c>
      <c r="E219" s="41">
        <v>2400</v>
      </c>
      <c r="F219" s="29"/>
      <c r="G219" s="24">
        <f t="shared" si="3"/>
        <v>0</v>
      </c>
      <c r="H219" s="36" t="s">
        <v>290</v>
      </c>
    </row>
    <row r="220" s="5" customFormat="1" ht="30" customHeight="1" spans="1:10">
      <c r="A220" s="41" t="s">
        <v>342</v>
      </c>
      <c r="B220" s="22" t="s">
        <v>343</v>
      </c>
      <c r="C220" s="23"/>
      <c r="D220" s="41" t="s">
        <v>117</v>
      </c>
      <c r="E220" s="41">
        <v>24</v>
      </c>
      <c r="F220" s="29"/>
      <c r="G220" s="24">
        <f t="shared" si="3"/>
        <v>0</v>
      </c>
      <c r="H220" s="36" t="s">
        <v>290</v>
      </c>
    </row>
    <row r="221" s="5" customFormat="1" ht="30" customHeight="1" spans="1:10">
      <c r="A221" s="41" t="s">
        <v>344</v>
      </c>
      <c r="B221" s="22" t="s">
        <v>345</v>
      </c>
      <c r="C221" s="23" t="s">
        <v>346</v>
      </c>
      <c r="D221" s="41" t="s">
        <v>248</v>
      </c>
      <c r="E221" s="41">
        <v>2400</v>
      </c>
      <c r="F221" s="29"/>
      <c r="G221" s="24">
        <f t="shared" si="3"/>
        <v>0</v>
      </c>
      <c r="H221" s="36" t="s">
        <v>290</v>
      </c>
    </row>
    <row r="222" s="5" customFormat="1" ht="30" customHeight="1" spans="1:10">
      <c r="A222" s="41" t="s">
        <v>173</v>
      </c>
      <c r="B222" s="22" t="s">
        <v>347</v>
      </c>
      <c r="C222" s="23"/>
      <c r="D222" s="21"/>
      <c r="E222" s="41"/>
      <c r="F222" s="33"/>
      <c r="G222" s="24"/>
      <c r="H222" s="36"/>
    </row>
    <row r="223" s="4" customFormat="1" ht="117" customHeight="1" spans="1:10">
      <c r="A223" s="41" t="s">
        <v>339</v>
      </c>
      <c r="B223" s="22" t="s">
        <v>171</v>
      </c>
      <c r="C223" s="23" t="s">
        <v>172</v>
      </c>
      <c r="D223" s="21" t="s">
        <v>159</v>
      </c>
      <c r="E223" s="41">
        <v>8</v>
      </c>
      <c r="F223" s="29"/>
      <c r="G223" s="24">
        <f t="shared" ref="G222:G262" si="4">ROUND(E223*F223,2)</f>
        <v>0</v>
      </c>
      <c r="H223" s="36"/>
      <c r="I223" s="5"/>
      <c r="J223" s="5"/>
    </row>
    <row r="224" s="4" customFormat="1" ht="35" customHeight="1" spans="1:10">
      <c r="A224" s="41" t="s">
        <v>342</v>
      </c>
      <c r="B224" s="22" t="s">
        <v>252</v>
      </c>
      <c r="C224" s="23" t="s">
        <v>348</v>
      </c>
      <c r="D224" s="21" t="s">
        <v>248</v>
      </c>
      <c r="E224" s="41">
        <v>400</v>
      </c>
      <c r="F224" s="29"/>
      <c r="G224" s="24">
        <f t="shared" si="4"/>
        <v>0</v>
      </c>
      <c r="H224" s="36" t="s">
        <v>290</v>
      </c>
      <c r="I224" s="5"/>
      <c r="J224" s="5"/>
    </row>
    <row r="225" s="4" customFormat="1" ht="30" customHeight="1" spans="1:10">
      <c r="A225" s="41" t="s">
        <v>176</v>
      </c>
      <c r="B225" s="22" t="s">
        <v>180</v>
      </c>
      <c r="C225" s="23" t="s">
        <v>181</v>
      </c>
      <c r="D225" s="21" t="s">
        <v>55</v>
      </c>
      <c r="E225" s="41">
        <v>1</v>
      </c>
      <c r="F225" s="33"/>
      <c r="G225" s="24">
        <f t="shared" si="4"/>
        <v>0</v>
      </c>
      <c r="H225" s="36"/>
      <c r="I225" s="5"/>
      <c r="J225" s="5"/>
    </row>
    <row r="226" s="4" customFormat="1" ht="30" customHeight="1" spans="1:10">
      <c r="A226" s="41" t="s">
        <v>349</v>
      </c>
      <c r="B226" s="39" t="s">
        <v>350</v>
      </c>
      <c r="C226" s="47"/>
      <c r="D226" s="48"/>
      <c r="E226" s="48"/>
      <c r="F226" s="34"/>
      <c r="G226" s="24"/>
      <c r="H226" s="35"/>
      <c r="I226" s="5"/>
      <c r="J226" s="5"/>
    </row>
    <row r="227" s="4" customFormat="1" ht="235" customHeight="1" spans="1:10">
      <c r="A227" s="41" t="s">
        <v>52</v>
      </c>
      <c r="B227" s="22" t="s">
        <v>351</v>
      </c>
      <c r="C227" s="23" t="s">
        <v>352</v>
      </c>
      <c r="D227" s="51" t="s">
        <v>159</v>
      </c>
      <c r="E227" s="51">
        <v>1</v>
      </c>
      <c r="F227" s="33"/>
      <c r="G227" s="24">
        <f t="shared" si="4"/>
        <v>0</v>
      </c>
      <c r="H227" s="36"/>
      <c r="I227" s="5"/>
      <c r="J227" s="5"/>
    </row>
    <row r="228" s="4" customFormat="1" ht="132" customHeight="1" spans="1:10">
      <c r="A228" s="41" t="s">
        <v>56</v>
      </c>
      <c r="B228" s="22" t="s">
        <v>353</v>
      </c>
      <c r="C228" s="23" t="s">
        <v>354</v>
      </c>
      <c r="D228" s="51" t="s">
        <v>105</v>
      </c>
      <c r="E228" s="51">
        <v>1</v>
      </c>
      <c r="F228" s="33"/>
      <c r="G228" s="24">
        <f t="shared" si="4"/>
        <v>0</v>
      </c>
      <c r="H228" s="36"/>
      <c r="I228" s="5"/>
      <c r="J228" s="5"/>
    </row>
    <row r="229" s="4" customFormat="1" ht="121" customHeight="1" spans="1:10">
      <c r="A229" s="41" t="s">
        <v>66</v>
      </c>
      <c r="B229" s="22" t="s">
        <v>355</v>
      </c>
      <c r="C229" s="23" t="s">
        <v>356</v>
      </c>
      <c r="D229" s="51" t="s">
        <v>105</v>
      </c>
      <c r="E229" s="51">
        <v>1</v>
      </c>
      <c r="F229" s="33"/>
      <c r="G229" s="24">
        <f t="shared" si="4"/>
        <v>0</v>
      </c>
      <c r="H229" s="36"/>
      <c r="I229" s="5"/>
      <c r="J229" s="5"/>
    </row>
    <row r="230" s="4" customFormat="1" ht="30" customHeight="1" spans="1:10">
      <c r="A230" s="41" t="s">
        <v>77</v>
      </c>
      <c r="B230" s="22" t="s">
        <v>180</v>
      </c>
      <c r="C230" s="23" t="s">
        <v>181</v>
      </c>
      <c r="D230" s="21" t="s">
        <v>55</v>
      </c>
      <c r="E230" s="41">
        <v>1</v>
      </c>
      <c r="F230" s="29"/>
      <c r="G230" s="24">
        <f t="shared" si="4"/>
        <v>0</v>
      </c>
      <c r="H230" s="20"/>
      <c r="I230" s="5"/>
      <c r="J230" s="5"/>
    </row>
    <row r="231" s="4" customFormat="1" ht="35" customHeight="1" spans="1:10">
      <c r="A231" s="41" t="s">
        <v>357</v>
      </c>
      <c r="B231" s="22" t="s">
        <v>358</v>
      </c>
      <c r="C231" s="23"/>
      <c r="D231" s="21" t="s">
        <v>55</v>
      </c>
      <c r="E231" s="41">
        <v>1</v>
      </c>
      <c r="F231" s="29"/>
      <c r="G231" s="24">
        <f t="shared" si="4"/>
        <v>0</v>
      </c>
      <c r="H231" s="25"/>
      <c r="I231" s="5"/>
      <c r="J231" s="5"/>
    </row>
    <row r="232" s="4" customFormat="1" ht="30" customHeight="1" spans="1:10">
      <c r="A232" s="21">
        <v>3.4</v>
      </c>
      <c r="B232" s="22" t="s">
        <v>359</v>
      </c>
      <c r="C232" s="23"/>
      <c r="D232" s="21"/>
      <c r="E232" s="21"/>
      <c r="F232" s="29"/>
      <c r="G232" s="24"/>
      <c r="H232" s="25"/>
      <c r="I232" s="5"/>
      <c r="J232" s="5"/>
    </row>
    <row r="233" s="4" customFormat="1" ht="30" customHeight="1" spans="1:10">
      <c r="A233" s="21" t="s">
        <v>360</v>
      </c>
      <c r="B233" s="22" t="s">
        <v>361</v>
      </c>
      <c r="C233" s="23"/>
      <c r="D233" s="21"/>
      <c r="E233" s="21"/>
      <c r="F233" s="29"/>
      <c r="G233" s="24"/>
      <c r="H233" s="25"/>
      <c r="I233" s="5"/>
      <c r="J233" s="5"/>
    </row>
    <row r="234" s="4" customFormat="1" ht="138" customHeight="1" spans="1:10">
      <c r="A234" s="21" t="s">
        <v>362</v>
      </c>
      <c r="B234" s="43" t="s">
        <v>363</v>
      </c>
      <c r="C234" s="23" t="s">
        <v>364</v>
      </c>
      <c r="D234" s="51" t="s">
        <v>159</v>
      </c>
      <c r="E234" s="26">
        <v>1</v>
      </c>
      <c r="F234" s="52"/>
      <c r="G234" s="24">
        <f t="shared" si="4"/>
        <v>0</v>
      </c>
      <c r="H234" s="55" t="s">
        <v>365</v>
      </c>
      <c r="I234" s="5"/>
      <c r="J234" s="5"/>
    </row>
    <row r="235" s="4" customFormat="1" ht="135" customHeight="1" spans="1:10">
      <c r="A235" s="21" t="s">
        <v>366</v>
      </c>
      <c r="B235" s="43" t="s">
        <v>367</v>
      </c>
      <c r="C235" s="23" t="s">
        <v>368</v>
      </c>
      <c r="D235" s="51" t="s">
        <v>159</v>
      </c>
      <c r="E235" s="26">
        <v>1</v>
      </c>
      <c r="F235" s="52"/>
      <c r="G235" s="24">
        <f t="shared" si="4"/>
        <v>0</v>
      </c>
      <c r="H235" s="55" t="s">
        <v>365</v>
      </c>
      <c r="I235" s="5"/>
      <c r="J235" s="5"/>
    </row>
    <row r="236" s="4" customFormat="1" ht="101" customHeight="1" spans="1:10">
      <c r="A236" s="21" t="s">
        <v>369</v>
      </c>
      <c r="B236" s="43" t="s">
        <v>370</v>
      </c>
      <c r="C236" s="23" t="s">
        <v>371</v>
      </c>
      <c r="D236" s="51" t="s">
        <v>159</v>
      </c>
      <c r="E236" s="26">
        <v>1</v>
      </c>
      <c r="F236" s="52"/>
      <c r="G236" s="24">
        <f t="shared" si="4"/>
        <v>0</v>
      </c>
      <c r="H236" s="55" t="s">
        <v>365</v>
      </c>
      <c r="I236" s="5"/>
      <c r="J236" s="5"/>
    </row>
    <row r="237" s="4" customFormat="1" ht="135" customHeight="1" spans="1:10">
      <c r="A237" s="21" t="s">
        <v>372</v>
      </c>
      <c r="B237" s="43" t="s">
        <v>373</v>
      </c>
      <c r="C237" s="23" t="s">
        <v>374</v>
      </c>
      <c r="D237" s="51" t="s">
        <v>159</v>
      </c>
      <c r="E237" s="51">
        <v>1</v>
      </c>
      <c r="F237" s="52"/>
      <c r="G237" s="24">
        <f t="shared" si="4"/>
        <v>0</v>
      </c>
      <c r="H237" s="55" t="s">
        <v>365</v>
      </c>
      <c r="I237" s="5"/>
      <c r="J237" s="5"/>
    </row>
    <row r="238" s="4" customFormat="1" ht="136" customHeight="1" spans="1:10">
      <c r="A238" s="21" t="s">
        <v>375</v>
      </c>
      <c r="B238" s="43" t="s">
        <v>376</v>
      </c>
      <c r="C238" s="23" t="s">
        <v>374</v>
      </c>
      <c r="D238" s="51" t="s">
        <v>159</v>
      </c>
      <c r="E238" s="51">
        <v>1</v>
      </c>
      <c r="F238" s="52"/>
      <c r="G238" s="24">
        <f t="shared" si="4"/>
        <v>0</v>
      </c>
      <c r="H238" s="55" t="s">
        <v>365</v>
      </c>
      <c r="I238" s="5"/>
      <c r="J238" s="5"/>
    </row>
    <row r="239" s="4" customFormat="1" ht="28" customHeight="1" spans="1:10">
      <c r="A239" s="21" t="s">
        <v>377</v>
      </c>
      <c r="B239" s="43" t="s">
        <v>378</v>
      </c>
      <c r="C239" s="23" t="s">
        <v>379</v>
      </c>
      <c r="D239" s="51" t="s">
        <v>105</v>
      </c>
      <c r="E239" s="51">
        <v>1</v>
      </c>
      <c r="F239" s="52"/>
      <c r="G239" s="24">
        <f t="shared" si="4"/>
        <v>0</v>
      </c>
      <c r="H239" s="55" t="s">
        <v>365</v>
      </c>
      <c r="I239" s="5"/>
      <c r="J239" s="5"/>
    </row>
    <row r="240" s="4" customFormat="1" ht="103" customHeight="1" spans="1:10">
      <c r="A240" s="21" t="s">
        <v>380</v>
      </c>
      <c r="B240" s="39" t="s">
        <v>381</v>
      </c>
      <c r="C240" s="23" t="s">
        <v>382</v>
      </c>
      <c r="D240" s="41" t="s">
        <v>159</v>
      </c>
      <c r="E240" s="41">
        <v>1</v>
      </c>
      <c r="F240" s="52"/>
      <c r="G240" s="24">
        <f t="shared" si="4"/>
        <v>0</v>
      </c>
      <c r="H240" s="55" t="s">
        <v>365</v>
      </c>
      <c r="I240" s="5"/>
      <c r="J240" s="5"/>
    </row>
    <row r="241" s="4" customFormat="1" ht="308" customHeight="1" spans="1:10">
      <c r="A241" s="21" t="s">
        <v>383</v>
      </c>
      <c r="B241" s="22" t="s">
        <v>384</v>
      </c>
      <c r="C241" s="23" t="s">
        <v>385</v>
      </c>
      <c r="D241" s="21" t="s">
        <v>159</v>
      </c>
      <c r="E241" s="21">
        <v>4</v>
      </c>
      <c r="F241" s="33"/>
      <c r="G241" s="24">
        <f t="shared" si="4"/>
        <v>0</v>
      </c>
      <c r="H241" s="55" t="s">
        <v>386</v>
      </c>
      <c r="I241" s="5"/>
      <c r="J241" s="5"/>
    </row>
    <row r="242" s="4" customFormat="1" ht="68" customHeight="1" spans="1:10">
      <c r="A242" s="21" t="s">
        <v>387</v>
      </c>
      <c r="B242" s="39" t="s">
        <v>388</v>
      </c>
      <c r="C242" s="23" t="s">
        <v>389</v>
      </c>
      <c r="D242" s="41" t="s">
        <v>390</v>
      </c>
      <c r="E242" s="41">
        <v>280</v>
      </c>
      <c r="F242" s="33"/>
      <c r="G242" s="24">
        <f t="shared" si="4"/>
        <v>0</v>
      </c>
      <c r="H242" s="55" t="s">
        <v>391</v>
      </c>
      <c r="I242" s="5"/>
      <c r="J242" s="5"/>
    </row>
    <row r="243" s="4" customFormat="1" ht="75" customHeight="1" spans="1:10">
      <c r="A243" s="21" t="s">
        <v>392</v>
      </c>
      <c r="B243" s="39" t="s">
        <v>393</v>
      </c>
      <c r="C243" s="23" t="s">
        <v>394</v>
      </c>
      <c r="D243" s="41" t="s">
        <v>159</v>
      </c>
      <c r="E243" s="41">
        <v>1</v>
      </c>
      <c r="F243" s="33"/>
      <c r="G243" s="24">
        <f t="shared" si="4"/>
        <v>0</v>
      </c>
      <c r="H243" s="55" t="s">
        <v>365</v>
      </c>
      <c r="I243" s="5"/>
      <c r="J243" s="5"/>
    </row>
    <row r="244" s="4" customFormat="1" ht="235" customHeight="1" spans="1:10">
      <c r="A244" s="21" t="s">
        <v>395</v>
      </c>
      <c r="B244" s="39" t="s">
        <v>396</v>
      </c>
      <c r="C244" s="23" t="s">
        <v>397</v>
      </c>
      <c r="D244" s="41" t="s">
        <v>159</v>
      </c>
      <c r="E244" s="41">
        <v>1</v>
      </c>
      <c r="F244" s="33"/>
      <c r="G244" s="24">
        <f t="shared" si="4"/>
        <v>0</v>
      </c>
      <c r="H244" s="55" t="s">
        <v>365</v>
      </c>
      <c r="I244" s="5"/>
      <c r="J244" s="5"/>
    </row>
    <row r="245" s="4" customFormat="1" ht="55" customHeight="1" spans="1:10">
      <c r="A245" s="21" t="s">
        <v>398</v>
      </c>
      <c r="B245" s="39" t="s">
        <v>399</v>
      </c>
      <c r="C245" s="40" t="s">
        <v>400</v>
      </c>
      <c r="D245" s="24" t="s">
        <v>105</v>
      </c>
      <c r="E245" s="41">
        <v>6</v>
      </c>
      <c r="F245" s="29"/>
      <c r="G245" s="24">
        <f t="shared" si="4"/>
        <v>0</v>
      </c>
      <c r="H245" s="36" t="s">
        <v>401</v>
      </c>
      <c r="I245" s="5"/>
      <c r="J245" s="5"/>
    </row>
    <row r="246" s="4" customFormat="1" ht="31" customHeight="1" spans="1:10">
      <c r="A246" s="21" t="s">
        <v>402</v>
      </c>
      <c r="B246" s="22" t="s">
        <v>403</v>
      </c>
      <c r="C246" s="23"/>
      <c r="D246" s="21"/>
      <c r="E246" s="21"/>
      <c r="F246" s="29"/>
      <c r="G246" s="24"/>
      <c r="H246" s="25"/>
      <c r="I246" s="5"/>
      <c r="J246" s="5"/>
    </row>
    <row r="247" s="4" customFormat="1" ht="65" customHeight="1" spans="1:10">
      <c r="A247" s="21" t="s">
        <v>404</v>
      </c>
      <c r="B247" s="39" t="s">
        <v>405</v>
      </c>
      <c r="C247" s="40" t="s">
        <v>406</v>
      </c>
      <c r="D247" s="41"/>
      <c r="E247" s="41"/>
      <c r="F247" s="33"/>
      <c r="G247" s="24"/>
      <c r="H247" s="36" t="s">
        <v>407</v>
      </c>
      <c r="I247" s="5"/>
      <c r="J247" s="5"/>
    </row>
    <row r="248" s="4" customFormat="1" ht="189" customHeight="1" spans="1:10">
      <c r="A248" s="41" t="s">
        <v>52</v>
      </c>
      <c r="B248" s="39" t="s">
        <v>408</v>
      </c>
      <c r="C248" s="23" t="s">
        <v>409</v>
      </c>
      <c r="D248" s="41" t="s">
        <v>159</v>
      </c>
      <c r="E248" s="41">
        <v>3</v>
      </c>
      <c r="F248" s="33"/>
      <c r="G248" s="24">
        <f t="shared" si="4"/>
        <v>0</v>
      </c>
      <c r="H248" s="36" t="s">
        <v>410</v>
      </c>
      <c r="I248" s="5"/>
      <c r="J248" s="5"/>
    </row>
    <row r="249" s="4" customFormat="1" ht="272" customHeight="1" spans="1:10">
      <c r="A249" s="41" t="s">
        <v>56</v>
      </c>
      <c r="B249" s="39" t="s">
        <v>411</v>
      </c>
      <c r="C249" s="40" t="s">
        <v>412</v>
      </c>
      <c r="D249" s="41" t="s">
        <v>159</v>
      </c>
      <c r="E249" s="41">
        <v>4</v>
      </c>
      <c r="F249" s="33"/>
      <c r="G249" s="24">
        <f t="shared" si="4"/>
        <v>0</v>
      </c>
      <c r="H249" s="36" t="s">
        <v>413</v>
      </c>
      <c r="I249" s="5"/>
      <c r="J249" s="5"/>
    </row>
    <row r="250" s="3" customFormat="1" ht="37" customHeight="1" spans="1:10">
      <c r="A250" s="56" t="s">
        <v>414</v>
      </c>
      <c r="B250" s="39" t="s">
        <v>415</v>
      </c>
      <c r="C250" s="57" t="s">
        <v>416</v>
      </c>
      <c r="D250" s="58"/>
      <c r="E250" s="58"/>
      <c r="F250" s="59"/>
      <c r="G250" s="24"/>
      <c r="H250" s="58"/>
    </row>
    <row r="251" s="4" customFormat="1" ht="234" customHeight="1" spans="1:10">
      <c r="A251" s="41" t="s">
        <v>52</v>
      </c>
      <c r="B251" s="22" t="s">
        <v>417</v>
      </c>
      <c r="C251" s="23" t="s">
        <v>418</v>
      </c>
      <c r="D251" s="41" t="s">
        <v>159</v>
      </c>
      <c r="E251" s="41">
        <v>1</v>
      </c>
      <c r="F251" s="33"/>
      <c r="G251" s="24">
        <f t="shared" si="4"/>
        <v>0</v>
      </c>
      <c r="H251" s="36" t="s">
        <v>419</v>
      </c>
      <c r="I251" s="5"/>
      <c r="J251" s="5"/>
    </row>
    <row r="252" s="4" customFormat="1" ht="151" customHeight="1" spans="1:10">
      <c r="A252" s="41" t="s">
        <v>56</v>
      </c>
      <c r="B252" s="39" t="s">
        <v>420</v>
      </c>
      <c r="C252" s="40" t="s">
        <v>421</v>
      </c>
      <c r="D252" s="41" t="s">
        <v>159</v>
      </c>
      <c r="E252" s="41">
        <v>1</v>
      </c>
      <c r="F252" s="33"/>
      <c r="G252" s="24">
        <f t="shared" si="4"/>
        <v>0</v>
      </c>
      <c r="H252" s="36" t="s">
        <v>419</v>
      </c>
      <c r="I252" s="5"/>
      <c r="J252" s="5"/>
    </row>
    <row r="253" s="4" customFormat="1" ht="85" customHeight="1" spans="1:10">
      <c r="A253" s="41" t="s">
        <v>66</v>
      </c>
      <c r="B253" s="39" t="s">
        <v>422</v>
      </c>
      <c r="C253" s="40" t="s">
        <v>423</v>
      </c>
      <c r="D253" s="41" t="s">
        <v>159</v>
      </c>
      <c r="E253" s="41">
        <v>2</v>
      </c>
      <c r="F253" s="33"/>
      <c r="G253" s="24">
        <f t="shared" si="4"/>
        <v>0</v>
      </c>
      <c r="H253" s="36" t="s">
        <v>424</v>
      </c>
      <c r="I253" s="60"/>
      <c r="J253" s="5"/>
    </row>
    <row r="254" s="4" customFormat="1" ht="26" customHeight="1" spans="1:10">
      <c r="A254" s="21" t="s">
        <v>425</v>
      </c>
      <c r="B254" s="22" t="s">
        <v>426</v>
      </c>
      <c r="C254" s="23"/>
      <c r="D254" s="21"/>
      <c r="E254" s="21"/>
      <c r="F254" s="29"/>
      <c r="G254" s="24"/>
      <c r="H254" s="25"/>
      <c r="I254" s="60"/>
      <c r="J254" s="5"/>
    </row>
    <row r="255" s="4" customFormat="1" ht="192" customHeight="1" spans="1:10">
      <c r="A255" s="21" t="s">
        <v>427</v>
      </c>
      <c r="B255" s="22" t="s">
        <v>428</v>
      </c>
      <c r="C255" s="40" t="s">
        <v>429</v>
      </c>
      <c r="D255" s="21" t="s">
        <v>159</v>
      </c>
      <c r="E255" s="21">
        <v>1</v>
      </c>
      <c r="F255" s="33"/>
      <c r="G255" s="24">
        <f t="shared" si="4"/>
        <v>0</v>
      </c>
      <c r="H255" s="55" t="s">
        <v>365</v>
      </c>
      <c r="I255" s="5"/>
      <c r="J255" s="5"/>
    </row>
    <row r="256" s="4" customFormat="1" ht="124" customHeight="1" spans="1:10">
      <c r="A256" s="21" t="s">
        <v>430</v>
      </c>
      <c r="B256" s="22" t="s">
        <v>431</v>
      </c>
      <c r="C256" s="40" t="s">
        <v>432</v>
      </c>
      <c r="D256" s="21" t="s">
        <v>159</v>
      </c>
      <c r="E256" s="21">
        <v>1</v>
      </c>
      <c r="F256" s="33"/>
      <c r="G256" s="24">
        <f t="shared" si="4"/>
        <v>0</v>
      </c>
      <c r="H256" s="55" t="s">
        <v>365</v>
      </c>
      <c r="I256" s="5"/>
      <c r="J256" s="5"/>
    </row>
    <row r="257" s="4" customFormat="1" ht="98" customHeight="1" spans="1:1023 1029:2045 2051:2570">
      <c r="A257" s="21" t="s">
        <v>433</v>
      </c>
      <c r="B257" s="22" t="s">
        <v>434</v>
      </c>
      <c r="C257" s="40" t="s">
        <v>435</v>
      </c>
      <c r="D257" s="21" t="s">
        <v>159</v>
      </c>
      <c r="E257" s="21">
        <v>1</v>
      </c>
      <c r="F257" s="33"/>
      <c r="G257" s="24">
        <f t="shared" si="4"/>
        <v>0</v>
      </c>
      <c r="H257" s="55" t="s">
        <v>365</v>
      </c>
      <c r="I257" s="5"/>
      <c r="J257" s="5"/>
    </row>
    <row r="258" s="3" customFormat="1" ht="222" customHeight="1" spans="1:1023 1029:2045 2051:2570">
      <c r="A258" s="21" t="s">
        <v>436</v>
      </c>
      <c r="B258" s="22" t="s">
        <v>417</v>
      </c>
      <c r="C258" s="23" t="s">
        <v>418</v>
      </c>
      <c r="D258" s="41" t="s">
        <v>159</v>
      </c>
      <c r="E258" s="41">
        <v>2</v>
      </c>
      <c r="F258" s="33"/>
      <c r="G258" s="24">
        <f t="shared" si="4"/>
        <v>0</v>
      </c>
      <c r="H258" s="36" t="s">
        <v>437</v>
      </c>
    </row>
    <row r="259" s="6" customFormat="1" ht="102" customHeight="1" spans="1:1023 1029:2045 2051:2570">
      <c r="A259" s="21" t="s">
        <v>438</v>
      </c>
      <c r="B259" s="22" t="s">
        <v>439</v>
      </c>
      <c r="C259" s="40" t="s">
        <v>440</v>
      </c>
      <c r="D259" s="42" t="s">
        <v>105</v>
      </c>
      <c r="E259" s="41">
        <v>2</v>
      </c>
      <c r="F259" s="33"/>
      <c r="G259" s="24">
        <f t="shared" si="4"/>
        <v>0</v>
      </c>
      <c r="H259" s="25" t="s">
        <v>441</v>
      </c>
      <c r="N259" s="61"/>
      <c r="O259" s="62"/>
      <c r="U259" s="61"/>
      <c r="V259" s="62"/>
      <c r="AB259" s="61"/>
      <c r="AC259" s="62"/>
      <c r="AI259" s="61"/>
      <c r="AJ259" s="62"/>
      <c r="AP259" s="61"/>
      <c r="AQ259" s="62"/>
      <c r="AW259" s="61"/>
      <c r="AX259" s="62"/>
      <c r="BD259" s="61"/>
      <c r="BE259" s="62"/>
      <c r="BK259" s="61"/>
      <c r="BL259" s="62"/>
      <c r="BR259" s="61"/>
      <c r="BS259" s="62"/>
      <c r="BY259" s="61"/>
      <c r="BZ259" s="62"/>
      <c r="CF259" s="61"/>
      <c r="CG259" s="62"/>
      <c r="CM259" s="61"/>
      <c r="CN259" s="62"/>
      <c r="CT259" s="61"/>
      <c r="CU259" s="62"/>
      <c r="DA259" s="61"/>
      <c r="DB259" s="62"/>
      <c r="DH259" s="61"/>
      <c r="DI259" s="62"/>
      <c r="DO259" s="61"/>
      <c r="DP259" s="62"/>
      <c r="DV259" s="61"/>
      <c r="DW259" s="62"/>
      <c r="EC259" s="61"/>
      <c r="ED259" s="62"/>
      <c r="EJ259" s="61"/>
      <c r="EK259" s="62"/>
      <c r="EQ259" s="61"/>
      <c r="ER259" s="62"/>
      <c r="EX259" s="61"/>
      <c r="EY259" s="62"/>
      <c r="FE259" s="61"/>
      <c r="FF259" s="62"/>
      <c r="FL259" s="61"/>
      <c r="FM259" s="62"/>
      <c r="FS259" s="61"/>
      <c r="FT259" s="62"/>
      <c r="FZ259" s="61"/>
      <c r="GA259" s="62"/>
      <c r="GG259" s="61"/>
      <c r="GH259" s="62"/>
      <c r="GN259" s="61"/>
      <c r="GO259" s="62"/>
      <c r="GU259" s="61"/>
      <c r="GV259" s="62"/>
      <c r="HB259" s="61"/>
      <c r="HC259" s="62"/>
      <c r="HI259" s="61"/>
      <c r="HJ259" s="62"/>
      <c r="HP259" s="61"/>
      <c r="HQ259" s="62"/>
      <c r="HW259" s="61"/>
      <c r="HX259" s="62"/>
      <c r="ID259" s="61"/>
      <c r="IE259" s="62"/>
      <c r="IK259" s="61"/>
      <c r="IL259" s="62"/>
      <c r="IR259" s="61"/>
      <c r="IS259" s="62"/>
      <c r="IY259" s="61"/>
      <c r="IZ259" s="62"/>
      <c r="JF259" s="61"/>
      <c r="JG259" s="62"/>
      <c r="JM259" s="61"/>
      <c r="JN259" s="62"/>
      <c r="JT259" s="61"/>
      <c r="JU259" s="62"/>
      <c r="KA259" s="61"/>
      <c r="KB259" s="62"/>
      <c r="KH259" s="61"/>
      <c r="KI259" s="62"/>
      <c r="KO259" s="61"/>
      <c r="KP259" s="62"/>
      <c r="KV259" s="61"/>
      <c r="KW259" s="62"/>
      <c r="LC259" s="61"/>
      <c r="LD259" s="62"/>
      <c r="LJ259" s="61"/>
      <c r="LK259" s="62"/>
      <c r="LQ259" s="61"/>
      <c r="LR259" s="62"/>
      <c r="LX259" s="61"/>
      <c r="LY259" s="62"/>
      <c r="ME259" s="61"/>
      <c r="MF259" s="62"/>
      <c r="ML259" s="61"/>
      <c r="MM259" s="62"/>
      <c r="MS259" s="61"/>
      <c r="MT259" s="62"/>
      <c r="MZ259" s="61"/>
      <c r="NA259" s="62"/>
      <c r="NG259" s="61"/>
      <c r="NH259" s="62"/>
      <c r="NN259" s="61"/>
      <c r="NO259" s="62"/>
      <c r="NU259" s="61"/>
      <c r="NV259" s="62"/>
      <c r="OB259" s="61"/>
      <c r="OC259" s="62"/>
      <c r="OI259" s="61"/>
      <c r="OJ259" s="62"/>
      <c r="OP259" s="61"/>
      <c r="OQ259" s="62"/>
      <c r="OW259" s="61"/>
      <c r="OX259" s="62"/>
      <c r="PD259" s="61"/>
      <c r="PE259" s="62"/>
      <c r="PK259" s="61"/>
      <c r="PL259" s="62"/>
      <c r="PR259" s="61"/>
      <c r="PS259" s="62"/>
      <c r="PY259" s="61"/>
      <c r="PZ259" s="62"/>
      <c r="QF259" s="61"/>
      <c r="QG259" s="62"/>
      <c r="QM259" s="61"/>
      <c r="QN259" s="62"/>
      <c r="QT259" s="61"/>
      <c r="QU259" s="62"/>
      <c r="RA259" s="61"/>
      <c r="RB259" s="62"/>
      <c r="RH259" s="61"/>
      <c r="RI259" s="62"/>
      <c r="RO259" s="61"/>
      <c r="RP259" s="62"/>
      <c r="RV259" s="61"/>
      <c r="RW259" s="62"/>
      <c r="SC259" s="61"/>
      <c r="SD259" s="62"/>
      <c r="SJ259" s="61"/>
      <c r="SK259" s="62"/>
      <c r="SQ259" s="61"/>
      <c r="SR259" s="62"/>
      <c r="SX259" s="61"/>
      <c r="SY259" s="62"/>
      <c r="TE259" s="61"/>
      <c r="TF259" s="62"/>
      <c r="TL259" s="61"/>
      <c r="TM259" s="62"/>
      <c r="TS259" s="61"/>
      <c r="TT259" s="62"/>
      <c r="TZ259" s="61"/>
      <c r="UA259" s="62"/>
      <c r="UG259" s="61"/>
      <c r="UH259" s="62"/>
      <c r="UN259" s="61"/>
      <c r="UO259" s="62"/>
      <c r="UU259" s="61"/>
      <c r="UV259" s="62"/>
      <c r="VB259" s="61"/>
      <c r="VC259" s="62"/>
      <c r="VI259" s="61"/>
      <c r="VJ259" s="62"/>
      <c r="VP259" s="61"/>
      <c r="VQ259" s="62"/>
      <c r="VW259" s="61"/>
      <c r="VX259" s="62"/>
      <c r="WD259" s="61"/>
      <c r="WE259" s="62"/>
      <c r="WK259" s="61"/>
      <c r="WL259" s="62"/>
      <c r="WR259" s="61"/>
      <c r="WS259" s="62"/>
      <c r="WY259" s="61"/>
      <c r="WZ259" s="62"/>
      <c r="XF259" s="61"/>
      <c r="XG259" s="62"/>
      <c r="XM259" s="61"/>
      <c r="XN259" s="62"/>
      <c r="XT259" s="61"/>
      <c r="XU259" s="62"/>
      <c r="YA259" s="61"/>
      <c r="YB259" s="62"/>
      <c r="YH259" s="61"/>
      <c r="YI259" s="62"/>
      <c r="YO259" s="61"/>
      <c r="YP259" s="62"/>
      <c r="YV259" s="61"/>
      <c r="YW259" s="62"/>
      <c r="ZC259" s="61"/>
      <c r="ZD259" s="62"/>
      <c r="ZJ259" s="61"/>
      <c r="ZK259" s="62"/>
      <c r="ZQ259" s="61"/>
      <c r="ZR259" s="62"/>
      <c r="ZX259" s="61"/>
      <c r="ZY259" s="62"/>
      <c r="AAE259" s="61"/>
      <c r="AAF259" s="62"/>
      <c r="AAL259" s="61"/>
      <c r="AAM259" s="62"/>
      <c r="AAS259" s="61"/>
      <c r="AAT259" s="62"/>
      <c r="AAZ259" s="61"/>
      <c r="ABA259" s="62"/>
      <c r="ABG259" s="61"/>
      <c r="ABH259" s="62"/>
      <c r="ABN259" s="61"/>
      <c r="ABO259" s="62"/>
      <c r="ABU259" s="61"/>
      <c r="ABV259" s="62"/>
      <c r="ACB259" s="61"/>
      <c r="ACC259" s="62"/>
      <c r="ACI259" s="61"/>
      <c r="ACJ259" s="62"/>
      <c r="ACP259" s="61"/>
      <c r="ACQ259" s="62"/>
      <c r="ACW259" s="61"/>
      <c r="ACX259" s="62"/>
      <c r="ADD259" s="61"/>
      <c r="ADE259" s="62"/>
      <c r="ADK259" s="61"/>
      <c r="ADL259" s="62"/>
      <c r="ADR259" s="61"/>
      <c r="ADS259" s="62"/>
      <c r="ADY259" s="61"/>
      <c r="ADZ259" s="62"/>
      <c r="AEF259" s="61"/>
      <c r="AEG259" s="62"/>
      <c r="AEM259" s="61"/>
      <c r="AEN259" s="62"/>
      <c r="AET259" s="61"/>
      <c r="AEU259" s="62"/>
      <c r="AFA259" s="61"/>
      <c r="AFB259" s="62"/>
      <c r="AFH259" s="61"/>
      <c r="AFI259" s="62"/>
      <c r="AFO259" s="61"/>
      <c r="AFP259" s="62"/>
      <c r="AFV259" s="61"/>
      <c r="AFW259" s="62"/>
      <c r="AGC259" s="61"/>
      <c r="AGD259" s="62"/>
      <c r="AGJ259" s="61"/>
      <c r="AGK259" s="62"/>
      <c r="AGQ259" s="61"/>
      <c r="AGR259" s="62"/>
      <c r="AGX259" s="61"/>
      <c r="AGY259" s="62"/>
      <c r="AHE259" s="61"/>
      <c r="AHF259" s="62"/>
      <c r="AHL259" s="61"/>
      <c r="AHM259" s="62"/>
      <c r="AHS259" s="61"/>
      <c r="AHT259" s="62"/>
      <c r="AHZ259" s="61"/>
      <c r="AIA259" s="62"/>
      <c r="AIG259" s="61"/>
      <c r="AIH259" s="62"/>
      <c r="AIN259" s="61"/>
      <c r="AIO259" s="62"/>
      <c r="AIU259" s="61"/>
      <c r="AIV259" s="62"/>
      <c r="AJB259" s="61"/>
      <c r="AJC259" s="62"/>
      <c r="AJI259" s="61"/>
      <c r="AJJ259" s="62"/>
      <c r="AJP259" s="61"/>
      <c r="AJQ259" s="62"/>
      <c r="AJW259" s="61"/>
      <c r="AJX259" s="62"/>
      <c r="AKD259" s="61"/>
      <c r="AKE259" s="62"/>
      <c r="AKK259" s="61"/>
      <c r="AKL259" s="62"/>
      <c r="AKR259" s="61"/>
      <c r="AKS259" s="62"/>
      <c r="AKY259" s="61"/>
      <c r="AKZ259" s="62"/>
      <c r="ALF259" s="61"/>
      <c r="ALG259" s="62"/>
      <c r="ALM259" s="61"/>
      <c r="ALN259" s="62"/>
      <c r="ALT259" s="61"/>
      <c r="ALU259" s="62"/>
      <c r="AMA259" s="61"/>
      <c r="AMB259" s="62"/>
      <c r="AMH259" s="61"/>
      <c r="AMI259" s="62"/>
      <c r="AMO259" s="61"/>
      <c r="AMP259" s="62"/>
      <c r="AMV259" s="61"/>
      <c r="AMW259" s="62"/>
      <c r="ANC259" s="61"/>
      <c r="AND259" s="62"/>
      <c r="ANJ259" s="61"/>
      <c r="ANK259" s="62"/>
      <c r="ANQ259" s="61"/>
      <c r="ANR259" s="62"/>
      <c r="ANX259" s="61"/>
      <c r="ANY259" s="62"/>
      <c r="AOE259" s="61"/>
      <c r="AOF259" s="62"/>
      <c r="AOL259" s="61"/>
      <c r="AOM259" s="62"/>
      <c r="AOS259" s="61"/>
      <c r="AOT259" s="62"/>
      <c r="AOZ259" s="61"/>
      <c r="APA259" s="62"/>
      <c r="APG259" s="61"/>
      <c r="APH259" s="62"/>
      <c r="APN259" s="61"/>
      <c r="APO259" s="62"/>
      <c r="APU259" s="61"/>
      <c r="APV259" s="62"/>
      <c r="AQB259" s="61"/>
      <c r="AQC259" s="62"/>
      <c r="AQI259" s="61"/>
      <c r="AQJ259" s="62"/>
      <c r="AQP259" s="61"/>
      <c r="AQQ259" s="62"/>
      <c r="AQW259" s="61"/>
      <c r="AQX259" s="62"/>
      <c r="ARD259" s="61"/>
      <c r="ARE259" s="62"/>
      <c r="ARK259" s="61"/>
      <c r="ARL259" s="62"/>
      <c r="ARR259" s="61"/>
      <c r="ARS259" s="62"/>
      <c r="ARY259" s="61"/>
      <c r="ARZ259" s="62"/>
      <c r="ASF259" s="61"/>
      <c r="ASG259" s="62"/>
      <c r="ASM259" s="61"/>
      <c r="ASN259" s="62"/>
      <c r="AST259" s="61"/>
      <c r="ASU259" s="62"/>
      <c r="ATA259" s="61"/>
      <c r="ATB259" s="62"/>
      <c r="ATH259" s="61"/>
      <c r="ATI259" s="62"/>
      <c r="ATO259" s="61"/>
      <c r="ATP259" s="62"/>
      <c r="ATV259" s="61"/>
      <c r="ATW259" s="62"/>
      <c r="AUC259" s="61"/>
      <c r="AUD259" s="62"/>
      <c r="AUJ259" s="61"/>
      <c r="AUK259" s="62"/>
      <c r="AUQ259" s="61"/>
      <c r="AUR259" s="62"/>
      <c r="AUX259" s="61"/>
      <c r="AUY259" s="62"/>
      <c r="AVE259" s="61"/>
      <c r="AVF259" s="62"/>
      <c r="AVL259" s="61"/>
      <c r="AVM259" s="62"/>
      <c r="AVS259" s="61"/>
      <c r="AVT259" s="62"/>
      <c r="AVZ259" s="61"/>
      <c r="AWA259" s="62"/>
      <c r="AWG259" s="61"/>
      <c r="AWH259" s="62"/>
      <c r="AWN259" s="61"/>
      <c r="AWO259" s="62"/>
      <c r="AWU259" s="61"/>
      <c r="AWV259" s="62"/>
      <c r="AXB259" s="61"/>
      <c r="AXC259" s="62"/>
      <c r="AXI259" s="61"/>
      <c r="AXJ259" s="62"/>
      <c r="AXP259" s="61"/>
      <c r="AXQ259" s="62"/>
      <c r="AXW259" s="61"/>
      <c r="AXX259" s="62"/>
      <c r="AYD259" s="61"/>
      <c r="AYE259" s="62"/>
      <c r="AYK259" s="61"/>
      <c r="AYL259" s="62"/>
      <c r="AYR259" s="61"/>
      <c r="AYS259" s="62"/>
      <c r="AYY259" s="61"/>
      <c r="AYZ259" s="62"/>
      <c r="AZF259" s="61"/>
      <c r="AZG259" s="62"/>
      <c r="AZM259" s="61"/>
      <c r="AZN259" s="62"/>
      <c r="AZT259" s="61"/>
      <c r="AZU259" s="62"/>
      <c r="BAA259" s="61"/>
      <c r="BAB259" s="62"/>
      <c r="BAH259" s="61"/>
      <c r="BAI259" s="62"/>
      <c r="BAO259" s="61"/>
      <c r="BAP259" s="62"/>
      <c r="BAV259" s="61"/>
      <c r="BAW259" s="62"/>
      <c r="BBC259" s="61"/>
      <c r="BBD259" s="62"/>
      <c r="BBJ259" s="61"/>
      <c r="BBK259" s="62"/>
      <c r="BBQ259" s="61"/>
      <c r="BBR259" s="62"/>
      <c r="BBX259" s="61"/>
      <c r="BBY259" s="62"/>
      <c r="BCE259" s="61"/>
      <c r="BCF259" s="62"/>
      <c r="BCL259" s="61"/>
      <c r="BCM259" s="62"/>
      <c r="BCS259" s="61"/>
      <c r="BCT259" s="62"/>
      <c r="BCZ259" s="61"/>
      <c r="BDA259" s="62"/>
      <c r="BDG259" s="61"/>
      <c r="BDH259" s="62"/>
      <c r="BDN259" s="61"/>
      <c r="BDO259" s="62"/>
      <c r="BDU259" s="61"/>
      <c r="BDV259" s="62"/>
      <c r="BEB259" s="61"/>
      <c r="BEC259" s="62"/>
      <c r="BEI259" s="61"/>
      <c r="BEJ259" s="62"/>
      <c r="BEP259" s="61"/>
      <c r="BEQ259" s="62"/>
      <c r="BEW259" s="61"/>
      <c r="BEX259" s="62"/>
      <c r="BFD259" s="61"/>
      <c r="BFE259" s="62"/>
      <c r="BFK259" s="61"/>
      <c r="BFL259" s="62"/>
      <c r="BFR259" s="61"/>
      <c r="BFS259" s="62"/>
      <c r="BFY259" s="61"/>
      <c r="BFZ259" s="62"/>
      <c r="BGF259" s="61"/>
      <c r="BGG259" s="62"/>
      <c r="BGM259" s="61"/>
      <c r="BGN259" s="62"/>
      <c r="BGT259" s="61"/>
      <c r="BGU259" s="62"/>
      <c r="BHA259" s="61"/>
      <c r="BHB259" s="62"/>
      <c r="BHH259" s="61"/>
      <c r="BHI259" s="62"/>
      <c r="BHO259" s="61"/>
      <c r="BHP259" s="62"/>
      <c r="BHV259" s="61"/>
      <c r="BHW259" s="62"/>
      <c r="BIC259" s="61"/>
      <c r="BID259" s="62"/>
      <c r="BIJ259" s="61"/>
      <c r="BIK259" s="62"/>
      <c r="BIQ259" s="61"/>
      <c r="BIR259" s="62"/>
      <c r="BIX259" s="61"/>
      <c r="BIY259" s="62"/>
      <c r="BJE259" s="61"/>
      <c r="BJF259" s="62"/>
      <c r="BJL259" s="61"/>
      <c r="BJM259" s="62"/>
      <c r="BJS259" s="61"/>
      <c r="BJT259" s="62"/>
      <c r="BJZ259" s="61"/>
      <c r="BKA259" s="62"/>
      <c r="BKG259" s="61"/>
      <c r="BKH259" s="62"/>
      <c r="BKN259" s="61"/>
      <c r="BKO259" s="62"/>
      <c r="BKU259" s="61"/>
      <c r="BKV259" s="62"/>
      <c r="BLB259" s="61"/>
      <c r="BLC259" s="62"/>
      <c r="BLI259" s="61"/>
      <c r="BLJ259" s="62"/>
      <c r="BLP259" s="61"/>
      <c r="BLQ259" s="62"/>
      <c r="BLW259" s="61"/>
      <c r="BLX259" s="62"/>
      <c r="BMD259" s="61"/>
      <c r="BME259" s="62"/>
      <c r="BMK259" s="61"/>
      <c r="BML259" s="62"/>
      <c r="BMR259" s="61"/>
      <c r="BMS259" s="62"/>
      <c r="BMY259" s="61"/>
      <c r="BMZ259" s="62"/>
      <c r="BNF259" s="61"/>
      <c r="BNG259" s="62"/>
      <c r="BNM259" s="61"/>
      <c r="BNN259" s="62"/>
      <c r="BNT259" s="61"/>
      <c r="BNU259" s="62"/>
      <c r="BOA259" s="61"/>
      <c r="BOB259" s="62"/>
      <c r="BOH259" s="61"/>
      <c r="BOI259" s="62"/>
      <c r="BOO259" s="61"/>
      <c r="BOP259" s="62"/>
      <c r="BOV259" s="61"/>
      <c r="BOW259" s="62"/>
      <c r="BPC259" s="61"/>
      <c r="BPD259" s="62"/>
      <c r="BPJ259" s="61"/>
      <c r="BPK259" s="62"/>
      <c r="BPQ259" s="61"/>
      <c r="BPR259" s="62"/>
      <c r="BPX259" s="61"/>
      <c r="BPY259" s="62"/>
      <c r="BQE259" s="61"/>
      <c r="BQF259" s="62"/>
      <c r="BQL259" s="61"/>
      <c r="BQM259" s="62"/>
      <c r="BQS259" s="61"/>
      <c r="BQT259" s="62"/>
      <c r="BQZ259" s="61"/>
      <c r="BRA259" s="62"/>
      <c r="BRG259" s="61"/>
      <c r="BRH259" s="62"/>
      <c r="BRN259" s="61"/>
      <c r="BRO259" s="62"/>
      <c r="BRU259" s="61"/>
      <c r="BRV259" s="62"/>
      <c r="BSB259" s="61"/>
      <c r="BSC259" s="62"/>
      <c r="BSI259" s="61"/>
      <c r="BSJ259" s="62"/>
      <c r="BSP259" s="61"/>
      <c r="BSQ259" s="62"/>
      <c r="BSW259" s="61"/>
      <c r="BSX259" s="62"/>
      <c r="BTD259" s="61"/>
      <c r="BTE259" s="62"/>
      <c r="BTK259" s="61"/>
      <c r="BTL259" s="62"/>
      <c r="BTR259" s="61"/>
      <c r="BTS259" s="62"/>
      <c r="BTY259" s="61"/>
      <c r="BTZ259" s="62"/>
      <c r="BUF259" s="61"/>
      <c r="BUG259" s="62"/>
      <c r="BUM259" s="61"/>
      <c r="BUN259" s="62"/>
      <c r="BUT259" s="61"/>
      <c r="BUU259" s="62"/>
      <c r="BVA259" s="61"/>
      <c r="BVB259" s="62"/>
      <c r="BVH259" s="61"/>
      <c r="BVI259" s="62"/>
      <c r="BVO259" s="61"/>
      <c r="BVP259" s="62"/>
      <c r="BVV259" s="61"/>
      <c r="BVW259" s="62"/>
      <c r="BWC259" s="61"/>
      <c r="BWD259" s="62"/>
      <c r="BWJ259" s="61"/>
      <c r="BWK259" s="62"/>
      <c r="BWQ259" s="61"/>
      <c r="BWR259" s="62"/>
      <c r="BWX259" s="61"/>
      <c r="BWY259" s="62"/>
      <c r="BXE259" s="61"/>
      <c r="BXF259" s="62"/>
      <c r="BXL259" s="61"/>
      <c r="BXM259" s="62"/>
      <c r="BXS259" s="61"/>
      <c r="BXT259" s="62"/>
      <c r="BXZ259" s="61"/>
      <c r="BYA259" s="62"/>
      <c r="BYG259" s="61"/>
      <c r="BYH259" s="62"/>
      <c r="BYN259" s="61"/>
      <c r="BYO259" s="62"/>
      <c r="BYU259" s="61"/>
      <c r="BYV259" s="62"/>
      <c r="BZB259" s="61"/>
      <c r="BZC259" s="62"/>
      <c r="BZI259" s="61"/>
      <c r="BZJ259" s="62"/>
      <c r="BZP259" s="61"/>
      <c r="BZQ259" s="62"/>
      <c r="BZW259" s="61"/>
      <c r="BZX259" s="62"/>
      <c r="CAD259" s="61"/>
      <c r="CAE259" s="62"/>
      <c r="CAK259" s="61"/>
      <c r="CAL259" s="62"/>
      <c r="CAR259" s="61"/>
      <c r="CAS259" s="62"/>
      <c r="CAY259" s="61"/>
      <c r="CAZ259" s="62"/>
      <c r="CBF259" s="61"/>
      <c r="CBG259" s="62"/>
      <c r="CBM259" s="61"/>
      <c r="CBN259" s="62"/>
      <c r="CBT259" s="61"/>
      <c r="CBU259" s="62"/>
      <c r="CCA259" s="61"/>
      <c r="CCB259" s="62"/>
      <c r="CCH259" s="61"/>
      <c r="CCI259" s="62"/>
      <c r="CCO259" s="61"/>
      <c r="CCP259" s="62"/>
      <c r="CCV259" s="61"/>
      <c r="CCW259" s="62"/>
      <c r="CDC259" s="61"/>
      <c r="CDD259" s="62"/>
      <c r="CDJ259" s="61"/>
      <c r="CDK259" s="62"/>
      <c r="CDQ259" s="61"/>
      <c r="CDR259" s="62"/>
      <c r="CDX259" s="61"/>
      <c r="CDY259" s="62"/>
      <c r="CEE259" s="61"/>
      <c r="CEF259" s="62"/>
      <c r="CEL259" s="61"/>
      <c r="CEM259" s="62"/>
      <c r="CES259" s="61"/>
      <c r="CET259" s="62"/>
      <c r="CEZ259" s="61"/>
      <c r="CFA259" s="62"/>
      <c r="CFG259" s="61"/>
      <c r="CFH259" s="62"/>
      <c r="CFN259" s="61"/>
      <c r="CFO259" s="62"/>
      <c r="CFU259" s="61"/>
      <c r="CFV259" s="62"/>
      <c r="CGB259" s="61"/>
      <c r="CGC259" s="62"/>
      <c r="CGI259" s="61"/>
      <c r="CGJ259" s="62"/>
      <c r="CGP259" s="61"/>
      <c r="CGQ259" s="62"/>
      <c r="CGW259" s="61"/>
      <c r="CGX259" s="62"/>
      <c r="CHD259" s="61"/>
      <c r="CHE259" s="62"/>
      <c r="CHK259" s="61"/>
      <c r="CHL259" s="62"/>
      <c r="CHR259" s="61"/>
      <c r="CHS259" s="62"/>
      <c r="CHY259" s="61"/>
      <c r="CHZ259" s="62"/>
      <c r="CIF259" s="61"/>
      <c r="CIG259" s="62"/>
      <c r="CIM259" s="61"/>
      <c r="CIN259" s="62"/>
      <c r="CIT259" s="61"/>
      <c r="CIU259" s="62"/>
      <c r="CJA259" s="61"/>
      <c r="CJB259" s="62"/>
      <c r="CJH259" s="61"/>
      <c r="CJI259" s="62"/>
      <c r="CJO259" s="61"/>
      <c r="CJP259" s="62"/>
      <c r="CJV259" s="61"/>
      <c r="CJW259" s="62"/>
      <c r="CKC259" s="61"/>
      <c r="CKD259" s="62"/>
      <c r="CKJ259" s="61"/>
      <c r="CKK259" s="62"/>
      <c r="CKQ259" s="61"/>
      <c r="CKR259" s="62"/>
      <c r="CKX259" s="61"/>
      <c r="CKY259" s="62"/>
      <c r="CLE259" s="61"/>
      <c r="CLF259" s="62"/>
      <c r="CLL259" s="61"/>
      <c r="CLM259" s="62"/>
      <c r="CLS259" s="61"/>
      <c r="CLT259" s="62"/>
      <c r="CLZ259" s="61"/>
      <c r="CMA259" s="62"/>
      <c r="CMG259" s="61"/>
      <c r="CMH259" s="62"/>
      <c r="CMN259" s="61"/>
      <c r="CMO259" s="62"/>
      <c r="CMU259" s="61"/>
      <c r="CMV259" s="62"/>
      <c r="CNB259" s="61"/>
      <c r="CNC259" s="62"/>
      <c r="CNI259" s="61"/>
      <c r="CNJ259" s="62"/>
      <c r="CNP259" s="61"/>
      <c r="CNQ259" s="62"/>
      <c r="CNW259" s="61"/>
      <c r="CNX259" s="62"/>
      <c r="COD259" s="61"/>
      <c r="COE259" s="62"/>
      <c r="COK259" s="61"/>
      <c r="COL259" s="62"/>
      <c r="COR259" s="61"/>
      <c r="COS259" s="62"/>
      <c r="COY259" s="61"/>
      <c r="COZ259" s="62"/>
      <c r="CPF259" s="61"/>
      <c r="CPG259" s="62"/>
      <c r="CPM259" s="61"/>
      <c r="CPN259" s="62"/>
      <c r="CPT259" s="61"/>
      <c r="CPU259" s="62"/>
      <c r="CQA259" s="61"/>
      <c r="CQB259" s="62"/>
      <c r="CQH259" s="61"/>
      <c r="CQI259" s="62"/>
      <c r="CQO259" s="61"/>
      <c r="CQP259" s="62"/>
      <c r="CQV259" s="61"/>
      <c r="CQW259" s="62"/>
      <c r="CRC259" s="61"/>
      <c r="CRD259" s="62"/>
      <c r="CRJ259" s="61"/>
      <c r="CRK259" s="62"/>
      <c r="CRQ259" s="61"/>
      <c r="CRR259" s="62"/>
      <c r="CRX259" s="61"/>
      <c r="CRY259" s="62"/>
      <c r="CSE259" s="61"/>
      <c r="CSF259" s="62"/>
      <c r="CSL259" s="61"/>
      <c r="CSM259" s="62"/>
      <c r="CSS259" s="61"/>
      <c r="CST259" s="62"/>
      <c r="CSZ259" s="61"/>
      <c r="CTA259" s="62"/>
      <c r="CTG259" s="61"/>
      <c r="CTH259" s="62"/>
      <c r="CTN259" s="61"/>
      <c r="CTO259" s="62"/>
      <c r="CTU259" s="61"/>
      <c r="CTV259" s="62"/>
    </row>
    <row r="260" s="6" customFormat="1" ht="30" customHeight="1" spans="1:1023 1029:2045 2051:2570">
      <c r="A260" s="17" t="s">
        <v>27</v>
      </c>
      <c r="B260" s="16" t="s">
        <v>28</v>
      </c>
      <c r="C260" s="18"/>
      <c r="D260" s="17"/>
      <c r="E260" s="17"/>
      <c r="F260" s="31"/>
      <c r="G260" s="24"/>
      <c r="H260" s="20"/>
      <c r="N260" s="61"/>
      <c r="O260" s="62"/>
      <c r="U260" s="61"/>
      <c r="V260" s="62"/>
      <c r="AB260" s="61"/>
      <c r="AC260" s="62"/>
      <c r="AI260" s="61"/>
      <c r="AJ260" s="62"/>
      <c r="AP260" s="61"/>
      <c r="AQ260" s="62"/>
      <c r="AW260" s="61"/>
      <c r="AX260" s="62"/>
      <c r="BD260" s="61"/>
      <c r="BE260" s="62"/>
      <c r="BK260" s="61"/>
      <c r="BL260" s="62"/>
      <c r="BR260" s="61"/>
      <c r="BS260" s="62"/>
      <c r="BY260" s="61"/>
      <c r="BZ260" s="62"/>
      <c r="CF260" s="61"/>
      <c r="CG260" s="62"/>
      <c r="CM260" s="61"/>
      <c r="CN260" s="62"/>
      <c r="CT260" s="61"/>
      <c r="CU260" s="62"/>
      <c r="DA260" s="61"/>
      <c r="DB260" s="62"/>
      <c r="DH260" s="61"/>
      <c r="DI260" s="62"/>
      <c r="DO260" s="61"/>
      <c r="DP260" s="62"/>
      <c r="DV260" s="61"/>
      <c r="DW260" s="62"/>
      <c r="EC260" s="61"/>
      <c r="ED260" s="62"/>
      <c r="EJ260" s="61"/>
      <c r="EK260" s="62"/>
      <c r="EQ260" s="61"/>
      <c r="ER260" s="62"/>
      <c r="EX260" s="61"/>
      <c r="EY260" s="62"/>
      <c r="FE260" s="61"/>
      <c r="FF260" s="62"/>
      <c r="FL260" s="61"/>
      <c r="FM260" s="62"/>
      <c r="FS260" s="61"/>
      <c r="FT260" s="62"/>
      <c r="FZ260" s="61"/>
      <c r="GA260" s="62"/>
      <c r="GG260" s="61"/>
      <c r="GH260" s="62"/>
      <c r="GN260" s="61"/>
      <c r="GO260" s="62"/>
      <c r="GU260" s="61"/>
      <c r="GV260" s="62"/>
      <c r="HB260" s="61"/>
      <c r="HC260" s="62"/>
      <c r="HI260" s="61"/>
      <c r="HJ260" s="62"/>
      <c r="HP260" s="61"/>
      <c r="HQ260" s="62"/>
      <c r="HW260" s="61"/>
      <c r="HX260" s="62"/>
      <c r="ID260" s="61"/>
      <c r="IE260" s="62"/>
      <c r="IK260" s="61"/>
      <c r="IL260" s="62"/>
      <c r="IR260" s="61"/>
      <c r="IS260" s="62"/>
      <c r="IY260" s="61"/>
      <c r="IZ260" s="62"/>
      <c r="JF260" s="61"/>
      <c r="JG260" s="62"/>
      <c r="JM260" s="61"/>
      <c r="JN260" s="62"/>
      <c r="JT260" s="61"/>
      <c r="JU260" s="62"/>
      <c r="KA260" s="61"/>
      <c r="KB260" s="62"/>
      <c r="KH260" s="61"/>
      <c r="KI260" s="62"/>
      <c r="KO260" s="61"/>
      <c r="KP260" s="62"/>
      <c r="KV260" s="61"/>
      <c r="KW260" s="62"/>
      <c r="LC260" s="61"/>
      <c r="LD260" s="62"/>
      <c r="LJ260" s="61"/>
      <c r="LK260" s="62"/>
      <c r="LQ260" s="61"/>
      <c r="LR260" s="62"/>
      <c r="LX260" s="61"/>
      <c r="LY260" s="62"/>
      <c r="ME260" s="61"/>
      <c r="MF260" s="62"/>
      <c r="ML260" s="61"/>
      <c r="MM260" s="62"/>
      <c r="MS260" s="61"/>
      <c r="MT260" s="62"/>
      <c r="MZ260" s="61"/>
      <c r="NA260" s="62"/>
      <c r="NG260" s="61"/>
      <c r="NH260" s="62"/>
      <c r="NN260" s="61"/>
      <c r="NO260" s="62"/>
      <c r="NU260" s="61"/>
      <c r="NV260" s="62"/>
      <c r="OB260" s="61"/>
      <c r="OC260" s="62"/>
      <c r="OI260" s="61"/>
      <c r="OJ260" s="62"/>
      <c r="OP260" s="61"/>
      <c r="OQ260" s="62"/>
      <c r="OW260" s="61"/>
      <c r="OX260" s="62"/>
      <c r="PD260" s="61"/>
      <c r="PE260" s="62"/>
      <c r="PK260" s="61"/>
      <c r="PL260" s="62"/>
      <c r="PR260" s="61"/>
      <c r="PS260" s="62"/>
      <c r="PY260" s="61"/>
      <c r="PZ260" s="62"/>
      <c r="QF260" s="61"/>
      <c r="QG260" s="62"/>
      <c r="QM260" s="61"/>
      <c r="QN260" s="62"/>
      <c r="QT260" s="61"/>
      <c r="QU260" s="62"/>
      <c r="RA260" s="61"/>
      <c r="RB260" s="62"/>
      <c r="RH260" s="61"/>
      <c r="RI260" s="62"/>
      <c r="RO260" s="61"/>
      <c r="RP260" s="62"/>
      <c r="RV260" s="61"/>
      <c r="RW260" s="62"/>
      <c r="SC260" s="61"/>
      <c r="SD260" s="62"/>
      <c r="SJ260" s="61"/>
      <c r="SK260" s="62"/>
      <c r="SQ260" s="61"/>
      <c r="SR260" s="62"/>
      <c r="SX260" s="61"/>
      <c r="SY260" s="62"/>
      <c r="TE260" s="61"/>
      <c r="TF260" s="62"/>
      <c r="TL260" s="61"/>
      <c r="TM260" s="62"/>
      <c r="TS260" s="61"/>
      <c r="TT260" s="62"/>
      <c r="TZ260" s="61"/>
      <c r="UA260" s="62"/>
      <c r="UG260" s="61"/>
      <c r="UH260" s="62"/>
      <c r="UN260" s="61"/>
      <c r="UO260" s="62"/>
      <c r="UU260" s="61"/>
      <c r="UV260" s="62"/>
      <c r="VB260" s="61"/>
      <c r="VC260" s="62"/>
      <c r="VI260" s="61"/>
      <c r="VJ260" s="62"/>
      <c r="VP260" s="61"/>
      <c r="VQ260" s="62"/>
      <c r="VW260" s="61"/>
      <c r="VX260" s="62"/>
      <c r="WD260" s="61"/>
      <c r="WE260" s="62"/>
      <c r="WK260" s="61"/>
      <c r="WL260" s="62"/>
      <c r="WR260" s="61"/>
      <c r="WS260" s="62"/>
      <c r="WY260" s="61"/>
      <c r="WZ260" s="62"/>
      <c r="XF260" s="61"/>
      <c r="XG260" s="62"/>
      <c r="XM260" s="61"/>
      <c r="XN260" s="62"/>
      <c r="XT260" s="61"/>
      <c r="XU260" s="62"/>
      <c r="YA260" s="61"/>
      <c r="YB260" s="62"/>
      <c r="YH260" s="61"/>
      <c r="YI260" s="62"/>
      <c r="YO260" s="61"/>
      <c r="YP260" s="62"/>
      <c r="YV260" s="61"/>
      <c r="YW260" s="62"/>
      <c r="ZC260" s="61"/>
      <c r="ZD260" s="62"/>
      <c r="ZJ260" s="61"/>
      <c r="ZK260" s="62"/>
      <c r="ZQ260" s="61"/>
      <c r="ZR260" s="62"/>
      <c r="ZX260" s="61"/>
      <c r="ZY260" s="62"/>
      <c r="AAE260" s="61"/>
      <c r="AAF260" s="62"/>
      <c r="AAL260" s="61"/>
      <c r="AAM260" s="62"/>
      <c r="AAS260" s="61"/>
      <c r="AAT260" s="62"/>
      <c r="AAZ260" s="61"/>
      <c r="ABA260" s="62"/>
      <c r="ABG260" s="61"/>
      <c r="ABH260" s="62"/>
      <c r="ABN260" s="61"/>
      <c r="ABO260" s="62"/>
      <c r="ABU260" s="61"/>
      <c r="ABV260" s="62"/>
      <c r="ACB260" s="61"/>
      <c r="ACC260" s="62"/>
      <c r="ACI260" s="61"/>
      <c r="ACJ260" s="62"/>
      <c r="ACP260" s="61"/>
      <c r="ACQ260" s="62"/>
      <c r="ACW260" s="61"/>
      <c r="ACX260" s="62"/>
      <c r="ADD260" s="61"/>
      <c r="ADE260" s="62"/>
      <c r="ADK260" s="61"/>
      <c r="ADL260" s="62"/>
      <c r="ADR260" s="61"/>
      <c r="ADS260" s="62"/>
      <c r="ADY260" s="61"/>
      <c r="ADZ260" s="62"/>
      <c r="AEF260" s="61"/>
      <c r="AEG260" s="62"/>
      <c r="AEM260" s="61"/>
      <c r="AEN260" s="62"/>
      <c r="AET260" s="61"/>
      <c r="AEU260" s="62"/>
      <c r="AFA260" s="61"/>
      <c r="AFB260" s="62"/>
      <c r="AFH260" s="61"/>
      <c r="AFI260" s="62"/>
      <c r="AFO260" s="61"/>
      <c r="AFP260" s="62"/>
      <c r="AFV260" s="61"/>
      <c r="AFW260" s="62"/>
      <c r="AGC260" s="61"/>
      <c r="AGD260" s="62"/>
      <c r="AGJ260" s="61"/>
      <c r="AGK260" s="62"/>
      <c r="AGQ260" s="61"/>
      <c r="AGR260" s="62"/>
      <c r="AGX260" s="61"/>
      <c r="AGY260" s="62"/>
      <c r="AHE260" s="61"/>
      <c r="AHF260" s="62"/>
      <c r="AHL260" s="61"/>
      <c r="AHM260" s="62"/>
      <c r="AHS260" s="61"/>
      <c r="AHT260" s="62"/>
      <c r="AHZ260" s="61"/>
      <c r="AIA260" s="62"/>
      <c r="AIG260" s="61"/>
      <c r="AIH260" s="62"/>
      <c r="AIN260" s="61"/>
      <c r="AIO260" s="62"/>
      <c r="AIU260" s="61"/>
      <c r="AIV260" s="62"/>
      <c r="AJB260" s="61"/>
      <c r="AJC260" s="62"/>
      <c r="AJI260" s="61"/>
      <c r="AJJ260" s="62"/>
      <c r="AJP260" s="61"/>
      <c r="AJQ260" s="62"/>
      <c r="AJW260" s="61"/>
      <c r="AJX260" s="62"/>
      <c r="AKD260" s="61"/>
      <c r="AKE260" s="62"/>
      <c r="AKK260" s="61"/>
      <c r="AKL260" s="62"/>
      <c r="AKR260" s="61"/>
      <c r="AKS260" s="62"/>
      <c r="AKY260" s="61"/>
      <c r="AKZ260" s="62"/>
      <c r="ALF260" s="61"/>
      <c r="ALG260" s="62"/>
      <c r="ALM260" s="61"/>
      <c r="ALN260" s="62"/>
      <c r="ALT260" s="61"/>
      <c r="ALU260" s="62"/>
      <c r="AMA260" s="61"/>
      <c r="AMB260" s="62"/>
      <c r="AMH260" s="61"/>
      <c r="AMI260" s="62"/>
      <c r="AMO260" s="61"/>
      <c r="AMP260" s="62"/>
      <c r="AMV260" s="61"/>
      <c r="AMW260" s="62"/>
      <c r="ANC260" s="61"/>
      <c r="AND260" s="62"/>
      <c r="ANJ260" s="61"/>
      <c r="ANK260" s="62"/>
      <c r="ANQ260" s="61"/>
      <c r="ANR260" s="62"/>
      <c r="ANX260" s="61"/>
      <c r="ANY260" s="62"/>
      <c r="AOE260" s="61"/>
      <c r="AOF260" s="62"/>
      <c r="AOL260" s="61"/>
      <c r="AOM260" s="62"/>
      <c r="AOS260" s="61"/>
      <c r="AOT260" s="62"/>
      <c r="AOZ260" s="61"/>
      <c r="APA260" s="62"/>
      <c r="APG260" s="61"/>
      <c r="APH260" s="62"/>
      <c r="APN260" s="61"/>
      <c r="APO260" s="62"/>
      <c r="APU260" s="61"/>
      <c r="APV260" s="62"/>
      <c r="AQB260" s="61"/>
      <c r="AQC260" s="62"/>
      <c r="AQI260" s="61"/>
      <c r="AQJ260" s="62"/>
      <c r="AQP260" s="61"/>
      <c r="AQQ260" s="62"/>
      <c r="AQW260" s="61"/>
      <c r="AQX260" s="62"/>
      <c r="ARD260" s="61"/>
      <c r="ARE260" s="62"/>
      <c r="ARK260" s="61"/>
      <c r="ARL260" s="62"/>
      <c r="ARR260" s="61"/>
      <c r="ARS260" s="62"/>
      <c r="ARY260" s="61"/>
      <c r="ARZ260" s="62"/>
      <c r="ASF260" s="61"/>
      <c r="ASG260" s="62"/>
      <c r="ASM260" s="61"/>
      <c r="ASN260" s="62"/>
      <c r="AST260" s="61"/>
      <c r="ASU260" s="62"/>
      <c r="ATA260" s="61"/>
      <c r="ATB260" s="62"/>
      <c r="ATH260" s="61"/>
      <c r="ATI260" s="62"/>
      <c r="ATO260" s="61"/>
      <c r="ATP260" s="62"/>
      <c r="ATV260" s="61"/>
      <c r="ATW260" s="62"/>
      <c r="AUC260" s="61"/>
      <c r="AUD260" s="62"/>
      <c r="AUJ260" s="61"/>
      <c r="AUK260" s="62"/>
      <c r="AUQ260" s="61"/>
      <c r="AUR260" s="62"/>
      <c r="AUX260" s="61"/>
      <c r="AUY260" s="62"/>
      <c r="AVE260" s="61"/>
      <c r="AVF260" s="62"/>
      <c r="AVL260" s="61"/>
      <c r="AVM260" s="62"/>
      <c r="AVS260" s="61"/>
      <c r="AVT260" s="62"/>
      <c r="AVZ260" s="61"/>
      <c r="AWA260" s="62"/>
      <c r="AWG260" s="61"/>
      <c r="AWH260" s="62"/>
      <c r="AWN260" s="61"/>
      <c r="AWO260" s="62"/>
      <c r="AWU260" s="61"/>
      <c r="AWV260" s="62"/>
      <c r="AXB260" s="61"/>
      <c r="AXC260" s="62"/>
      <c r="AXI260" s="61"/>
      <c r="AXJ260" s="62"/>
      <c r="AXP260" s="61"/>
      <c r="AXQ260" s="62"/>
      <c r="AXW260" s="61"/>
      <c r="AXX260" s="62"/>
      <c r="AYD260" s="61"/>
      <c r="AYE260" s="62"/>
      <c r="AYK260" s="61"/>
      <c r="AYL260" s="62"/>
      <c r="AYR260" s="61"/>
      <c r="AYS260" s="62"/>
      <c r="AYY260" s="61"/>
      <c r="AYZ260" s="62"/>
      <c r="AZF260" s="61"/>
      <c r="AZG260" s="62"/>
      <c r="AZM260" s="61"/>
      <c r="AZN260" s="62"/>
      <c r="AZT260" s="61"/>
      <c r="AZU260" s="62"/>
      <c r="BAA260" s="61"/>
      <c r="BAB260" s="62"/>
      <c r="BAH260" s="61"/>
      <c r="BAI260" s="62"/>
      <c r="BAO260" s="61"/>
      <c r="BAP260" s="62"/>
      <c r="BAV260" s="61"/>
      <c r="BAW260" s="62"/>
      <c r="BBC260" s="61"/>
      <c r="BBD260" s="62"/>
      <c r="BBJ260" s="61"/>
      <c r="BBK260" s="62"/>
      <c r="BBQ260" s="61"/>
      <c r="BBR260" s="62"/>
      <c r="BBX260" s="61"/>
      <c r="BBY260" s="62"/>
      <c r="BCE260" s="61"/>
      <c r="BCF260" s="62"/>
      <c r="BCL260" s="61"/>
      <c r="BCM260" s="62"/>
      <c r="BCS260" s="61"/>
      <c r="BCT260" s="62"/>
      <c r="BCZ260" s="61"/>
      <c r="BDA260" s="62"/>
      <c r="BDG260" s="61"/>
      <c r="BDH260" s="62"/>
      <c r="BDN260" s="61"/>
      <c r="BDO260" s="62"/>
      <c r="BDU260" s="61"/>
      <c r="BDV260" s="62"/>
      <c r="BEB260" s="61"/>
      <c r="BEC260" s="62"/>
      <c r="BEI260" s="61"/>
      <c r="BEJ260" s="62"/>
      <c r="BEP260" s="61"/>
      <c r="BEQ260" s="62"/>
      <c r="BEW260" s="61"/>
      <c r="BEX260" s="62"/>
      <c r="BFD260" s="61"/>
      <c r="BFE260" s="62"/>
      <c r="BFK260" s="61"/>
      <c r="BFL260" s="62"/>
      <c r="BFR260" s="61"/>
      <c r="BFS260" s="62"/>
      <c r="BFY260" s="61"/>
      <c r="BFZ260" s="62"/>
      <c r="BGF260" s="61"/>
      <c r="BGG260" s="62"/>
      <c r="BGM260" s="61"/>
      <c r="BGN260" s="62"/>
      <c r="BGT260" s="61"/>
      <c r="BGU260" s="62"/>
      <c r="BHA260" s="61"/>
      <c r="BHB260" s="62"/>
      <c r="BHH260" s="61"/>
      <c r="BHI260" s="62"/>
      <c r="BHO260" s="61"/>
      <c r="BHP260" s="62"/>
      <c r="BHV260" s="61"/>
      <c r="BHW260" s="62"/>
      <c r="BIC260" s="61"/>
      <c r="BID260" s="62"/>
      <c r="BIJ260" s="61"/>
      <c r="BIK260" s="62"/>
      <c r="BIQ260" s="61"/>
      <c r="BIR260" s="62"/>
      <c r="BIX260" s="61"/>
      <c r="BIY260" s="62"/>
      <c r="BJE260" s="61"/>
      <c r="BJF260" s="62"/>
      <c r="BJL260" s="61"/>
      <c r="BJM260" s="62"/>
      <c r="BJS260" s="61"/>
      <c r="BJT260" s="62"/>
      <c r="BJZ260" s="61"/>
      <c r="BKA260" s="62"/>
      <c r="BKG260" s="61"/>
      <c r="BKH260" s="62"/>
      <c r="BKN260" s="61"/>
      <c r="BKO260" s="62"/>
      <c r="BKU260" s="61"/>
      <c r="BKV260" s="62"/>
      <c r="BLB260" s="61"/>
      <c r="BLC260" s="62"/>
      <c r="BLI260" s="61"/>
      <c r="BLJ260" s="62"/>
      <c r="BLP260" s="61"/>
      <c r="BLQ260" s="62"/>
      <c r="BLW260" s="61"/>
      <c r="BLX260" s="62"/>
      <c r="BMD260" s="61"/>
      <c r="BME260" s="62"/>
      <c r="BMK260" s="61"/>
      <c r="BML260" s="62"/>
      <c r="BMR260" s="61"/>
      <c r="BMS260" s="62"/>
      <c r="BMY260" s="61"/>
      <c r="BMZ260" s="62"/>
      <c r="BNF260" s="61"/>
      <c r="BNG260" s="62"/>
      <c r="BNM260" s="61"/>
      <c r="BNN260" s="62"/>
      <c r="BNT260" s="61"/>
      <c r="BNU260" s="62"/>
      <c r="BOA260" s="61"/>
      <c r="BOB260" s="62"/>
      <c r="BOH260" s="61"/>
      <c r="BOI260" s="62"/>
      <c r="BOO260" s="61"/>
      <c r="BOP260" s="62"/>
      <c r="BOV260" s="61"/>
      <c r="BOW260" s="62"/>
      <c r="BPC260" s="61"/>
      <c r="BPD260" s="62"/>
      <c r="BPJ260" s="61"/>
      <c r="BPK260" s="62"/>
      <c r="BPQ260" s="61"/>
      <c r="BPR260" s="62"/>
      <c r="BPX260" s="61"/>
      <c r="BPY260" s="62"/>
      <c r="BQE260" s="61"/>
      <c r="BQF260" s="62"/>
      <c r="BQL260" s="61"/>
      <c r="BQM260" s="62"/>
      <c r="BQS260" s="61"/>
      <c r="BQT260" s="62"/>
      <c r="BQZ260" s="61"/>
      <c r="BRA260" s="62"/>
      <c r="BRG260" s="61"/>
      <c r="BRH260" s="62"/>
      <c r="BRN260" s="61"/>
      <c r="BRO260" s="62"/>
      <c r="BRU260" s="61"/>
      <c r="BRV260" s="62"/>
      <c r="BSB260" s="61"/>
      <c r="BSC260" s="62"/>
      <c r="BSI260" s="61"/>
      <c r="BSJ260" s="62"/>
      <c r="BSP260" s="61"/>
      <c r="BSQ260" s="62"/>
      <c r="BSW260" s="61"/>
      <c r="BSX260" s="62"/>
      <c r="BTD260" s="61"/>
      <c r="BTE260" s="62"/>
      <c r="BTK260" s="61"/>
      <c r="BTL260" s="62"/>
      <c r="BTR260" s="61"/>
      <c r="BTS260" s="62"/>
      <c r="BTY260" s="61"/>
      <c r="BTZ260" s="62"/>
      <c r="BUF260" s="61"/>
      <c r="BUG260" s="62"/>
      <c r="BUM260" s="61"/>
      <c r="BUN260" s="62"/>
      <c r="BUT260" s="61"/>
      <c r="BUU260" s="62"/>
      <c r="BVA260" s="61"/>
      <c r="BVB260" s="62"/>
      <c r="BVH260" s="61"/>
      <c r="BVI260" s="62"/>
      <c r="BVO260" s="61"/>
      <c r="BVP260" s="62"/>
      <c r="BVV260" s="61"/>
      <c r="BVW260" s="62"/>
      <c r="BWC260" s="61"/>
      <c r="BWD260" s="62"/>
      <c r="BWJ260" s="61"/>
      <c r="BWK260" s="62"/>
      <c r="BWQ260" s="61"/>
      <c r="BWR260" s="62"/>
      <c r="BWX260" s="61"/>
      <c r="BWY260" s="62"/>
      <c r="BXE260" s="61"/>
      <c r="BXF260" s="62"/>
      <c r="BXL260" s="61"/>
      <c r="BXM260" s="62"/>
      <c r="BXS260" s="61"/>
      <c r="BXT260" s="62"/>
      <c r="BXZ260" s="61"/>
      <c r="BYA260" s="62"/>
      <c r="BYG260" s="61"/>
      <c r="BYH260" s="62"/>
      <c r="BYN260" s="61"/>
      <c r="BYO260" s="62"/>
      <c r="BYU260" s="61"/>
      <c r="BYV260" s="62"/>
      <c r="BZB260" s="61"/>
      <c r="BZC260" s="62"/>
      <c r="BZI260" s="61"/>
      <c r="BZJ260" s="62"/>
      <c r="BZP260" s="61"/>
      <c r="BZQ260" s="62"/>
      <c r="BZW260" s="61"/>
      <c r="BZX260" s="62"/>
      <c r="CAD260" s="61"/>
      <c r="CAE260" s="62"/>
      <c r="CAK260" s="61"/>
      <c r="CAL260" s="62"/>
      <c r="CAR260" s="61"/>
      <c r="CAS260" s="62"/>
      <c r="CAY260" s="61"/>
      <c r="CAZ260" s="62"/>
      <c r="CBF260" s="61"/>
      <c r="CBG260" s="62"/>
      <c r="CBM260" s="61"/>
      <c r="CBN260" s="62"/>
      <c r="CBT260" s="61"/>
      <c r="CBU260" s="62"/>
      <c r="CCA260" s="61"/>
      <c r="CCB260" s="62"/>
      <c r="CCH260" s="61"/>
      <c r="CCI260" s="62"/>
      <c r="CCO260" s="61"/>
      <c r="CCP260" s="62"/>
      <c r="CCV260" s="61"/>
      <c r="CCW260" s="62"/>
      <c r="CDC260" s="61"/>
      <c r="CDD260" s="62"/>
      <c r="CDJ260" s="61"/>
      <c r="CDK260" s="62"/>
      <c r="CDQ260" s="61"/>
      <c r="CDR260" s="62"/>
      <c r="CDX260" s="61"/>
      <c r="CDY260" s="62"/>
      <c r="CEE260" s="61"/>
      <c r="CEF260" s="62"/>
      <c r="CEL260" s="61"/>
      <c r="CEM260" s="62"/>
      <c r="CES260" s="61"/>
      <c r="CET260" s="62"/>
      <c r="CEZ260" s="61"/>
      <c r="CFA260" s="62"/>
      <c r="CFG260" s="61"/>
      <c r="CFH260" s="62"/>
      <c r="CFN260" s="61"/>
      <c r="CFO260" s="62"/>
      <c r="CFU260" s="61"/>
      <c r="CFV260" s="62"/>
      <c r="CGB260" s="61"/>
      <c r="CGC260" s="62"/>
      <c r="CGI260" s="61"/>
      <c r="CGJ260" s="62"/>
      <c r="CGP260" s="61"/>
      <c r="CGQ260" s="62"/>
      <c r="CGW260" s="61"/>
      <c r="CGX260" s="62"/>
      <c r="CHD260" s="61"/>
      <c r="CHE260" s="62"/>
      <c r="CHK260" s="61"/>
      <c r="CHL260" s="62"/>
      <c r="CHR260" s="61"/>
      <c r="CHS260" s="62"/>
      <c r="CHY260" s="61"/>
      <c r="CHZ260" s="62"/>
      <c r="CIF260" s="61"/>
      <c r="CIG260" s="62"/>
      <c r="CIM260" s="61"/>
      <c r="CIN260" s="62"/>
      <c r="CIT260" s="61"/>
      <c r="CIU260" s="62"/>
      <c r="CJA260" s="61"/>
      <c r="CJB260" s="62"/>
      <c r="CJH260" s="61"/>
      <c r="CJI260" s="62"/>
      <c r="CJO260" s="61"/>
      <c r="CJP260" s="62"/>
      <c r="CJV260" s="61"/>
      <c r="CJW260" s="62"/>
      <c r="CKC260" s="61"/>
      <c r="CKD260" s="62"/>
      <c r="CKJ260" s="61"/>
      <c r="CKK260" s="62"/>
      <c r="CKQ260" s="61"/>
      <c r="CKR260" s="62"/>
      <c r="CKX260" s="61"/>
      <c r="CKY260" s="62"/>
      <c r="CLE260" s="61"/>
      <c r="CLF260" s="62"/>
      <c r="CLL260" s="61"/>
      <c r="CLM260" s="62"/>
      <c r="CLS260" s="61"/>
      <c r="CLT260" s="62"/>
      <c r="CLZ260" s="61"/>
      <c r="CMA260" s="62"/>
      <c r="CMG260" s="61"/>
      <c r="CMH260" s="62"/>
      <c r="CMN260" s="61"/>
      <c r="CMO260" s="62"/>
      <c r="CMU260" s="61"/>
      <c r="CMV260" s="62"/>
      <c r="CNB260" s="61"/>
      <c r="CNC260" s="62"/>
      <c r="CNI260" s="61"/>
      <c r="CNJ260" s="62"/>
      <c r="CNP260" s="61"/>
      <c r="CNQ260" s="62"/>
      <c r="CNW260" s="61"/>
      <c r="CNX260" s="62"/>
      <c r="COD260" s="61"/>
      <c r="COE260" s="62"/>
      <c r="COK260" s="61"/>
      <c r="COL260" s="62"/>
      <c r="COR260" s="61"/>
      <c r="COS260" s="62"/>
      <c r="COY260" s="61"/>
      <c r="COZ260" s="62"/>
      <c r="CPF260" s="61"/>
      <c r="CPG260" s="62"/>
      <c r="CPM260" s="61"/>
      <c r="CPN260" s="62"/>
      <c r="CPT260" s="61"/>
      <c r="CPU260" s="62"/>
      <c r="CQA260" s="61"/>
      <c r="CQB260" s="62"/>
      <c r="CQH260" s="61"/>
      <c r="CQI260" s="62"/>
      <c r="CQO260" s="61"/>
      <c r="CQP260" s="62"/>
      <c r="CQV260" s="61"/>
      <c r="CQW260" s="62"/>
      <c r="CRC260" s="61"/>
      <c r="CRD260" s="62"/>
      <c r="CRJ260" s="61"/>
      <c r="CRK260" s="62"/>
      <c r="CRQ260" s="61"/>
      <c r="CRR260" s="62"/>
      <c r="CRX260" s="61"/>
      <c r="CRY260" s="62"/>
      <c r="CSE260" s="61"/>
      <c r="CSF260" s="62"/>
      <c r="CSL260" s="61"/>
      <c r="CSM260" s="62"/>
      <c r="CSS260" s="61"/>
      <c r="CST260" s="62"/>
      <c r="CSZ260" s="61"/>
      <c r="CTA260" s="62"/>
      <c r="CTG260" s="61"/>
      <c r="CTH260" s="62"/>
      <c r="CTN260" s="61"/>
      <c r="CTO260" s="62"/>
      <c r="CTU260" s="61"/>
      <c r="CTV260" s="62"/>
    </row>
    <row r="261" s="6" customFormat="1" ht="31" customHeight="1" spans="1:1023 1029:2045 2051:2570">
      <c r="A261" s="21">
        <v>4.1</v>
      </c>
      <c r="B261" s="22" t="s">
        <v>442</v>
      </c>
      <c r="C261" s="23"/>
      <c r="D261" s="21" t="s">
        <v>55</v>
      </c>
      <c r="E261" s="21">
        <v>1</v>
      </c>
      <c r="F261" s="63"/>
      <c r="G261" s="24">
        <f t="shared" si="4"/>
        <v>0</v>
      </c>
      <c r="H261" s="25"/>
      <c r="N261" s="61"/>
      <c r="O261" s="62"/>
      <c r="U261" s="61"/>
      <c r="V261" s="62"/>
      <c r="AB261" s="61"/>
      <c r="AC261" s="62"/>
      <c r="AI261" s="61"/>
      <c r="AJ261" s="62"/>
      <c r="AP261" s="61"/>
      <c r="AQ261" s="62"/>
      <c r="AW261" s="61"/>
      <c r="AX261" s="62"/>
      <c r="BD261" s="61"/>
      <c r="BE261" s="62"/>
      <c r="BK261" s="61"/>
      <c r="BL261" s="62"/>
      <c r="BR261" s="61"/>
      <c r="BS261" s="62"/>
      <c r="BY261" s="61"/>
      <c r="BZ261" s="62"/>
      <c r="CF261" s="61"/>
      <c r="CG261" s="62"/>
      <c r="CM261" s="61"/>
      <c r="CN261" s="62"/>
      <c r="CT261" s="61"/>
      <c r="CU261" s="62"/>
      <c r="DA261" s="61"/>
      <c r="DB261" s="62"/>
      <c r="DH261" s="61"/>
      <c r="DI261" s="62"/>
      <c r="DO261" s="61"/>
      <c r="DP261" s="62"/>
      <c r="DV261" s="61"/>
      <c r="DW261" s="62"/>
      <c r="EC261" s="61"/>
      <c r="ED261" s="62"/>
      <c r="EJ261" s="61"/>
      <c r="EK261" s="62"/>
      <c r="EQ261" s="61"/>
      <c r="ER261" s="62"/>
      <c r="EX261" s="61"/>
      <c r="EY261" s="62"/>
      <c r="FE261" s="61"/>
      <c r="FF261" s="62"/>
      <c r="FL261" s="61"/>
      <c r="FM261" s="62"/>
      <c r="FS261" s="61"/>
      <c r="FT261" s="62"/>
      <c r="FZ261" s="61"/>
      <c r="GA261" s="62"/>
      <c r="GG261" s="61"/>
      <c r="GH261" s="62"/>
      <c r="GN261" s="61"/>
      <c r="GO261" s="62"/>
      <c r="GU261" s="61"/>
      <c r="GV261" s="62"/>
      <c r="HB261" s="61"/>
      <c r="HC261" s="62"/>
      <c r="HI261" s="61"/>
      <c r="HJ261" s="62"/>
      <c r="HP261" s="61"/>
      <c r="HQ261" s="62"/>
      <c r="HW261" s="61"/>
      <c r="HX261" s="62"/>
      <c r="ID261" s="61"/>
      <c r="IE261" s="62"/>
      <c r="IK261" s="61"/>
      <c r="IL261" s="62"/>
      <c r="IR261" s="61"/>
      <c r="IS261" s="62"/>
      <c r="IY261" s="61"/>
      <c r="IZ261" s="62"/>
      <c r="JF261" s="61"/>
      <c r="JG261" s="62"/>
      <c r="JM261" s="61"/>
      <c r="JN261" s="62"/>
      <c r="JT261" s="61"/>
      <c r="JU261" s="62"/>
      <c r="KA261" s="61"/>
      <c r="KB261" s="62"/>
      <c r="KH261" s="61"/>
      <c r="KI261" s="62"/>
      <c r="KO261" s="61"/>
      <c r="KP261" s="62"/>
      <c r="KV261" s="61"/>
      <c r="KW261" s="62"/>
      <c r="LC261" s="61"/>
      <c r="LD261" s="62"/>
      <c r="LJ261" s="61"/>
      <c r="LK261" s="62"/>
      <c r="LQ261" s="61"/>
      <c r="LR261" s="62"/>
      <c r="LX261" s="61"/>
      <c r="LY261" s="62"/>
      <c r="ME261" s="61"/>
      <c r="MF261" s="62"/>
      <c r="ML261" s="61"/>
      <c r="MM261" s="62"/>
      <c r="MS261" s="61"/>
      <c r="MT261" s="62"/>
      <c r="MZ261" s="61"/>
      <c r="NA261" s="62"/>
      <c r="NG261" s="61"/>
      <c r="NH261" s="62"/>
      <c r="NN261" s="61"/>
      <c r="NO261" s="62"/>
      <c r="NU261" s="61"/>
      <c r="NV261" s="62"/>
      <c r="OB261" s="61"/>
      <c r="OC261" s="62"/>
      <c r="OI261" s="61"/>
      <c r="OJ261" s="62"/>
      <c r="OP261" s="61"/>
      <c r="OQ261" s="62"/>
      <c r="OW261" s="61"/>
      <c r="OX261" s="62"/>
      <c r="PD261" s="61"/>
      <c r="PE261" s="62"/>
      <c r="PK261" s="61"/>
      <c r="PL261" s="62"/>
      <c r="PR261" s="61"/>
      <c r="PS261" s="62"/>
      <c r="PY261" s="61"/>
      <c r="PZ261" s="62"/>
      <c r="QF261" s="61"/>
      <c r="QG261" s="62"/>
      <c r="QM261" s="61"/>
      <c r="QN261" s="62"/>
      <c r="QT261" s="61"/>
      <c r="QU261" s="62"/>
      <c r="RA261" s="61"/>
      <c r="RB261" s="62"/>
      <c r="RH261" s="61"/>
      <c r="RI261" s="62"/>
      <c r="RO261" s="61"/>
      <c r="RP261" s="62"/>
      <c r="RV261" s="61"/>
      <c r="RW261" s="62"/>
      <c r="SC261" s="61"/>
      <c r="SD261" s="62"/>
      <c r="SJ261" s="61"/>
      <c r="SK261" s="62"/>
      <c r="SQ261" s="61"/>
      <c r="SR261" s="62"/>
      <c r="SX261" s="61"/>
      <c r="SY261" s="62"/>
      <c r="TE261" s="61"/>
      <c r="TF261" s="62"/>
      <c r="TL261" s="61"/>
      <c r="TM261" s="62"/>
      <c r="TS261" s="61"/>
      <c r="TT261" s="62"/>
      <c r="TZ261" s="61"/>
      <c r="UA261" s="62"/>
      <c r="UG261" s="61"/>
      <c r="UH261" s="62"/>
      <c r="UN261" s="61"/>
      <c r="UO261" s="62"/>
      <c r="UU261" s="61"/>
      <c r="UV261" s="62"/>
      <c r="VB261" s="61"/>
      <c r="VC261" s="62"/>
      <c r="VI261" s="61"/>
      <c r="VJ261" s="62"/>
      <c r="VP261" s="61"/>
      <c r="VQ261" s="62"/>
      <c r="VW261" s="61"/>
      <c r="VX261" s="62"/>
      <c r="WD261" s="61"/>
      <c r="WE261" s="62"/>
      <c r="WK261" s="61"/>
      <c r="WL261" s="62"/>
      <c r="WR261" s="61"/>
      <c r="WS261" s="62"/>
      <c r="WY261" s="61"/>
      <c r="WZ261" s="62"/>
      <c r="XF261" s="61"/>
      <c r="XG261" s="62"/>
      <c r="XM261" s="61"/>
      <c r="XN261" s="62"/>
      <c r="XT261" s="61"/>
      <c r="XU261" s="62"/>
      <c r="YA261" s="61"/>
      <c r="YB261" s="62"/>
      <c r="YH261" s="61"/>
      <c r="YI261" s="62"/>
      <c r="YO261" s="61"/>
      <c r="YP261" s="62"/>
      <c r="YV261" s="61"/>
      <c r="YW261" s="62"/>
      <c r="ZC261" s="61"/>
      <c r="ZD261" s="62"/>
      <c r="ZJ261" s="61"/>
      <c r="ZK261" s="62"/>
      <c r="ZQ261" s="61"/>
      <c r="ZR261" s="62"/>
      <c r="ZX261" s="61"/>
      <c r="ZY261" s="62"/>
      <c r="AAE261" s="61"/>
      <c r="AAF261" s="62"/>
      <c r="AAL261" s="61"/>
      <c r="AAM261" s="62"/>
      <c r="AAS261" s="61"/>
      <c r="AAT261" s="62"/>
      <c r="AAZ261" s="61"/>
      <c r="ABA261" s="62"/>
      <c r="ABG261" s="61"/>
      <c r="ABH261" s="62"/>
      <c r="ABN261" s="61"/>
      <c r="ABO261" s="62"/>
      <c r="ABU261" s="61"/>
      <c r="ABV261" s="62"/>
      <c r="ACB261" s="61"/>
      <c r="ACC261" s="62"/>
      <c r="ACI261" s="61"/>
      <c r="ACJ261" s="62"/>
      <c r="ACP261" s="61"/>
      <c r="ACQ261" s="62"/>
      <c r="ACW261" s="61"/>
      <c r="ACX261" s="62"/>
      <c r="ADD261" s="61"/>
      <c r="ADE261" s="62"/>
      <c r="ADK261" s="61"/>
      <c r="ADL261" s="62"/>
      <c r="ADR261" s="61"/>
      <c r="ADS261" s="62"/>
      <c r="ADY261" s="61"/>
      <c r="ADZ261" s="62"/>
      <c r="AEF261" s="61"/>
      <c r="AEG261" s="62"/>
      <c r="AEM261" s="61"/>
      <c r="AEN261" s="62"/>
      <c r="AET261" s="61"/>
      <c r="AEU261" s="62"/>
      <c r="AFA261" s="61"/>
      <c r="AFB261" s="62"/>
      <c r="AFH261" s="61"/>
      <c r="AFI261" s="62"/>
      <c r="AFO261" s="61"/>
      <c r="AFP261" s="62"/>
      <c r="AFV261" s="61"/>
      <c r="AFW261" s="62"/>
      <c r="AGC261" s="61"/>
      <c r="AGD261" s="62"/>
      <c r="AGJ261" s="61"/>
      <c r="AGK261" s="62"/>
      <c r="AGQ261" s="61"/>
      <c r="AGR261" s="62"/>
      <c r="AGX261" s="61"/>
      <c r="AGY261" s="62"/>
      <c r="AHE261" s="61"/>
      <c r="AHF261" s="62"/>
      <c r="AHL261" s="61"/>
      <c r="AHM261" s="62"/>
      <c r="AHS261" s="61"/>
      <c r="AHT261" s="62"/>
      <c r="AHZ261" s="61"/>
      <c r="AIA261" s="62"/>
      <c r="AIG261" s="61"/>
      <c r="AIH261" s="62"/>
      <c r="AIN261" s="61"/>
      <c r="AIO261" s="62"/>
      <c r="AIU261" s="61"/>
      <c r="AIV261" s="62"/>
      <c r="AJB261" s="61"/>
      <c r="AJC261" s="62"/>
      <c r="AJI261" s="61"/>
      <c r="AJJ261" s="62"/>
      <c r="AJP261" s="61"/>
      <c r="AJQ261" s="62"/>
      <c r="AJW261" s="61"/>
      <c r="AJX261" s="62"/>
      <c r="AKD261" s="61"/>
      <c r="AKE261" s="62"/>
      <c r="AKK261" s="61"/>
      <c r="AKL261" s="62"/>
      <c r="AKR261" s="61"/>
      <c r="AKS261" s="62"/>
      <c r="AKY261" s="61"/>
      <c r="AKZ261" s="62"/>
      <c r="ALF261" s="61"/>
      <c r="ALG261" s="62"/>
      <c r="ALM261" s="61"/>
      <c r="ALN261" s="62"/>
      <c r="ALT261" s="61"/>
      <c r="ALU261" s="62"/>
      <c r="AMA261" s="61"/>
      <c r="AMB261" s="62"/>
      <c r="AMH261" s="61"/>
      <c r="AMI261" s="62"/>
      <c r="AMO261" s="61"/>
      <c r="AMP261" s="62"/>
      <c r="AMV261" s="61"/>
      <c r="AMW261" s="62"/>
      <c r="ANC261" s="61"/>
      <c r="AND261" s="62"/>
      <c r="ANJ261" s="61"/>
      <c r="ANK261" s="62"/>
      <c r="ANQ261" s="61"/>
      <c r="ANR261" s="62"/>
      <c r="ANX261" s="61"/>
      <c r="ANY261" s="62"/>
      <c r="AOE261" s="61"/>
      <c r="AOF261" s="62"/>
      <c r="AOL261" s="61"/>
      <c r="AOM261" s="62"/>
      <c r="AOS261" s="61"/>
      <c r="AOT261" s="62"/>
      <c r="AOZ261" s="61"/>
      <c r="APA261" s="62"/>
      <c r="APG261" s="61"/>
      <c r="APH261" s="62"/>
      <c r="APN261" s="61"/>
      <c r="APO261" s="62"/>
      <c r="APU261" s="61"/>
      <c r="APV261" s="62"/>
      <c r="AQB261" s="61"/>
      <c r="AQC261" s="62"/>
      <c r="AQI261" s="61"/>
      <c r="AQJ261" s="62"/>
      <c r="AQP261" s="61"/>
      <c r="AQQ261" s="62"/>
      <c r="AQW261" s="61"/>
      <c r="AQX261" s="62"/>
      <c r="ARD261" s="61"/>
      <c r="ARE261" s="62"/>
      <c r="ARK261" s="61"/>
      <c r="ARL261" s="62"/>
      <c r="ARR261" s="61"/>
      <c r="ARS261" s="62"/>
      <c r="ARY261" s="61"/>
      <c r="ARZ261" s="62"/>
      <c r="ASF261" s="61"/>
      <c r="ASG261" s="62"/>
      <c r="ASM261" s="61"/>
      <c r="ASN261" s="62"/>
      <c r="AST261" s="61"/>
      <c r="ASU261" s="62"/>
      <c r="ATA261" s="61"/>
      <c r="ATB261" s="62"/>
      <c r="ATH261" s="61"/>
      <c r="ATI261" s="62"/>
      <c r="ATO261" s="61"/>
      <c r="ATP261" s="62"/>
      <c r="ATV261" s="61"/>
      <c r="ATW261" s="62"/>
      <c r="AUC261" s="61"/>
      <c r="AUD261" s="62"/>
      <c r="AUJ261" s="61"/>
      <c r="AUK261" s="62"/>
      <c r="AUQ261" s="61"/>
      <c r="AUR261" s="62"/>
      <c r="AUX261" s="61"/>
      <c r="AUY261" s="62"/>
      <c r="AVE261" s="61"/>
      <c r="AVF261" s="62"/>
      <c r="AVL261" s="61"/>
      <c r="AVM261" s="62"/>
      <c r="AVS261" s="61"/>
      <c r="AVT261" s="62"/>
      <c r="AVZ261" s="61"/>
      <c r="AWA261" s="62"/>
      <c r="AWG261" s="61"/>
      <c r="AWH261" s="62"/>
      <c r="AWN261" s="61"/>
      <c r="AWO261" s="62"/>
      <c r="AWU261" s="61"/>
      <c r="AWV261" s="62"/>
      <c r="AXB261" s="61"/>
      <c r="AXC261" s="62"/>
      <c r="AXI261" s="61"/>
      <c r="AXJ261" s="62"/>
      <c r="AXP261" s="61"/>
      <c r="AXQ261" s="62"/>
      <c r="AXW261" s="61"/>
      <c r="AXX261" s="62"/>
      <c r="AYD261" s="61"/>
      <c r="AYE261" s="62"/>
      <c r="AYK261" s="61"/>
      <c r="AYL261" s="62"/>
      <c r="AYR261" s="61"/>
      <c r="AYS261" s="62"/>
      <c r="AYY261" s="61"/>
      <c r="AYZ261" s="62"/>
      <c r="AZF261" s="61"/>
      <c r="AZG261" s="62"/>
      <c r="AZM261" s="61"/>
      <c r="AZN261" s="62"/>
      <c r="AZT261" s="61"/>
      <c r="AZU261" s="62"/>
      <c r="BAA261" s="61"/>
      <c r="BAB261" s="62"/>
      <c r="BAH261" s="61"/>
      <c r="BAI261" s="62"/>
      <c r="BAO261" s="61"/>
      <c r="BAP261" s="62"/>
      <c r="BAV261" s="61"/>
      <c r="BAW261" s="62"/>
      <c r="BBC261" s="61"/>
      <c r="BBD261" s="62"/>
      <c r="BBJ261" s="61"/>
      <c r="BBK261" s="62"/>
      <c r="BBQ261" s="61"/>
      <c r="BBR261" s="62"/>
      <c r="BBX261" s="61"/>
      <c r="BBY261" s="62"/>
      <c r="BCE261" s="61"/>
      <c r="BCF261" s="62"/>
      <c r="BCL261" s="61"/>
      <c r="BCM261" s="62"/>
      <c r="BCS261" s="61"/>
      <c r="BCT261" s="62"/>
      <c r="BCZ261" s="61"/>
      <c r="BDA261" s="62"/>
      <c r="BDG261" s="61"/>
      <c r="BDH261" s="62"/>
      <c r="BDN261" s="61"/>
      <c r="BDO261" s="62"/>
      <c r="BDU261" s="61"/>
      <c r="BDV261" s="62"/>
      <c r="BEB261" s="61"/>
      <c r="BEC261" s="62"/>
      <c r="BEI261" s="61"/>
      <c r="BEJ261" s="62"/>
      <c r="BEP261" s="61"/>
      <c r="BEQ261" s="62"/>
      <c r="BEW261" s="61"/>
      <c r="BEX261" s="62"/>
      <c r="BFD261" s="61"/>
      <c r="BFE261" s="62"/>
      <c r="BFK261" s="61"/>
      <c r="BFL261" s="62"/>
      <c r="BFR261" s="61"/>
      <c r="BFS261" s="62"/>
      <c r="BFY261" s="61"/>
      <c r="BFZ261" s="62"/>
      <c r="BGF261" s="61"/>
      <c r="BGG261" s="62"/>
      <c r="BGM261" s="61"/>
      <c r="BGN261" s="62"/>
      <c r="BGT261" s="61"/>
      <c r="BGU261" s="62"/>
      <c r="BHA261" s="61"/>
      <c r="BHB261" s="62"/>
      <c r="BHH261" s="61"/>
      <c r="BHI261" s="62"/>
      <c r="BHO261" s="61"/>
      <c r="BHP261" s="62"/>
      <c r="BHV261" s="61"/>
      <c r="BHW261" s="62"/>
      <c r="BIC261" s="61"/>
      <c r="BID261" s="62"/>
      <c r="BIJ261" s="61"/>
      <c r="BIK261" s="62"/>
      <c r="BIQ261" s="61"/>
      <c r="BIR261" s="62"/>
      <c r="BIX261" s="61"/>
      <c r="BIY261" s="62"/>
      <c r="BJE261" s="61"/>
      <c r="BJF261" s="62"/>
      <c r="BJL261" s="61"/>
      <c r="BJM261" s="62"/>
      <c r="BJS261" s="61"/>
      <c r="BJT261" s="62"/>
      <c r="BJZ261" s="61"/>
      <c r="BKA261" s="62"/>
      <c r="BKG261" s="61"/>
      <c r="BKH261" s="62"/>
      <c r="BKN261" s="61"/>
      <c r="BKO261" s="62"/>
      <c r="BKU261" s="61"/>
      <c r="BKV261" s="62"/>
      <c r="BLB261" s="61"/>
      <c r="BLC261" s="62"/>
      <c r="BLI261" s="61"/>
      <c r="BLJ261" s="62"/>
      <c r="BLP261" s="61"/>
      <c r="BLQ261" s="62"/>
      <c r="BLW261" s="61"/>
      <c r="BLX261" s="62"/>
      <c r="BMD261" s="61"/>
      <c r="BME261" s="62"/>
      <c r="BMK261" s="61"/>
      <c r="BML261" s="62"/>
      <c r="BMR261" s="61"/>
      <c r="BMS261" s="62"/>
      <c r="BMY261" s="61"/>
      <c r="BMZ261" s="62"/>
      <c r="BNF261" s="61"/>
      <c r="BNG261" s="62"/>
      <c r="BNM261" s="61"/>
      <c r="BNN261" s="62"/>
      <c r="BNT261" s="61"/>
      <c r="BNU261" s="62"/>
      <c r="BOA261" s="61"/>
      <c r="BOB261" s="62"/>
      <c r="BOH261" s="61"/>
      <c r="BOI261" s="62"/>
      <c r="BOO261" s="61"/>
      <c r="BOP261" s="62"/>
      <c r="BOV261" s="61"/>
      <c r="BOW261" s="62"/>
      <c r="BPC261" s="61"/>
      <c r="BPD261" s="62"/>
      <c r="BPJ261" s="61"/>
      <c r="BPK261" s="62"/>
      <c r="BPQ261" s="61"/>
      <c r="BPR261" s="62"/>
      <c r="BPX261" s="61"/>
      <c r="BPY261" s="62"/>
      <c r="BQE261" s="61"/>
      <c r="BQF261" s="62"/>
      <c r="BQL261" s="61"/>
      <c r="BQM261" s="62"/>
      <c r="BQS261" s="61"/>
      <c r="BQT261" s="62"/>
      <c r="BQZ261" s="61"/>
      <c r="BRA261" s="62"/>
      <c r="BRG261" s="61"/>
      <c r="BRH261" s="62"/>
      <c r="BRN261" s="61"/>
      <c r="BRO261" s="62"/>
      <c r="BRU261" s="61"/>
      <c r="BRV261" s="62"/>
      <c r="BSB261" s="61"/>
      <c r="BSC261" s="62"/>
      <c r="BSI261" s="61"/>
      <c r="BSJ261" s="62"/>
      <c r="BSP261" s="61"/>
      <c r="BSQ261" s="62"/>
      <c r="BSW261" s="61"/>
      <c r="BSX261" s="62"/>
      <c r="BTD261" s="61"/>
      <c r="BTE261" s="62"/>
      <c r="BTK261" s="61"/>
      <c r="BTL261" s="62"/>
      <c r="BTR261" s="61"/>
      <c r="BTS261" s="62"/>
      <c r="BTY261" s="61"/>
      <c r="BTZ261" s="62"/>
      <c r="BUF261" s="61"/>
      <c r="BUG261" s="62"/>
      <c r="BUM261" s="61"/>
      <c r="BUN261" s="62"/>
      <c r="BUT261" s="61"/>
      <c r="BUU261" s="62"/>
      <c r="BVA261" s="61"/>
      <c r="BVB261" s="62"/>
      <c r="BVH261" s="61"/>
      <c r="BVI261" s="62"/>
      <c r="BVO261" s="61"/>
      <c r="BVP261" s="62"/>
      <c r="BVV261" s="61"/>
      <c r="BVW261" s="62"/>
      <c r="BWC261" s="61"/>
      <c r="BWD261" s="62"/>
      <c r="BWJ261" s="61"/>
      <c r="BWK261" s="62"/>
      <c r="BWQ261" s="61"/>
      <c r="BWR261" s="62"/>
      <c r="BWX261" s="61"/>
      <c r="BWY261" s="62"/>
      <c r="BXE261" s="61"/>
      <c r="BXF261" s="62"/>
      <c r="BXL261" s="61"/>
      <c r="BXM261" s="62"/>
      <c r="BXS261" s="61"/>
      <c r="BXT261" s="62"/>
      <c r="BXZ261" s="61"/>
      <c r="BYA261" s="62"/>
      <c r="BYG261" s="61"/>
      <c r="BYH261" s="62"/>
      <c r="BYN261" s="61"/>
      <c r="BYO261" s="62"/>
      <c r="BYU261" s="61"/>
      <c r="BYV261" s="62"/>
      <c r="BZB261" s="61"/>
      <c r="BZC261" s="62"/>
      <c r="BZI261" s="61"/>
      <c r="BZJ261" s="62"/>
      <c r="BZP261" s="61"/>
      <c r="BZQ261" s="62"/>
      <c r="BZW261" s="61"/>
      <c r="BZX261" s="62"/>
      <c r="CAD261" s="61"/>
      <c r="CAE261" s="62"/>
      <c r="CAK261" s="61"/>
      <c r="CAL261" s="62"/>
      <c r="CAR261" s="61"/>
      <c r="CAS261" s="62"/>
      <c r="CAY261" s="61"/>
      <c r="CAZ261" s="62"/>
      <c r="CBF261" s="61"/>
      <c r="CBG261" s="62"/>
      <c r="CBM261" s="61"/>
      <c r="CBN261" s="62"/>
      <c r="CBT261" s="61"/>
      <c r="CBU261" s="62"/>
      <c r="CCA261" s="61"/>
      <c r="CCB261" s="62"/>
      <c r="CCH261" s="61"/>
      <c r="CCI261" s="62"/>
      <c r="CCO261" s="61"/>
      <c r="CCP261" s="62"/>
      <c r="CCV261" s="61"/>
      <c r="CCW261" s="62"/>
      <c r="CDC261" s="61"/>
      <c r="CDD261" s="62"/>
      <c r="CDJ261" s="61"/>
      <c r="CDK261" s="62"/>
      <c r="CDQ261" s="61"/>
      <c r="CDR261" s="62"/>
      <c r="CDX261" s="61"/>
      <c r="CDY261" s="62"/>
      <c r="CEE261" s="61"/>
      <c r="CEF261" s="62"/>
      <c r="CEL261" s="61"/>
      <c r="CEM261" s="62"/>
      <c r="CES261" s="61"/>
      <c r="CET261" s="62"/>
      <c r="CEZ261" s="61"/>
      <c r="CFA261" s="62"/>
      <c r="CFG261" s="61"/>
      <c r="CFH261" s="62"/>
      <c r="CFN261" s="61"/>
      <c r="CFO261" s="62"/>
      <c r="CFU261" s="61"/>
      <c r="CFV261" s="62"/>
      <c r="CGB261" s="61"/>
      <c r="CGC261" s="62"/>
      <c r="CGI261" s="61"/>
      <c r="CGJ261" s="62"/>
      <c r="CGP261" s="61"/>
      <c r="CGQ261" s="62"/>
      <c r="CGW261" s="61"/>
      <c r="CGX261" s="62"/>
      <c r="CHD261" s="61"/>
      <c r="CHE261" s="62"/>
      <c r="CHK261" s="61"/>
      <c r="CHL261" s="62"/>
      <c r="CHR261" s="61"/>
      <c r="CHS261" s="62"/>
      <c r="CHY261" s="61"/>
      <c r="CHZ261" s="62"/>
      <c r="CIF261" s="61"/>
      <c r="CIG261" s="62"/>
      <c r="CIM261" s="61"/>
      <c r="CIN261" s="62"/>
      <c r="CIT261" s="61"/>
      <c r="CIU261" s="62"/>
      <c r="CJA261" s="61"/>
      <c r="CJB261" s="62"/>
      <c r="CJH261" s="61"/>
      <c r="CJI261" s="62"/>
      <c r="CJO261" s="61"/>
      <c r="CJP261" s="62"/>
      <c r="CJV261" s="61"/>
      <c r="CJW261" s="62"/>
      <c r="CKC261" s="61"/>
      <c r="CKD261" s="62"/>
      <c r="CKJ261" s="61"/>
      <c r="CKK261" s="62"/>
      <c r="CKQ261" s="61"/>
      <c r="CKR261" s="62"/>
      <c r="CKX261" s="61"/>
      <c r="CKY261" s="62"/>
      <c r="CLE261" s="61"/>
      <c r="CLF261" s="62"/>
      <c r="CLL261" s="61"/>
      <c r="CLM261" s="62"/>
      <c r="CLS261" s="61"/>
      <c r="CLT261" s="62"/>
      <c r="CLZ261" s="61"/>
      <c r="CMA261" s="62"/>
      <c r="CMG261" s="61"/>
      <c r="CMH261" s="62"/>
      <c r="CMN261" s="61"/>
      <c r="CMO261" s="62"/>
      <c r="CMU261" s="61"/>
      <c r="CMV261" s="62"/>
      <c r="CNB261" s="61"/>
      <c r="CNC261" s="62"/>
      <c r="CNI261" s="61"/>
      <c r="CNJ261" s="62"/>
      <c r="CNP261" s="61"/>
      <c r="CNQ261" s="62"/>
      <c r="CNW261" s="61"/>
      <c r="CNX261" s="62"/>
      <c r="COD261" s="61"/>
      <c r="COE261" s="62"/>
      <c r="COK261" s="61"/>
      <c r="COL261" s="62"/>
      <c r="COR261" s="61"/>
      <c r="COS261" s="62"/>
      <c r="COY261" s="61"/>
      <c r="COZ261" s="62"/>
      <c r="CPF261" s="61"/>
      <c r="CPG261" s="62"/>
      <c r="CPM261" s="61"/>
      <c r="CPN261" s="62"/>
      <c r="CPT261" s="61"/>
      <c r="CPU261" s="62"/>
      <c r="CQA261" s="61"/>
      <c r="CQB261" s="62"/>
      <c r="CQH261" s="61"/>
      <c r="CQI261" s="62"/>
      <c r="CQO261" s="61"/>
      <c r="CQP261" s="62"/>
      <c r="CQV261" s="61"/>
      <c r="CQW261" s="62"/>
      <c r="CRC261" s="61"/>
      <c r="CRD261" s="62"/>
      <c r="CRJ261" s="61"/>
      <c r="CRK261" s="62"/>
      <c r="CRQ261" s="61"/>
      <c r="CRR261" s="62"/>
      <c r="CRX261" s="61"/>
      <c r="CRY261" s="62"/>
      <c r="CSE261" s="61"/>
      <c r="CSF261" s="62"/>
      <c r="CSL261" s="61"/>
      <c r="CSM261" s="62"/>
      <c r="CSS261" s="61"/>
      <c r="CST261" s="62"/>
      <c r="CSZ261" s="61"/>
      <c r="CTA261" s="62"/>
      <c r="CTG261" s="61"/>
      <c r="CTH261" s="62"/>
      <c r="CTN261" s="61"/>
      <c r="CTO261" s="62"/>
      <c r="CTU261" s="61"/>
      <c r="CTV261" s="62"/>
    </row>
    <row r="262" s="6" customFormat="1" ht="31" customHeight="1" spans="1:1023 1029:2045 2051:2570">
      <c r="A262" s="21">
        <v>4.2</v>
      </c>
      <c r="B262" s="22" t="s">
        <v>443</v>
      </c>
      <c r="C262" s="23"/>
      <c r="D262" s="21" t="s">
        <v>55</v>
      </c>
      <c r="E262" s="21">
        <v>1</v>
      </c>
      <c r="F262" s="63"/>
      <c r="G262" s="24">
        <f t="shared" si="4"/>
        <v>0</v>
      </c>
      <c r="H262" s="25"/>
      <c r="N262" s="61"/>
      <c r="O262" s="62"/>
      <c r="U262" s="61"/>
      <c r="V262" s="62"/>
      <c r="AB262" s="61"/>
      <c r="AC262" s="62"/>
      <c r="AI262" s="61"/>
      <c r="AJ262" s="62"/>
      <c r="AP262" s="61"/>
      <c r="AQ262" s="62"/>
      <c r="AW262" s="61"/>
      <c r="AX262" s="62"/>
      <c r="BD262" s="61"/>
      <c r="BE262" s="62"/>
      <c r="BK262" s="61"/>
      <c r="BL262" s="62"/>
      <c r="BR262" s="61"/>
      <c r="BS262" s="62"/>
      <c r="BY262" s="61"/>
      <c r="BZ262" s="62"/>
      <c r="CF262" s="61"/>
      <c r="CG262" s="62"/>
      <c r="CM262" s="61"/>
      <c r="CN262" s="62"/>
      <c r="CT262" s="61"/>
      <c r="CU262" s="62"/>
      <c r="DA262" s="61"/>
      <c r="DB262" s="62"/>
      <c r="DH262" s="61"/>
      <c r="DI262" s="62"/>
      <c r="DO262" s="61"/>
      <c r="DP262" s="62"/>
      <c r="DV262" s="61"/>
      <c r="DW262" s="62"/>
      <c r="EC262" s="61"/>
      <c r="ED262" s="62"/>
      <c r="EJ262" s="61"/>
      <c r="EK262" s="62"/>
      <c r="EQ262" s="61"/>
      <c r="ER262" s="62"/>
      <c r="EX262" s="61"/>
      <c r="EY262" s="62"/>
      <c r="FE262" s="61"/>
      <c r="FF262" s="62"/>
      <c r="FL262" s="61"/>
      <c r="FM262" s="62"/>
      <c r="FS262" s="61"/>
      <c r="FT262" s="62"/>
      <c r="FZ262" s="61"/>
      <c r="GA262" s="62"/>
      <c r="GG262" s="61"/>
      <c r="GH262" s="62"/>
      <c r="GN262" s="61"/>
      <c r="GO262" s="62"/>
      <c r="GU262" s="61"/>
      <c r="GV262" s="62"/>
      <c r="HB262" s="61"/>
      <c r="HC262" s="62"/>
      <c r="HI262" s="61"/>
      <c r="HJ262" s="62"/>
      <c r="HP262" s="61"/>
      <c r="HQ262" s="62"/>
      <c r="HW262" s="61"/>
      <c r="HX262" s="62"/>
      <c r="ID262" s="61"/>
      <c r="IE262" s="62"/>
      <c r="IK262" s="61"/>
      <c r="IL262" s="62"/>
      <c r="IR262" s="61"/>
      <c r="IS262" s="62"/>
      <c r="IY262" s="61"/>
      <c r="IZ262" s="62"/>
      <c r="JF262" s="61"/>
      <c r="JG262" s="62"/>
      <c r="JM262" s="61"/>
      <c r="JN262" s="62"/>
      <c r="JT262" s="61"/>
      <c r="JU262" s="62"/>
      <c r="KA262" s="61"/>
      <c r="KB262" s="62"/>
      <c r="KH262" s="61"/>
      <c r="KI262" s="62"/>
      <c r="KO262" s="61"/>
      <c r="KP262" s="62"/>
      <c r="KV262" s="61"/>
      <c r="KW262" s="62"/>
      <c r="LC262" s="61"/>
      <c r="LD262" s="62"/>
      <c r="LJ262" s="61"/>
      <c r="LK262" s="62"/>
      <c r="LQ262" s="61"/>
      <c r="LR262" s="62"/>
      <c r="LX262" s="61"/>
      <c r="LY262" s="62"/>
      <c r="ME262" s="61"/>
      <c r="MF262" s="62"/>
      <c r="ML262" s="61"/>
      <c r="MM262" s="62"/>
      <c r="MS262" s="61"/>
      <c r="MT262" s="62"/>
      <c r="MZ262" s="61"/>
      <c r="NA262" s="62"/>
      <c r="NG262" s="61"/>
      <c r="NH262" s="62"/>
      <c r="NN262" s="61"/>
      <c r="NO262" s="62"/>
      <c r="NU262" s="61"/>
      <c r="NV262" s="62"/>
      <c r="OB262" s="61"/>
      <c r="OC262" s="62"/>
      <c r="OI262" s="61"/>
      <c r="OJ262" s="62"/>
      <c r="OP262" s="61"/>
      <c r="OQ262" s="62"/>
      <c r="OW262" s="61"/>
      <c r="OX262" s="62"/>
      <c r="PD262" s="61"/>
      <c r="PE262" s="62"/>
      <c r="PK262" s="61"/>
      <c r="PL262" s="62"/>
      <c r="PR262" s="61"/>
      <c r="PS262" s="62"/>
      <c r="PY262" s="61"/>
      <c r="PZ262" s="62"/>
      <c r="QF262" s="61"/>
      <c r="QG262" s="62"/>
      <c r="QM262" s="61"/>
      <c r="QN262" s="62"/>
      <c r="QT262" s="61"/>
      <c r="QU262" s="62"/>
      <c r="RA262" s="61"/>
      <c r="RB262" s="62"/>
      <c r="RH262" s="61"/>
      <c r="RI262" s="62"/>
      <c r="RO262" s="61"/>
      <c r="RP262" s="62"/>
      <c r="RV262" s="61"/>
      <c r="RW262" s="62"/>
      <c r="SC262" s="61"/>
      <c r="SD262" s="62"/>
      <c r="SJ262" s="61"/>
      <c r="SK262" s="62"/>
      <c r="SQ262" s="61"/>
      <c r="SR262" s="62"/>
      <c r="SX262" s="61"/>
      <c r="SY262" s="62"/>
      <c r="TE262" s="61"/>
      <c r="TF262" s="62"/>
      <c r="TL262" s="61"/>
      <c r="TM262" s="62"/>
      <c r="TS262" s="61"/>
      <c r="TT262" s="62"/>
      <c r="TZ262" s="61"/>
      <c r="UA262" s="62"/>
      <c r="UG262" s="61"/>
      <c r="UH262" s="62"/>
      <c r="UN262" s="61"/>
      <c r="UO262" s="62"/>
      <c r="UU262" s="61"/>
      <c r="UV262" s="62"/>
      <c r="VB262" s="61"/>
      <c r="VC262" s="62"/>
      <c r="VI262" s="61"/>
      <c r="VJ262" s="62"/>
      <c r="VP262" s="61"/>
      <c r="VQ262" s="62"/>
      <c r="VW262" s="61"/>
      <c r="VX262" s="62"/>
      <c r="WD262" s="61"/>
      <c r="WE262" s="62"/>
      <c r="WK262" s="61"/>
      <c r="WL262" s="62"/>
      <c r="WR262" s="61"/>
      <c r="WS262" s="62"/>
      <c r="WY262" s="61"/>
      <c r="WZ262" s="62"/>
      <c r="XF262" s="61"/>
      <c r="XG262" s="62"/>
      <c r="XM262" s="61"/>
      <c r="XN262" s="62"/>
      <c r="XT262" s="61"/>
      <c r="XU262" s="62"/>
      <c r="YA262" s="61"/>
      <c r="YB262" s="62"/>
      <c r="YH262" s="61"/>
      <c r="YI262" s="62"/>
      <c r="YO262" s="61"/>
      <c r="YP262" s="62"/>
      <c r="YV262" s="61"/>
      <c r="YW262" s="62"/>
      <c r="ZC262" s="61"/>
      <c r="ZD262" s="62"/>
      <c r="ZJ262" s="61"/>
      <c r="ZK262" s="62"/>
      <c r="ZQ262" s="61"/>
      <c r="ZR262" s="62"/>
      <c r="ZX262" s="61"/>
      <c r="ZY262" s="62"/>
      <c r="AAE262" s="61"/>
      <c r="AAF262" s="62"/>
      <c r="AAL262" s="61"/>
      <c r="AAM262" s="62"/>
      <c r="AAS262" s="61"/>
      <c r="AAT262" s="62"/>
      <c r="AAZ262" s="61"/>
      <c r="ABA262" s="62"/>
      <c r="ABG262" s="61"/>
      <c r="ABH262" s="62"/>
      <c r="ABN262" s="61"/>
      <c r="ABO262" s="62"/>
      <c r="ABU262" s="61"/>
      <c r="ABV262" s="62"/>
      <c r="ACB262" s="61"/>
      <c r="ACC262" s="62"/>
      <c r="ACI262" s="61"/>
      <c r="ACJ262" s="62"/>
      <c r="ACP262" s="61"/>
      <c r="ACQ262" s="62"/>
      <c r="ACW262" s="61"/>
      <c r="ACX262" s="62"/>
      <c r="ADD262" s="61"/>
      <c r="ADE262" s="62"/>
      <c r="ADK262" s="61"/>
      <c r="ADL262" s="62"/>
      <c r="ADR262" s="61"/>
      <c r="ADS262" s="62"/>
      <c r="ADY262" s="61"/>
      <c r="ADZ262" s="62"/>
      <c r="AEF262" s="61"/>
      <c r="AEG262" s="62"/>
      <c r="AEM262" s="61"/>
      <c r="AEN262" s="62"/>
      <c r="AET262" s="61"/>
      <c r="AEU262" s="62"/>
      <c r="AFA262" s="61"/>
      <c r="AFB262" s="62"/>
      <c r="AFH262" s="61"/>
      <c r="AFI262" s="62"/>
      <c r="AFO262" s="61"/>
      <c r="AFP262" s="62"/>
      <c r="AFV262" s="61"/>
      <c r="AFW262" s="62"/>
      <c r="AGC262" s="61"/>
      <c r="AGD262" s="62"/>
      <c r="AGJ262" s="61"/>
      <c r="AGK262" s="62"/>
      <c r="AGQ262" s="61"/>
      <c r="AGR262" s="62"/>
      <c r="AGX262" s="61"/>
      <c r="AGY262" s="62"/>
      <c r="AHE262" s="61"/>
      <c r="AHF262" s="62"/>
      <c r="AHL262" s="61"/>
      <c r="AHM262" s="62"/>
      <c r="AHS262" s="61"/>
      <c r="AHT262" s="62"/>
      <c r="AHZ262" s="61"/>
      <c r="AIA262" s="62"/>
      <c r="AIG262" s="61"/>
      <c r="AIH262" s="62"/>
      <c r="AIN262" s="61"/>
      <c r="AIO262" s="62"/>
      <c r="AIU262" s="61"/>
      <c r="AIV262" s="62"/>
      <c r="AJB262" s="61"/>
      <c r="AJC262" s="62"/>
      <c r="AJI262" s="61"/>
      <c r="AJJ262" s="62"/>
      <c r="AJP262" s="61"/>
      <c r="AJQ262" s="62"/>
      <c r="AJW262" s="61"/>
      <c r="AJX262" s="62"/>
      <c r="AKD262" s="61"/>
      <c r="AKE262" s="62"/>
      <c r="AKK262" s="61"/>
      <c r="AKL262" s="62"/>
      <c r="AKR262" s="61"/>
      <c r="AKS262" s="62"/>
      <c r="AKY262" s="61"/>
      <c r="AKZ262" s="62"/>
      <c r="ALF262" s="61"/>
      <c r="ALG262" s="62"/>
      <c r="ALM262" s="61"/>
      <c r="ALN262" s="62"/>
      <c r="ALT262" s="61"/>
      <c r="ALU262" s="62"/>
      <c r="AMA262" s="61"/>
      <c r="AMB262" s="62"/>
      <c r="AMH262" s="61"/>
      <c r="AMI262" s="62"/>
      <c r="AMO262" s="61"/>
      <c r="AMP262" s="62"/>
      <c r="AMV262" s="61"/>
      <c r="AMW262" s="62"/>
      <c r="ANC262" s="61"/>
      <c r="AND262" s="62"/>
      <c r="ANJ262" s="61"/>
      <c r="ANK262" s="62"/>
      <c r="ANQ262" s="61"/>
      <c r="ANR262" s="62"/>
      <c r="ANX262" s="61"/>
      <c r="ANY262" s="62"/>
      <c r="AOE262" s="61"/>
      <c r="AOF262" s="62"/>
      <c r="AOL262" s="61"/>
      <c r="AOM262" s="62"/>
      <c r="AOS262" s="61"/>
      <c r="AOT262" s="62"/>
      <c r="AOZ262" s="61"/>
      <c r="APA262" s="62"/>
      <c r="APG262" s="61"/>
      <c r="APH262" s="62"/>
      <c r="APN262" s="61"/>
      <c r="APO262" s="62"/>
      <c r="APU262" s="61"/>
      <c r="APV262" s="62"/>
      <c r="AQB262" s="61"/>
      <c r="AQC262" s="62"/>
      <c r="AQI262" s="61"/>
      <c r="AQJ262" s="62"/>
      <c r="AQP262" s="61"/>
      <c r="AQQ262" s="62"/>
      <c r="AQW262" s="61"/>
      <c r="AQX262" s="62"/>
      <c r="ARD262" s="61"/>
      <c r="ARE262" s="62"/>
      <c r="ARK262" s="61"/>
      <c r="ARL262" s="62"/>
      <c r="ARR262" s="61"/>
      <c r="ARS262" s="62"/>
      <c r="ARY262" s="61"/>
      <c r="ARZ262" s="62"/>
      <c r="ASF262" s="61"/>
      <c r="ASG262" s="62"/>
      <c r="ASM262" s="61"/>
      <c r="ASN262" s="62"/>
      <c r="AST262" s="61"/>
      <c r="ASU262" s="62"/>
      <c r="ATA262" s="61"/>
      <c r="ATB262" s="62"/>
      <c r="ATH262" s="61"/>
      <c r="ATI262" s="62"/>
      <c r="ATO262" s="61"/>
      <c r="ATP262" s="62"/>
      <c r="ATV262" s="61"/>
      <c r="ATW262" s="62"/>
      <c r="AUC262" s="61"/>
      <c r="AUD262" s="62"/>
      <c r="AUJ262" s="61"/>
      <c r="AUK262" s="62"/>
      <c r="AUQ262" s="61"/>
      <c r="AUR262" s="62"/>
      <c r="AUX262" s="61"/>
      <c r="AUY262" s="62"/>
      <c r="AVE262" s="61"/>
      <c r="AVF262" s="62"/>
      <c r="AVL262" s="61"/>
      <c r="AVM262" s="62"/>
      <c r="AVS262" s="61"/>
      <c r="AVT262" s="62"/>
      <c r="AVZ262" s="61"/>
      <c r="AWA262" s="62"/>
      <c r="AWG262" s="61"/>
      <c r="AWH262" s="62"/>
      <c r="AWN262" s="61"/>
      <c r="AWO262" s="62"/>
      <c r="AWU262" s="61"/>
      <c r="AWV262" s="62"/>
      <c r="AXB262" s="61"/>
      <c r="AXC262" s="62"/>
      <c r="AXI262" s="61"/>
      <c r="AXJ262" s="62"/>
      <c r="AXP262" s="61"/>
      <c r="AXQ262" s="62"/>
      <c r="AXW262" s="61"/>
      <c r="AXX262" s="62"/>
      <c r="AYD262" s="61"/>
      <c r="AYE262" s="62"/>
      <c r="AYK262" s="61"/>
      <c r="AYL262" s="62"/>
      <c r="AYR262" s="61"/>
      <c r="AYS262" s="62"/>
      <c r="AYY262" s="61"/>
      <c r="AYZ262" s="62"/>
      <c r="AZF262" s="61"/>
      <c r="AZG262" s="62"/>
      <c r="AZM262" s="61"/>
      <c r="AZN262" s="62"/>
      <c r="AZT262" s="61"/>
      <c r="AZU262" s="62"/>
      <c r="BAA262" s="61"/>
      <c r="BAB262" s="62"/>
      <c r="BAH262" s="61"/>
      <c r="BAI262" s="62"/>
      <c r="BAO262" s="61"/>
      <c r="BAP262" s="62"/>
      <c r="BAV262" s="61"/>
      <c r="BAW262" s="62"/>
      <c r="BBC262" s="61"/>
      <c r="BBD262" s="62"/>
      <c r="BBJ262" s="61"/>
      <c r="BBK262" s="62"/>
      <c r="BBQ262" s="61"/>
      <c r="BBR262" s="62"/>
      <c r="BBX262" s="61"/>
      <c r="BBY262" s="62"/>
      <c r="BCE262" s="61"/>
      <c r="BCF262" s="62"/>
      <c r="BCL262" s="61"/>
      <c r="BCM262" s="62"/>
      <c r="BCS262" s="61"/>
      <c r="BCT262" s="62"/>
      <c r="BCZ262" s="61"/>
      <c r="BDA262" s="62"/>
      <c r="BDG262" s="61"/>
      <c r="BDH262" s="62"/>
      <c r="BDN262" s="61"/>
      <c r="BDO262" s="62"/>
      <c r="BDU262" s="61"/>
      <c r="BDV262" s="62"/>
      <c r="BEB262" s="61"/>
      <c r="BEC262" s="62"/>
      <c r="BEI262" s="61"/>
      <c r="BEJ262" s="62"/>
      <c r="BEP262" s="61"/>
      <c r="BEQ262" s="62"/>
      <c r="BEW262" s="61"/>
      <c r="BEX262" s="62"/>
      <c r="BFD262" s="61"/>
      <c r="BFE262" s="62"/>
      <c r="BFK262" s="61"/>
      <c r="BFL262" s="62"/>
      <c r="BFR262" s="61"/>
      <c r="BFS262" s="62"/>
      <c r="BFY262" s="61"/>
      <c r="BFZ262" s="62"/>
      <c r="BGF262" s="61"/>
      <c r="BGG262" s="62"/>
      <c r="BGM262" s="61"/>
      <c r="BGN262" s="62"/>
      <c r="BGT262" s="61"/>
      <c r="BGU262" s="62"/>
      <c r="BHA262" s="61"/>
      <c r="BHB262" s="62"/>
      <c r="BHH262" s="61"/>
      <c r="BHI262" s="62"/>
      <c r="BHO262" s="61"/>
      <c r="BHP262" s="62"/>
      <c r="BHV262" s="61"/>
      <c r="BHW262" s="62"/>
      <c r="BIC262" s="61"/>
      <c r="BID262" s="62"/>
      <c r="BIJ262" s="61"/>
      <c r="BIK262" s="62"/>
      <c r="BIQ262" s="61"/>
      <c r="BIR262" s="62"/>
      <c r="BIX262" s="61"/>
      <c r="BIY262" s="62"/>
      <c r="BJE262" s="61"/>
      <c r="BJF262" s="62"/>
      <c r="BJL262" s="61"/>
      <c r="BJM262" s="62"/>
      <c r="BJS262" s="61"/>
      <c r="BJT262" s="62"/>
      <c r="BJZ262" s="61"/>
      <c r="BKA262" s="62"/>
      <c r="BKG262" s="61"/>
      <c r="BKH262" s="62"/>
      <c r="BKN262" s="61"/>
      <c r="BKO262" s="62"/>
      <c r="BKU262" s="61"/>
      <c r="BKV262" s="62"/>
      <c r="BLB262" s="61"/>
      <c r="BLC262" s="62"/>
      <c r="BLI262" s="61"/>
      <c r="BLJ262" s="62"/>
      <c r="BLP262" s="61"/>
      <c r="BLQ262" s="62"/>
      <c r="BLW262" s="61"/>
      <c r="BLX262" s="62"/>
      <c r="BMD262" s="61"/>
      <c r="BME262" s="62"/>
      <c r="BMK262" s="61"/>
      <c r="BML262" s="62"/>
      <c r="BMR262" s="61"/>
      <c r="BMS262" s="62"/>
      <c r="BMY262" s="61"/>
      <c r="BMZ262" s="62"/>
      <c r="BNF262" s="61"/>
      <c r="BNG262" s="62"/>
      <c r="BNM262" s="61"/>
      <c r="BNN262" s="62"/>
      <c r="BNT262" s="61"/>
      <c r="BNU262" s="62"/>
      <c r="BOA262" s="61"/>
      <c r="BOB262" s="62"/>
      <c r="BOH262" s="61"/>
      <c r="BOI262" s="62"/>
      <c r="BOO262" s="61"/>
      <c r="BOP262" s="62"/>
      <c r="BOV262" s="61"/>
      <c r="BOW262" s="62"/>
      <c r="BPC262" s="61"/>
      <c r="BPD262" s="62"/>
      <c r="BPJ262" s="61"/>
      <c r="BPK262" s="62"/>
      <c r="BPQ262" s="61"/>
      <c r="BPR262" s="62"/>
      <c r="BPX262" s="61"/>
      <c r="BPY262" s="62"/>
      <c r="BQE262" s="61"/>
      <c r="BQF262" s="62"/>
      <c r="BQL262" s="61"/>
      <c r="BQM262" s="62"/>
      <c r="BQS262" s="61"/>
      <c r="BQT262" s="62"/>
      <c r="BQZ262" s="61"/>
      <c r="BRA262" s="62"/>
      <c r="BRG262" s="61"/>
      <c r="BRH262" s="62"/>
      <c r="BRN262" s="61"/>
      <c r="BRO262" s="62"/>
      <c r="BRU262" s="61"/>
      <c r="BRV262" s="62"/>
      <c r="BSB262" s="61"/>
      <c r="BSC262" s="62"/>
      <c r="BSI262" s="61"/>
      <c r="BSJ262" s="62"/>
      <c r="BSP262" s="61"/>
      <c r="BSQ262" s="62"/>
      <c r="BSW262" s="61"/>
      <c r="BSX262" s="62"/>
      <c r="BTD262" s="61"/>
      <c r="BTE262" s="62"/>
      <c r="BTK262" s="61"/>
      <c r="BTL262" s="62"/>
      <c r="BTR262" s="61"/>
      <c r="BTS262" s="62"/>
      <c r="BTY262" s="61"/>
      <c r="BTZ262" s="62"/>
      <c r="BUF262" s="61"/>
      <c r="BUG262" s="62"/>
      <c r="BUM262" s="61"/>
      <c r="BUN262" s="62"/>
      <c r="BUT262" s="61"/>
      <c r="BUU262" s="62"/>
      <c r="BVA262" s="61"/>
      <c r="BVB262" s="62"/>
      <c r="BVH262" s="61"/>
      <c r="BVI262" s="62"/>
      <c r="BVO262" s="61"/>
      <c r="BVP262" s="62"/>
      <c r="BVV262" s="61"/>
      <c r="BVW262" s="62"/>
      <c r="BWC262" s="61"/>
      <c r="BWD262" s="62"/>
      <c r="BWJ262" s="61"/>
      <c r="BWK262" s="62"/>
      <c r="BWQ262" s="61"/>
      <c r="BWR262" s="62"/>
      <c r="BWX262" s="61"/>
      <c r="BWY262" s="62"/>
      <c r="BXE262" s="61"/>
      <c r="BXF262" s="62"/>
      <c r="BXL262" s="61"/>
      <c r="BXM262" s="62"/>
      <c r="BXS262" s="61"/>
      <c r="BXT262" s="62"/>
      <c r="BXZ262" s="61"/>
      <c r="BYA262" s="62"/>
      <c r="BYG262" s="61"/>
      <c r="BYH262" s="62"/>
      <c r="BYN262" s="61"/>
      <c r="BYO262" s="62"/>
      <c r="BYU262" s="61"/>
      <c r="BYV262" s="62"/>
      <c r="BZB262" s="61"/>
      <c r="BZC262" s="62"/>
      <c r="BZI262" s="61"/>
      <c r="BZJ262" s="62"/>
      <c r="BZP262" s="61"/>
      <c r="BZQ262" s="62"/>
      <c r="BZW262" s="61"/>
      <c r="BZX262" s="62"/>
      <c r="CAD262" s="61"/>
      <c r="CAE262" s="62"/>
      <c r="CAK262" s="61"/>
      <c r="CAL262" s="62"/>
      <c r="CAR262" s="61"/>
      <c r="CAS262" s="62"/>
      <c r="CAY262" s="61"/>
      <c r="CAZ262" s="62"/>
      <c r="CBF262" s="61"/>
      <c r="CBG262" s="62"/>
      <c r="CBM262" s="61"/>
      <c r="CBN262" s="62"/>
      <c r="CBT262" s="61"/>
      <c r="CBU262" s="62"/>
      <c r="CCA262" s="61"/>
      <c r="CCB262" s="62"/>
      <c r="CCH262" s="61"/>
      <c r="CCI262" s="62"/>
      <c r="CCO262" s="61"/>
      <c r="CCP262" s="62"/>
      <c r="CCV262" s="61"/>
      <c r="CCW262" s="62"/>
      <c r="CDC262" s="61"/>
      <c r="CDD262" s="62"/>
      <c r="CDJ262" s="61"/>
      <c r="CDK262" s="62"/>
      <c r="CDQ262" s="61"/>
      <c r="CDR262" s="62"/>
      <c r="CDX262" s="61"/>
      <c r="CDY262" s="62"/>
      <c r="CEE262" s="61"/>
      <c r="CEF262" s="62"/>
      <c r="CEL262" s="61"/>
      <c r="CEM262" s="62"/>
      <c r="CES262" s="61"/>
      <c r="CET262" s="62"/>
      <c r="CEZ262" s="61"/>
      <c r="CFA262" s="62"/>
      <c r="CFG262" s="61"/>
      <c r="CFH262" s="62"/>
      <c r="CFN262" s="61"/>
      <c r="CFO262" s="62"/>
      <c r="CFU262" s="61"/>
      <c r="CFV262" s="62"/>
      <c r="CGB262" s="61"/>
      <c r="CGC262" s="62"/>
      <c r="CGI262" s="61"/>
      <c r="CGJ262" s="62"/>
      <c r="CGP262" s="61"/>
      <c r="CGQ262" s="62"/>
      <c r="CGW262" s="61"/>
      <c r="CGX262" s="62"/>
      <c r="CHD262" s="61"/>
      <c r="CHE262" s="62"/>
      <c r="CHK262" s="61"/>
      <c r="CHL262" s="62"/>
      <c r="CHR262" s="61"/>
      <c r="CHS262" s="62"/>
      <c r="CHY262" s="61"/>
      <c r="CHZ262" s="62"/>
      <c r="CIF262" s="61"/>
      <c r="CIG262" s="62"/>
      <c r="CIM262" s="61"/>
      <c r="CIN262" s="62"/>
      <c r="CIT262" s="61"/>
      <c r="CIU262" s="62"/>
      <c r="CJA262" s="61"/>
      <c r="CJB262" s="62"/>
      <c r="CJH262" s="61"/>
      <c r="CJI262" s="62"/>
      <c r="CJO262" s="61"/>
      <c r="CJP262" s="62"/>
      <c r="CJV262" s="61"/>
      <c r="CJW262" s="62"/>
      <c r="CKC262" s="61"/>
      <c r="CKD262" s="62"/>
      <c r="CKJ262" s="61"/>
      <c r="CKK262" s="62"/>
      <c r="CKQ262" s="61"/>
      <c r="CKR262" s="62"/>
      <c r="CKX262" s="61"/>
      <c r="CKY262" s="62"/>
      <c r="CLE262" s="61"/>
      <c r="CLF262" s="62"/>
      <c r="CLL262" s="61"/>
      <c r="CLM262" s="62"/>
      <c r="CLS262" s="61"/>
      <c r="CLT262" s="62"/>
      <c r="CLZ262" s="61"/>
      <c r="CMA262" s="62"/>
      <c r="CMG262" s="61"/>
      <c r="CMH262" s="62"/>
      <c r="CMN262" s="61"/>
      <c r="CMO262" s="62"/>
      <c r="CMU262" s="61"/>
      <c r="CMV262" s="62"/>
      <c r="CNB262" s="61"/>
      <c r="CNC262" s="62"/>
      <c r="CNI262" s="61"/>
      <c r="CNJ262" s="62"/>
      <c r="CNP262" s="61"/>
      <c r="CNQ262" s="62"/>
      <c r="CNW262" s="61"/>
      <c r="CNX262" s="62"/>
      <c r="COD262" s="61"/>
      <c r="COE262" s="62"/>
      <c r="COK262" s="61"/>
      <c r="COL262" s="62"/>
      <c r="COR262" s="61"/>
      <c r="COS262" s="62"/>
      <c r="COY262" s="61"/>
      <c r="COZ262" s="62"/>
      <c r="CPF262" s="61"/>
      <c r="CPG262" s="62"/>
      <c r="CPM262" s="61"/>
      <c r="CPN262" s="62"/>
      <c r="CPT262" s="61"/>
      <c r="CPU262" s="62"/>
      <c r="CQA262" s="61"/>
      <c r="CQB262" s="62"/>
      <c r="CQH262" s="61"/>
      <c r="CQI262" s="62"/>
      <c r="CQO262" s="61"/>
      <c r="CQP262" s="62"/>
      <c r="CQV262" s="61"/>
      <c r="CQW262" s="62"/>
      <c r="CRC262" s="61"/>
      <c r="CRD262" s="62"/>
      <c r="CRJ262" s="61"/>
      <c r="CRK262" s="62"/>
      <c r="CRQ262" s="61"/>
      <c r="CRR262" s="62"/>
      <c r="CRX262" s="61"/>
      <c r="CRY262" s="62"/>
      <c r="CSE262" s="61"/>
      <c r="CSF262" s="62"/>
      <c r="CSL262" s="61"/>
      <c r="CSM262" s="62"/>
      <c r="CSS262" s="61"/>
      <c r="CST262" s="62"/>
      <c r="CSZ262" s="61"/>
      <c r="CTA262" s="62"/>
      <c r="CTG262" s="61"/>
      <c r="CTH262" s="62"/>
      <c r="CTN262" s="61"/>
      <c r="CTO262" s="62"/>
      <c r="CTU262" s="61"/>
      <c r="CTV262" s="62"/>
    </row>
    <row r="263" s="5" customFormat="1" ht="30" customHeight="1" spans="1:1023 1029:2045 2051:2570">
      <c r="A263" s="16" t="s">
        <v>444</v>
      </c>
      <c r="B263" s="16"/>
      <c r="C263" s="18"/>
      <c r="D263" s="16"/>
      <c r="E263" s="16"/>
      <c r="F263" s="64">
        <f>ROUND(SUM(G8:G262),0)</f>
        <v>0</v>
      </c>
      <c r="G263" s="64"/>
      <c r="H263" s="22" t="s">
        <v>445</v>
      </c>
    </row>
  </sheetData>
  <sheetProtection algorithmName="SHA-512" hashValue="Yt0kcBl1LsKgkWGkALVRGLBkxQOPsE0y6j06RZzsZsamVAMnFlSQ2bf4K4nrNyyArn7VxzJK+4Y1s/YXWwQxjw==" saltValue="yHK0wYOHDDuUaN65+uloow==" spinCount="100000" sheet="1" formatCells="0" formatColumns="0" formatRows="0" objects="1"/>
  <mergeCells count="5">
    <mergeCell ref="A1:H1"/>
    <mergeCell ref="A2:H2"/>
    <mergeCell ref="A263:E263"/>
    <mergeCell ref="F263:G263"/>
    <mergeCell ref="I124:I135"/>
  </mergeCells>
  <printOptions horizontalCentered="1"/>
  <pageMargins left="0.393055555555556" right="0.314583333333333" top="0.472222222222222" bottom="0.393055555555556" header="0.594444444444444" footer="0"/>
  <pageSetup paperSize="9" orientation="landscape" horizontalDpi="600"/>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2" master="" otherUserPermission="visible"/>
  <rangeList sheetStid="1"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封面</vt:lpstr>
      <vt:lpstr>工程量说明</vt:lpstr>
      <vt:lpstr>汇总表</vt:lpstr>
      <vt:lpstr>工程量清单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null</dc:creator>
  <cp:lastModifiedBy>信笔</cp:lastModifiedBy>
  <dcterms:created xsi:type="dcterms:W3CDTF">2024-12-02T05:49:00Z</dcterms:created>
  <dcterms:modified xsi:type="dcterms:W3CDTF">2025-11-13T10:52:02Z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FA441D87931A4C96A805566B882EF20E_12</vt:lpwstr>
  </property>
  <property fmtid="{D5CDD505-2E9C-101B-9397-08002B2CF9AE}" pid="3" name="KSOProductBuildVer">
    <vt:lpwstr>2052-12.1.0.23542</vt:lpwstr>
  </property>
</Properties>
</file>