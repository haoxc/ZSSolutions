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F:\销售市场\徐安坚\水务\河道运河\12.4-苏南运河干（支）线数字化转型升级项目施工项目(1)\12.4-苏南运河干（支）线数字化转型升级项目施工项目-长天智远\"/>
    </mc:Choice>
  </mc:AlternateContent>
  <xr:revisionPtr revIDLastSave="0" documentId="13_ncr:1_{13F4809F-D95F-4D98-9184-FB2639BEC18C}" xr6:coauthVersionLast="47" xr6:coauthVersionMax="47" xr10:uidLastSave="{00000000-0000-0000-0000-000000000000}"/>
  <bookViews>
    <workbookView xWindow="-120" yWindow="-120" windowWidth="29040" windowHeight="15720" xr2:uid="{00000000-000D-0000-FFFF-FFFF00000000}"/>
  </bookViews>
  <sheets>
    <sheet name="清单" sheetId="4" r:id="rId1"/>
  </sheets>
  <definedNames>
    <definedName name="_xlnm._FilterDatabase" localSheetId="0" hidden="1">清单!$A$3:$CTV$367</definedName>
    <definedName name="_xlnm.Print_Area" localSheetId="0">清单!$A$1:$H$367</definedName>
    <definedName name="_xlnm.Print_Titles" localSheetId="0">清单!$1:$3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7" i="4" l="1"/>
  <c r="G366" i="4"/>
  <c r="G365" i="4"/>
  <c r="G364" i="4"/>
  <c r="G362" i="4"/>
  <c r="G361" i="4"/>
  <c r="G360" i="4"/>
  <c r="G359" i="4"/>
  <c r="G358" i="4"/>
  <c r="G356" i="4"/>
  <c r="G355" i="4"/>
  <c r="G353" i="4"/>
  <c r="G352" i="4"/>
  <c r="G351" i="4"/>
  <c r="G350" i="4"/>
  <c r="G349" i="4"/>
  <c r="G348" i="4"/>
  <c r="G347" i="4"/>
  <c r="G346" i="4"/>
  <c r="G345" i="4"/>
  <c r="G344" i="4"/>
  <c r="G343" i="4"/>
  <c r="G342" i="4"/>
  <c r="G341" i="4"/>
  <c r="G338" i="4"/>
  <c r="G337" i="4"/>
  <c r="G336" i="4"/>
  <c r="G335" i="4"/>
  <c r="G334" i="4"/>
  <c r="G333" i="4"/>
  <c r="G332" i="4"/>
  <c r="G331" i="4"/>
  <c r="G330" i="4"/>
  <c r="G329" i="4"/>
  <c r="G328" i="4"/>
  <c r="G327" i="4"/>
  <c r="G326" i="4"/>
  <c r="G325" i="4"/>
  <c r="G324" i="4"/>
  <c r="G323" i="4"/>
  <c r="G322" i="4"/>
  <c r="G321" i="4"/>
  <c r="G320" i="4"/>
  <c r="G319" i="4"/>
  <c r="G318" i="4"/>
  <c r="G316" i="4"/>
  <c r="G314" i="4"/>
  <c r="G313" i="4"/>
  <c r="G312" i="4"/>
  <c r="G311" i="4"/>
  <c r="G310" i="4"/>
  <c r="G309" i="4"/>
  <c r="G308" i="4"/>
  <c r="G307" i="4"/>
  <c r="G306" i="4"/>
  <c r="G305" i="4"/>
  <c r="G304" i="4"/>
  <c r="G303" i="4"/>
  <c r="G302" i="4"/>
  <c r="G301" i="4"/>
  <c r="G300" i="4"/>
  <c r="G299" i="4"/>
  <c r="G298" i="4"/>
  <c r="G297" i="4"/>
  <c r="G296" i="4"/>
  <c r="G295" i="4"/>
  <c r="G294" i="4"/>
  <c r="G292" i="4"/>
  <c r="G289" i="4"/>
  <c r="G288" i="4"/>
  <c r="G287" i="4"/>
  <c r="G286" i="4"/>
  <c r="G285" i="4"/>
  <c r="G284" i="4"/>
  <c r="G283" i="4"/>
  <c r="G281" i="4"/>
  <c r="G280" i="4"/>
  <c r="G279" i="4"/>
  <c r="G278" i="4"/>
  <c r="G277" i="4"/>
  <c r="G276" i="4"/>
  <c r="G275" i="4"/>
  <c r="G274" i="4"/>
  <c r="G272" i="4"/>
  <c r="G271" i="4"/>
  <c r="G270" i="4"/>
  <c r="G269" i="4"/>
  <c r="G268" i="4"/>
  <c r="G267" i="4"/>
  <c r="G266" i="4"/>
  <c r="G265" i="4"/>
  <c r="G264" i="4"/>
  <c r="G263" i="4"/>
  <c r="G262" i="4"/>
  <c r="G259" i="4"/>
  <c r="G258" i="4"/>
  <c r="G257" i="4"/>
  <c r="G256" i="4"/>
  <c r="G255" i="4"/>
  <c r="G252" i="4"/>
  <c r="G251" i="4"/>
  <c r="G249" i="4"/>
  <c r="G248" i="4"/>
  <c r="G247" i="4"/>
  <c r="G246" i="4"/>
  <c r="G245" i="4"/>
  <c r="G244" i="4"/>
  <c r="G243" i="4"/>
  <c r="G242" i="4"/>
  <c r="G241" i="4"/>
  <c r="G240" i="4"/>
  <c r="G239" i="4"/>
  <c r="G237" i="4"/>
  <c r="G236" i="4"/>
  <c r="G235" i="4"/>
  <c r="G233" i="4"/>
  <c r="G232" i="4"/>
  <c r="G231" i="4"/>
  <c r="G230" i="4"/>
  <c r="G229" i="4"/>
  <c r="G227" i="4"/>
  <c r="G226" i="4"/>
  <c r="G225" i="4"/>
  <c r="G224" i="4"/>
  <c r="G223" i="4"/>
  <c r="G222" i="4"/>
  <c r="G221" i="4"/>
  <c r="G220" i="4"/>
  <c r="G219" i="4"/>
  <c r="G218" i="4"/>
  <c r="G217" i="4"/>
  <c r="G216" i="4"/>
  <c r="G215" i="4"/>
  <c r="G214" i="4"/>
  <c r="G212" i="4"/>
  <c r="G211" i="4"/>
  <c r="G210" i="4"/>
  <c r="G209" i="4"/>
  <c r="G208" i="4"/>
  <c r="G207" i="4"/>
  <c r="G205" i="4"/>
  <c r="G204" i="4"/>
  <c r="G203" i="4"/>
  <c r="G202" i="4"/>
  <c r="G200" i="4"/>
  <c r="G199" i="4"/>
  <c r="G197" i="4"/>
  <c r="G196" i="4"/>
  <c r="G195" i="4"/>
  <c r="G194" i="4"/>
  <c r="G193" i="4"/>
  <c r="G192" i="4"/>
  <c r="G191" i="4"/>
  <c r="G190" i="4"/>
  <c r="G188" i="4"/>
  <c r="G187" i="4"/>
  <c r="G186" i="4"/>
  <c r="G184" i="4"/>
  <c r="G183" i="4"/>
  <c r="G182" i="4"/>
  <c r="G181" i="4"/>
  <c r="G180" i="4"/>
  <c r="G179" i="4"/>
  <c r="G177" i="4"/>
  <c r="G176" i="4"/>
  <c r="G175" i="4"/>
  <c r="G174" i="4"/>
  <c r="G173" i="4"/>
  <c r="G171" i="4"/>
  <c r="G170" i="4"/>
  <c r="G169" i="4"/>
  <c r="G168" i="4"/>
  <c r="G167" i="4"/>
  <c r="G166" i="4"/>
  <c r="G165" i="4"/>
  <c r="G164" i="4"/>
  <c r="G162" i="4"/>
  <c r="G161" i="4"/>
  <c r="G160" i="4"/>
  <c r="G159" i="4"/>
  <c r="G158" i="4"/>
  <c r="G157" i="4"/>
  <c r="G156" i="4"/>
  <c r="G155" i="4"/>
  <c r="G154" i="4"/>
  <c r="G152" i="4"/>
  <c r="G151" i="4"/>
  <c r="G150" i="4"/>
  <c r="G149" i="4"/>
  <c r="G148" i="4"/>
  <c r="G147" i="4"/>
  <c r="G146" i="4"/>
  <c r="G145" i="4"/>
  <c r="G144" i="4"/>
  <c r="G140" i="4"/>
  <c r="G138" i="4"/>
  <c r="G136" i="4"/>
  <c r="G135" i="4"/>
  <c r="G134" i="4"/>
  <c r="G133" i="4"/>
  <c r="G132" i="4"/>
  <c r="G131" i="4"/>
  <c r="G129" i="4"/>
  <c r="G128" i="4"/>
  <c r="G127" i="4"/>
  <c r="G126" i="4"/>
  <c r="G125" i="4"/>
  <c r="G120" i="4"/>
  <c r="G119" i="4"/>
  <c r="G118" i="4"/>
  <c r="G117" i="4"/>
  <c r="G115" i="4"/>
  <c r="G114" i="4"/>
  <c r="G112" i="4"/>
  <c r="G111" i="4"/>
  <c r="G110" i="4"/>
  <c r="G108" i="4"/>
  <c r="G107" i="4"/>
  <c r="G106" i="4"/>
  <c r="G104" i="4"/>
  <c r="G103" i="4"/>
  <c r="G102" i="4"/>
  <c r="G100" i="4"/>
  <c r="G99" i="4"/>
  <c r="G98" i="4"/>
  <c r="G97" i="4"/>
  <c r="G95" i="4"/>
  <c r="G94" i="4"/>
  <c r="G93" i="4"/>
  <c r="G92" i="4"/>
  <c r="G91" i="4"/>
  <c r="G90" i="4"/>
  <c r="G87" i="4"/>
  <c r="G86" i="4"/>
  <c r="G85" i="4"/>
  <c r="G84" i="4"/>
  <c r="G83" i="4"/>
  <c r="G82" i="4"/>
  <c r="G81" i="4"/>
  <c r="G80" i="4"/>
  <c r="G78" i="4"/>
  <c r="G77" i="4"/>
  <c r="G76" i="4"/>
  <c r="G75" i="4"/>
  <c r="G73" i="4"/>
  <c r="G72" i="4"/>
  <c r="G71" i="4"/>
  <c r="G70" i="4"/>
  <c r="G68" i="4"/>
  <c r="G67" i="4"/>
  <c r="G66" i="4"/>
  <c r="G65" i="4"/>
  <c r="G63" i="4"/>
  <c r="G62" i="4"/>
  <c r="G61" i="4"/>
  <c r="G60" i="4"/>
  <c r="G58" i="4"/>
  <c r="G57" i="4"/>
  <c r="G56" i="4"/>
  <c r="G53" i="4"/>
  <c r="G52" i="4"/>
  <c r="G50" i="4"/>
  <c r="G49" i="4"/>
  <c r="G48" i="4"/>
  <c r="G46" i="4"/>
  <c r="G45" i="4"/>
  <c r="G43" i="4"/>
  <c r="G42" i="4"/>
  <c r="G41" i="4"/>
  <c r="G39" i="4"/>
  <c r="G38" i="4"/>
  <c r="G37" i="4"/>
  <c r="G34" i="4"/>
  <c r="G33" i="4"/>
  <c r="G31" i="4"/>
  <c r="G30" i="4"/>
  <c r="G29" i="4"/>
  <c r="G28" i="4"/>
  <c r="G27" i="4"/>
  <c r="G26" i="4"/>
  <c r="G24" i="4"/>
  <c r="G23" i="4"/>
  <c r="G21" i="4"/>
  <c r="G20" i="4"/>
  <c r="G18" i="4"/>
  <c r="G17" i="4"/>
  <c r="G16" i="4"/>
  <c r="G15" i="4"/>
  <c r="G12" i="4"/>
  <c r="G11" i="4"/>
  <c r="G9" i="4"/>
  <c r="G8" i="4"/>
  <c r="A2" i="4"/>
</calcChain>
</file>

<file path=xl/sharedStrings.xml><?xml version="1.0" encoding="utf-8"?>
<sst xmlns="http://schemas.openxmlformats.org/spreadsheetml/2006/main" count="1371" uniqueCount="585">
  <si>
    <t>工程量清单</t>
  </si>
  <si>
    <t>序号</t>
  </si>
  <si>
    <t>项目名称</t>
  </si>
  <si>
    <t>一</t>
  </si>
  <si>
    <t>应用软件建设费</t>
  </si>
  <si>
    <t>二</t>
  </si>
  <si>
    <t>数据工程费</t>
  </si>
  <si>
    <t>三</t>
  </si>
  <si>
    <t>设备购置及安装调试费</t>
  </si>
  <si>
    <t>四</t>
  </si>
  <si>
    <t>工程其他费用</t>
  </si>
  <si>
    <t>主要建设内容</t>
  </si>
  <si>
    <t>单位</t>
  </si>
  <si>
    <t>数量</t>
  </si>
  <si>
    <t>单价
（元）</t>
  </si>
  <si>
    <t>小计
（元）</t>
  </si>
  <si>
    <t>备注</t>
  </si>
  <si>
    <t>1.1</t>
  </si>
  <si>
    <t>智慧船闸</t>
  </si>
  <si>
    <t>1.1.1</t>
  </si>
  <si>
    <t>船闸数字孪生系统</t>
  </si>
  <si>
    <t>前黄船闸</t>
  </si>
  <si>
    <t>1.1.1.1</t>
  </si>
  <si>
    <t>数字孪生引擎</t>
  </si>
  <si>
    <t>（1）</t>
  </si>
  <si>
    <t>WebGL引擎及二次开发</t>
  </si>
  <si>
    <t>详见施工图设计方案</t>
  </si>
  <si>
    <t>项</t>
  </si>
  <si>
    <t>（2）</t>
  </si>
  <si>
    <t>高渲染引擎及二次开发</t>
  </si>
  <si>
    <t>1.1.1.2</t>
  </si>
  <si>
    <t>数字孪生门户</t>
  </si>
  <si>
    <t>用户登录</t>
  </si>
  <si>
    <t>门户首页</t>
  </si>
  <si>
    <t>1.1.1.3</t>
  </si>
  <si>
    <t>船闸三维可视化</t>
  </si>
  <si>
    <t>1.1.1.3.1</t>
  </si>
  <si>
    <t>多图层智能叠加</t>
  </si>
  <si>
    <t>三维电子地图图层</t>
  </si>
  <si>
    <t>电子航道图图层</t>
  </si>
  <si>
    <t>（3）</t>
  </si>
  <si>
    <t>三维/航道图叠加图层</t>
  </si>
  <si>
    <t>1.1.1.3.2</t>
  </si>
  <si>
    <t>多视角智能切换</t>
  </si>
  <si>
    <t>1.1.1.3.3</t>
  </si>
  <si>
    <t>基础设施查询定位</t>
  </si>
  <si>
    <t>树状目录查询</t>
  </si>
  <si>
    <t>属性检索查询</t>
  </si>
  <si>
    <t>1.1.1.3.4</t>
  </si>
  <si>
    <t>船闸设施可视</t>
  </si>
  <si>
    <t>闸室可视</t>
  </si>
  <si>
    <t>闸室水下可视</t>
  </si>
  <si>
    <t>1.1.1.3.5</t>
  </si>
  <si>
    <t>关联航道设施可视</t>
  </si>
  <si>
    <t>航道</t>
  </si>
  <si>
    <t>护岸</t>
  </si>
  <si>
    <t>水下地形</t>
  </si>
  <si>
    <t>（4）</t>
  </si>
  <si>
    <t>桥梁</t>
  </si>
  <si>
    <t>锡溧漕河特大桥、前黄大桥、大漕桥、苏家桥、西杨墅大桥、谈沟桥、华渡桥。</t>
  </si>
  <si>
    <t>（5）</t>
  </si>
  <si>
    <t>感知设施</t>
  </si>
  <si>
    <t>（6）</t>
  </si>
  <si>
    <t>停泊区</t>
  </si>
  <si>
    <t>1.1.1.3.6</t>
  </si>
  <si>
    <t>船舶可视</t>
  </si>
  <si>
    <t>类型匹配</t>
  </si>
  <si>
    <t>尺寸匹配</t>
  </si>
  <si>
    <t>1.1.1.4</t>
  </si>
  <si>
    <t>船闸运营智能监测</t>
  </si>
  <si>
    <t>1.1.1.4.1</t>
  </si>
  <si>
    <t>视频汇聚联动</t>
  </si>
  <si>
    <t>视频自动匹配、联动、切换</t>
  </si>
  <si>
    <t>无人机视频对接</t>
  </si>
  <si>
    <t>闸室全景视频展示、标注</t>
  </si>
  <si>
    <t>1.1.1.4.2</t>
  </si>
  <si>
    <t>船闸智能监测</t>
  </si>
  <si>
    <t>设备预警提醒信息接入、展示</t>
  </si>
  <si>
    <t>设备预警配置</t>
  </si>
  <si>
    <t>设备预警分类</t>
  </si>
  <si>
    <t>1.1.1.4.3</t>
  </si>
  <si>
    <t>调度过闸监测</t>
  </si>
  <si>
    <t>船舶过闸预警提醒信息接入</t>
  </si>
  <si>
    <t>船舶过闸预警提醒信息动态展示</t>
  </si>
  <si>
    <t>1.1.1.4.4</t>
  </si>
  <si>
    <t>在航船舶监测</t>
  </si>
  <si>
    <t>船舶精准感知</t>
  </si>
  <si>
    <t>船舶动态显示</t>
  </si>
  <si>
    <t>船舶基础信息</t>
  </si>
  <si>
    <t>1.1.1.4.5</t>
  </si>
  <si>
    <t>船闸上下游监测</t>
  </si>
  <si>
    <t>船舶航行态势感知</t>
  </si>
  <si>
    <t>通航环境监测</t>
  </si>
  <si>
    <t>1.1.1.5</t>
  </si>
  <si>
    <t>船舶过闸智能监测</t>
  </si>
  <si>
    <t>1.1.1.5.1</t>
  </si>
  <si>
    <t>待闸运行监测</t>
  </si>
  <si>
    <t>待闸过程实时模拟</t>
  </si>
  <si>
    <t>船舶待闸信息展示</t>
  </si>
  <si>
    <t>预警提醒显示、高亮</t>
  </si>
  <si>
    <t>1.1.1.5.2</t>
  </si>
  <si>
    <t>进闸运行监测</t>
  </si>
  <si>
    <t>船舶进闸信息展示</t>
  </si>
  <si>
    <t>闸阀门控制</t>
  </si>
  <si>
    <t>1.1.1.5.3</t>
  </si>
  <si>
    <t>过闸运行监测</t>
  </si>
  <si>
    <t>过闸过程实时模拟</t>
  </si>
  <si>
    <t>水位动态模拟</t>
  </si>
  <si>
    <t>船舶过闸信息展示</t>
  </si>
  <si>
    <t>1.1.1.5.4</t>
  </si>
  <si>
    <t>预警事件管理</t>
  </si>
  <si>
    <t>预警事件查询</t>
  </si>
  <si>
    <t>预警事件回放</t>
  </si>
  <si>
    <t>预警事件监测</t>
  </si>
  <si>
    <t>预警事件复核</t>
  </si>
  <si>
    <t>1.1.1.5.5</t>
  </si>
  <si>
    <t>船闸运营报告</t>
  </si>
  <si>
    <t>基本情况</t>
  </si>
  <si>
    <t>预警指标详情</t>
  </si>
  <si>
    <t>船舶行为预警详情</t>
  </si>
  <si>
    <t>1.1.1.6</t>
  </si>
  <si>
    <t>船闸现地部署适配</t>
  </si>
  <si>
    <t>1.1.1.7</t>
  </si>
  <si>
    <t>数据对接</t>
  </si>
  <si>
    <t>与船闸管控系统对接</t>
  </si>
  <si>
    <t>与前黄船闸已有船闸管控系统对接</t>
  </si>
  <si>
    <t>与航道普查系统对接</t>
  </si>
  <si>
    <t>与各船闸视频监控系统对接</t>
  </si>
  <si>
    <t>与各船闸关联航道外场感知系统对接</t>
  </si>
  <si>
    <t>与运调系统对接</t>
  </si>
  <si>
    <t>与港航闸一体化监管平台对接</t>
  </si>
  <si>
    <t>数字孪生平台需对接至港航闸一体化监管平台</t>
  </si>
  <si>
    <t>（7）</t>
  </si>
  <si>
    <t>飞控系统对接</t>
  </si>
  <si>
    <t>与常州已有飞控系统对接</t>
  </si>
  <si>
    <t>（8）</t>
  </si>
  <si>
    <t>与定向广播对接</t>
  </si>
  <si>
    <t>与船闸定向广播对接</t>
  </si>
  <si>
    <t>1.2</t>
  </si>
  <si>
    <t>外场感知设施设备运维模块</t>
  </si>
  <si>
    <t>1.2.1</t>
  </si>
  <si>
    <t>数据接入</t>
  </si>
  <si>
    <t>设备接入标准</t>
  </si>
  <si>
    <t>进一步按照智慧航道、智慧船闸、智慧水上服务区等外场感知设施建设和运行管理需要，对《江苏省内河航道外场感知设备数据对接技术要求》进行修订</t>
  </si>
  <si>
    <t>已接入设施感知数据接入改造</t>
  </si>
  <si>
    <t>将通过综合数据库接入的南京、无锡、常州、苏州、南通、淮安、扬州、泰州、镇江等地市在各智慧航道建设相关项目中建设的外场感知设施数据，改造接入到本系统的接入接口，并进行数据接入实施。</t>
  </si>
  <si>
    <t>智慧航道感知设施数据接口开发</t>
  </si>
  <si>
    <t>按照《江苏省内河航道外场感知设备数据对接技术要求》，分别开发VDES基站（AIS基站）、水位计、流速流向仪、交通量观测站、气象仪、无人机巢、智能机箱、北斗基站的运行感知数据的接入接口</t>
  </si>
  <si>
    <t>智慧船闸感知设施数据接口开发</t>
  </si>
  <si>
    <t>对接过闸全过程辅助系统，分别开发船舶身份及数量识别设备、船舶超高及吃水检测设备、系换缆状态监测设备、闸门运行区域监测设备、船舶过闸航行状态监测设备、人字门闸门对中状态监测设备、船闸全域监控设备、首尾档船舶预警线监测设备在线状态数据接入接口</t>
  </si>
  <si>
    <t>智慧服务区感知设施数据接口开发</t>
  </si>
  <si>
    <t>对接智慧停泊管理管理终端（软件），分别开发船舶姿态感知设备、信息发布设备在线状态数据接入接口</t>
  </si>
  <si>
    <t>新建感知设施数据接入联调</t>
  </si>
  <si>
    <t>为不同地市各类外场感知设施的数据推送方开展网络联通和对接接口测试、联调工作，实现外场感知设施汇聚，数字化转型实施共计包括11个地市及苏北航务处</t>
  </si>
  <si>
    <t>1.2.2</t>
  </si>
  <si>
    <t>设施管理</t>
  </si>
  <si>
    <t>智慧航道感知设施管理</t>
  </si>
  <si>
    <t>分别提供VDES基站（AIS基站）、水位计、流速流向仪、交通量观测站、气象仪、无人机巢、智能机箱、北斗基站等智慧航道感知设施基础台账信息录入、修改和感知设施现场图片上传功能，并能够在设施停用时录入维护停用时间、停用原因、处置方式和经办人员等信息。需对接全省港航视频汇聚展示平台的视频摄像机基本信息，并提供视频摄像机基本信息编辑、补充和视频摄像机现场图片上传功能</t>
  </si>
  <si>
    <t>智慧船闸感知设施管理</t>
  </si>
  <si>
    <t>分别提供船舶身份及数量识别设备、船舶超高及吃水检测设备、系换缆状态监测设备、闸门运行区域监测设备、船舶过闸航行状态监测设备、人字门闸门对中状态监测设备、船闸全域监控设备、首尾档船舶预警线监测设备等智慧船闸感知设施基础台账信息录入、修改和感知设施现场图片上传功能，并能够在设施停用时录入维护停用时间、停用原因、处置方式和经办人员等信息</t>
  </si>
  <si>
    <t>智慧水上服务区感知设施管理</t>
  </si>
  <si>
    <t>分别提供船舶身份识别设备、船舶姿态感知设备等智慧水上服务区感知设施基础台账信息录入、修改和感知设施现场图片上传功能，并能够在设施停用时录入维护停用时间、停用原因、处置方式和经办人员等信息</t>
  </si>
  <si>
    <t>机房设施台账管理</t>
  </si>
  <si>
    <t>提供省中心、市中心、县区中心、船闸和水上服务区机房服务器设备、存储设备、网络设备、网路安全设备等设备基础台账信息录入、修改和和服务器设备图片上传功能，并能够在设备停用时录入维护停用时间、停用原因、处置方式和经办人员等信息</t>
  </si>
  <si>
    <t>1.2.3</t>
  </si>
  <si>
    <t>设施地图监测</t>
  </si>
  <si>
    <t>智慧航道感知设施地图</t>
  </si>
  <si>
    <t>在电子航道图上分类展现辖区范围内的智慧航道感知设施的分布，汇总展现不同智慧航道感知设施数量、在线率、离线率、处理中工单数，并可以查看每一个智慧航道感知设施的基本信息、最新数据和最新工单信息</t>
  </si>
  <si>
    <t>智慧船闸感知设施地图</t>
  </si>
  <si>
    <t>在电子航道图上展现辖区范围内的智慧船闸的分布，汇总展现智慧船闸数，以及感知设施设施的数量、在线率、离线率、处理中工单数，在电子地图上闪烁智慧船闸图标提醒智慧船闸感知设施离线，汇总查看不同类型设施的数量，并能够查看智慧船闸不同类型设施的基础台账信息、在线状态信息和最新的故障工单信息</t>
  </si>
  <si>
    <t>智慧水上服务区感知设施地图</t>
  </si>
  <si>
    <t>在电子航道图上展现辖区范围内的智慧水上服务区的分布，汇总展现智慧水上服务区数，以及感知设施设施的数量、在线率、离线率、处理中工单数，在电子地图上闪烁图标提醒智慧水上服务区感知设施离线，汇总查看不同类型设施的数量，并能够查看智慧船闸不同类型设施的基础台账信息、在线状态信息和最新的故障工单信息</t>
  </si>
  <si>
    <t>1.2.4</t>
  </si>
  <si>
    <t>设施巡检</t>
  </si>
  <si>
    <t>智慧航道感知设施巡检</t>
  </si>
  <si>
    <t>利用外场感知设施的感知数据上传情况，结合智能机箱监测信息，分析和判断VDES基站（AIS基站）、水位计、流速流向仪、交通量观测站、气象仪、无人机巢、智能机箱、北斗基站、视频摄像机等设施的在线状态、故障原因，区分是网络或供电故障导致的离线</t>
  </si>
  <si>
    <t>智慧船闸感知设施巡检</t>
  </si>
  <si>
    <t>提供与过闸全过程辅助系统的设施在线状态数据统一对接接口，由过闸全过程辅助系统将各感知设施的在线、离线状态信息主动推送到本系统，由本系统进行设施状态的预警提醒和工单闭环处理.</t>
  </si>
  <si>
    <t>智慧水上服务区感知设施巡检</t>
  </si>
  <si>
    <t>提供与智慧停泊管理管理终端（软件）的设施在线状态数据统一对接接口，由智慧停泊管理管理终端（软件）将各感知设施的在线、离线状态信息主动推送到本系统，由本系统进行设施状态的预警提醒和工单闭环处理</t>
  </si>
  <si>
    <t>1.2.5</t>
  </si>
  <si>
    <t>故障报警</t>
  </si>
  <si>
    <t>故障报警列表及系统消息</t>
  </si>
  <si>
    <t>提供统一的报警消息提醒功能，当发现外场感知设施离线时，系统以图标闪烁方式进行提醒，并能点击图标查看报警信息列表</t>
  </si>
  <si>
    <t>短消息提醒</t>
  </si>
  <si>
    <t>对接厅短信平台，提供报警短消息提醒功能，当发现外场感知设施离线时，系统自动生成和发送报警短消息</t>
  </si>
  <si>
    <t>工单自动派发</t>
  </si>
  <si>
    <t>提供运维工单自动、统一派发功能，当设施巡检判断设施离线时，自动根据设施所属管理单位生成和派发工单</t>
  </si>
  <si>
    <t>1.2.6</t>
  </si>
  <si>
    <t>工单管理</t>
  </si>
  <si>
    <t>维护工单</t>
  </si>
  <si>
    <t>能够在发现设施离线等运行异常时，及时派发、处理工单，通过工单的闭环管理促进设施离线等运行异常的及时处理</t>
  </si>
  <si>
    <t>设施维修</t>
  </si>
  <si>
    <t>故障设施管理单位在接到设施离线短信提醒和查看工单后，能够对离线设施修复情况进行反馈，填报维修情况，上传现场维修照片</t>
  </si>
  <si>
    <t>1.2.7</t>
  </si>
  <si>
    <t>运维统计</t>
  </si>
  <si>
    <t>在线率统计</t>
  </si>
  <si>
    <t>对本单位及所有下级单位管辖的各类智慧航道感知设施、智慧船闸感知设施、智慧水上服务区感知设施的平均在线率、最低在线率、离线次数和数据异常设备数量等进行总体统计查询，生成统计表，并提供统计表的Excel导出功能，并支持分设施设备品牌、分设施设备等多个维度对在线率进行多维分类统计</t>
  </si>
  <si>
    <t>故障统计</t>
  </si>
  <si>
    <t>对本单位及所有下级单位管辖的各类智慧航道感知设施、智慧船闸感知设施、智慧水上服务区感知设施的数量、故障次数和故障原因进行总体统计查询，生成统计表，并提供统计表的Excel导出功能，并支持分设施设备品牌、分设施设备等多个维度对故障情况进行多维分类统计</t>
  </si>
  <si>
    <t>工单统计</t>
  </si>
  <si>
    <t>对本单位及所有下级单位管辖的各类智慧航道感知设施、智慧船闸感知设施、智慧水上服务区感知设施的设施总量、总体在线率、最低在线率、设施数据异常率、维修工单数、平均修复时长、修复最高时长进行统计查询，生成统计表，并提供统计表的Excel导出功能。并支持分设施设备品牌、分设施设备等多个维度对工单情况进行多维分类统计。</t>
  </si>
  <si>
    <t>机房设施统计</t>
  </si>
  <si>
    <t>对本单位及下级各单位机房的服务器设备、存储设备、网络设备、网络安全设备等主要基础设施设备数量进行汇总统计，生成机房主要基础设施统计表，并支持统计表的Excel导出</t>
  </si>
  <si>
    <t>2.1.1</t>
  </si>
  <si>
    <t>船闸数字孪生</t>
  </si>
  <si>
    <t>2.1.1.1</t>
  </si>
  <si>
    <t>船闸及周边数据采集建模</t>
  </si>
  <si>
    <t>开展单体化建模包括船闸周边环境无人机倾斜摄影（上下游2公里）、航道水下地形（上下游2公里、闸室）、船闸精细建模、重点附属设施设备等</t>
  </si>
  <si>
    <t>倾斜摄影</t>
  </si>
  <si>
    <t>空间精度：平面精度、高程精度应优于0.05m；纹理质量要求：无遮蔽的建筑物，楼体外形清晰、表面光滑；能够精确表示各类树木的高度及轮廓，不允许出现漂浮情况</t>
  </si>
  <si>
    <t>平方公里</t>
  </si>
  <si>
    <t>前黄船闸上下游各3公里，扫测宽度1.1km</t>
  </si>
  <si>
    <t>航道水下地形</t>
  </si>
  <si>
    <t>多波束探测设备采集的数据，根据深度值的不同过不同颜色进行表达</t>
  </si>
  <si>
    <t>公里</t>
  </si>
  <si>
    <t>船闸精细建模</t>
  </si>
  <si>
    <t>包括闸首边墩、闸首底板、闸室闸墙、闸室底板、桩基式结构、重力式结构、板桩式结构等</t>
  </si>
  <si>
    <t>重点附属设施设备</t>
  </si>
  <si>
    <t>包括护舷、钢轨、爬梯、踏步、护栏等</t>
  </si>
  <si>
    <t>船舶建模</t>
  </si>
  <si>
    <t>2.1.1.2</t>
  </si>
  <si>
    <t>数字孪生场景搭建</t>
  </si>
  <si>
    <t>利用航网数字孪生底座，实现模型标准化处理、构建标准化入库、数字孪生场景搭建渲染等，提供适用于WebGL与高渲染的两种场景搭建，并在航网数字孪生底座中实现全省场景集成</t>
  </si>
  <si>
    <t>模型数据检验</t>
  </si>
  <si>
    <t>模型标准化处理</t>
  </si>
  <si>
    <t>模型标准化入库</t>
  </si>
  <si>
    <t>2.1.1.3</t>
  </si>
  <si>
    <t>航道建模</t>
  </si>
  <si>
    <t>辖区内苏南运河航道采集建模（含护岸、桥梁、航标等粗模）</t>
  </si>
  <si>
    <t>2.1.2</t>
  </si>
  <si>
    <t>省市系统间对接</t>
  </si>
  <si>
    <t>2.2</t>
  </si>
  <si>
    <t>智慧航道</t>
  </si>
  <si>
    <t>2.2.1</t>
  </si>
  <si>
    <t>2.3</t>
  </si>
  <si>
    <t>智慧服务区</t>
  </si>
  <si>
    <t>2.3.1</t>
  </si>
  <si>
    <t>智慧船闸终端</t>
  </si>
  <si>
    <t>3.1.1</t>
  </si>
  <si>
    <t>丹金船闸</t>
  </si>
  <si>
    <t>1</t>
  </si>
  <si>
    <t>船舶身份.数量识别设备</t>
  </si>
  <si>
    <t>实现对进出闸船舶身份、数量的识别</t>
  </si>
  <si>
    <t>座</t>
  </si>
  <si>
    <t>丹金船闸上下游部署、与全域视频监控共杆</t>
  </si>
  <si>
    <t>检测相机</t>
  </si>
  <si>
    <t>具体技术要求：
1、不低于400万像素；
2、宽动态：不低于120 dB；
3、最低照度：彩色模式：≤0.0005lx，黑白模式：≤0.0001lx；
4、传感器类型：不小于1/1.8英寸CMOS；
5、焦距：不小于2.8~12 mm，拍摄距离满足本项目检测距离需求；
6、补光：混光（红外+暖白），不低于4颗灯珠，补光距离不小于50m，具备补光自适应功能；
7、视频压缩标准：H.265/H.264/MJPEG；
8、网络：具备RJ45 10 M/100 M/1000 M自适应以太网口、RS-485接口；
9、报警：具备掉线、遮挡报警等功能，提供SDK包二次开发使用；
10、报警信号联动：不少于3路输入、2路输出；
11、具有独立的IP地址，可以直接接入以太网络，并可以通过客户端自动搜索IP地址；
12、供电方式：支持DC12V/PoE供电，具备防反接保护；
13、功能：内置GPU，具备防抖、降噪、加热、除湿等功能，具备防雷、防浪涌保护；
14、工作温湿度：温度不低于-30 °C~60 °C，湿度不低于5%~95%@40℃，无凝结；
15、防护：不低于IP66；
16、含接地、安装支架等配套设备。
17、含五年原厂质保</t>
  </si>
  <si>
    <t>台</t>
  </si>
  <si>
    <t>抓拍相机</t>
  </si>
  <si>
    <t>具体技术要求：
1、不低于800万像素；
2、采用不小于1英寸CMOS；
3、视频采用H.265、H.264或MJPEG编码；
4、图像控制：曝光速度、AGC控制、白平衡方式控制等；
5、压缩输出码率：不低于32 Kbps~16 Mbps；
6、镜头规格：25mm，拍摄距离满足本项目抓拍距离需求；
7、快门速度是 50us到9000us；
8、光圈类型：自动光圈或手动光圈（支持远程调节）；
9、触发输出：不少于4路F+/F-输出接口，作为补光灯同步输出控制；
10、触发输入：不少于1路触发/报警输入；
11、补光：暖白光，不低于3颗灯珠，补光距离不小于40米；具备补光自适应功能；
12、功能：内置GPU，具备防抖、降噪、加热、除湿等功能，具备防雷、防浪涌保护；
13、通讯接口：具备RJ45 10 M/100 M/1000 M自适应以太网口、RS-485接口；
14、报警：具备掉线、遮挡报警等功能，提供SDK包二次开发使用；
15、具有独立的IP地址，可以直接接入以太网络，并可以通过客户端自动搜索IP地址；
16、工作温湿度：温度不低于-30 °C~70 °C，湿度不低于5%~95%@40℃，无凝结；
17、防护：不低于IP66；
18、含接地、安装支架等配套设备；
19、五年原厂质保</t>
  </si>
  <si>
    <t>补光灯</t>
  </si>
  <si>
    <r>
      <rPr>
        <sz val="10"/>
        <rFont val="宋体"/>
        <family val="3"/>
        <charset val="134"/>
      </rPr>
      <t>具体技术要求：</t>
    </r>
    <r>
      <rPr>
        <sz val="10"/>
        <color rgb="FF000000"/>
        <rFont val="宋体"/>
        <family val="3"/>
        <charset val="134"/>
      </rPr>
      <t xml:space="preserve">
1、灯珠：不少于24颗LED光源；
2、补光方式：支持LED频闪、LED爆闪、白光气体爆闪及红外气体爆闪四种补光方式；
3、光源波长：混合光源（红外+暖白光）；
4、发光角度：满足相机实际使用需求；
5、最佳投射距离：不低于20米，满足实际抓拍补光要求；
6、亮度调节： 自动控制；
7、工作环境温度：不低于-30℃ - 60℃；
8、工作环境湿度：湿度小于95%，无凝结；
9、外壳材质：金属铝；
10、防护等级：不低于IP66；
11、安装方式：万向节等安装方式，含安装支架等辅材。</t>
    </r>
  </si>
  <si>
    <t>工业以太网交换机（含光模块）</t>
  </si>
  <si>
    <r>
      <rPr>
        <sz val="10"/>
        <rFont val="宋体"/>
        <family val="3"/>
        <charset val="134"/>
      </rPr>
      <t>全网管二层工业交换机</t>
    </r>
    <r>
      <rPr>
        <sz val="10"/>
        <color rgb="FF000000"/>
        <rFont val="宋体"/>
        <family val="3"/>
        <charset val="134"/>
      </rPr>
      <t xml:space="preserve">
满足国产自主可控；
千兆电口：≥5;
千兆光口（含光模块）:≥2；
交换容量：≥20G；
包转发率：≥14.88 Mpps；
工作温度：-40℃ ~ +75℃ ；
支持VLAN，支持流量控制；支持QOS，支持SNMP 网管，支持链路聚合</t>
    </r>
  </si>
  <si>
    <t>智能机箱</t>
  </si>
  <si>
    <r>
      <rPr>
        <sz val="10"/>
        <rFont val="宋体"/>
        <family val="3"/>
        <charset val="134"/>
      </rPr>
      <t>机箱规格</t>
    </r>
    <r>
      <rPr>
        <sz val="10"/>
        <color rgb="FF000000"/>
        <rFont val="宋体"/>
        <family val="3"/>
        <charset val="134"/>
      </rPr>
      <t xml:space="preserve">
1.机箱尺寸（净容积） 视频监控机箱：净容积不低于 高 600×宽 500×深 250（mm）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r>
  </si>
  <si>
    <t>船舶身份.数量识别计算单元</t>
  </si>
  <si>
    <r>
      <rPr>
        <sz val="10"/>
        <rFont val="宋体"/>
        <family val="3"/>
        <charset val="134"/>
      </rPr>
      <t>具体技术要求：</t>
    </r>
    <r>
      <rPr>
        <sz val="10"/>
        <color rgb="FF000000"/>
        <rFont val="宋体"/>
        <family val="3"/>
        <charset val="134"/>
      </rPr>
      <t xml:space="preserve">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r>
  </si>
  <si>
    <t>套</t>
  </si>
  <si>
    <t>AIS接收设备</t>
  </si>
  <si>
    <t>频率范围：156.025MHz~162.025MHz；
信道带宽：25KHz(默认)/12.5kHz；
AIS接收机灵敏度：≤-110dBm（20%误包率）
接收范围：≥2km
接口：支持RS232或RS485。</t>
  </si>
  <si>
    <t>安装调试、附件及辅材</t>
  </si>
  <si>
    <t>包括安装、调试，相关线缆、防雷装置等附件，以及相关辅材等所有其他费用。</t>
  </si>
  <si>
    <t>杆件复用全域视频监控杆件，安装高度为8m</t>
  </si>
  <si>
    <t>2</t>
  </si>
  <si>
    <t>远调站船舶吃水、超高检测设备</t>
  </si>
  <si>
    <t>丹金船闸上下游已有杆件，共杆安装</t>
  </si>
  <si>
    <t>长距激光雷达</t>
  </si>
  <si>
    <r>
      <rPr>
        <sz val="10"/>
        <rFont val="宋体"/>
        <family val="3"/>
        <charset val="134"/>
      </rPr>
      <t>具体技术要求：</t>
    </r>
    <r>
      <rPr>
        <sz val="10"/>
        <color rgb="FF000000"/>
        <rFont val="宋体"/>
        <family val="3"/>
        <charset val="134"/>
      </rPr>
      <t xml:space="preserve">
1、单帧线束：不低于128线；
2、激光波长：不低于905nm；
3、探测范围：不弱于1.5~400m；
4、探测距离：最远探测距离400m ，在10%反射率条件下≥250m；
5、视场角：不低于(H*V) 120°X 18°；
6、角分辨率：不高于(H*V)0.16°* 0.17°；
7、防水及防尘等级：IP67；
8、测距精度：土3cm(1σ)；
9、帧率：5~20FPS，可调节；
10、工作温度： -40℃~85℃；
11、储存温度：-40℃~105℃；
12、人眼安全等级：Class1(IEC-60825)；
13、额定电压：12/24V DC；
14、额定功率：&lt;20w；
15、数据传输接口：1000Base-T1以太网；
16、点云扫描点频：不低于80万点/秒；
17、时间同步：具备网络时间同步功能；
18、五年原厂质保</t>
    </r>
  </si>
  <si>
    <t>船舶超高、吃水检测计算单元</t>
  </si>
  <si>
    <r>
      <rPr>
        <sz val="10"/>
        <rFont val="宋体"/>
        <family val="3"/>
        <charset val="134"/>
      </rPr>
      <t>具体技术要求：</t>
    </r>
    <r>
      <rPr>
        <sz val="10"/>
        <color rgb="FF000000"/>
        <rFont val="宋体"/>
        <family val="3"/>
        <charset val="134"/>
      </rPr>
      <t xml:space="preserve">
1、处理器：单颗处理器，核心数≥20核，主频≥2.0GHz；国产自主可控；
2、内存：≥128GB DDR4，≥2666MHz；
3、硬盘：≥1块SATA SSD 960G硬盘；
4、GPU：显存≥8G，TFLOPS≥242；
5、接口：≥2个千兆网口；
6、工作温度：-10 ~ 60 °C；
6、适用于船闸运行环境，无故障运行时间不低于1万小时；
8、含功能算法，具体技术要求见设计说明书。
9、硬件5年原厂质保。</t>
    </r>
  </si>
  <si>
    <t>（9）</t>
  </si>
  <si>
    <t>3</t>
  </si>
  <si>
    <t>船闸全域视频监控设备</t>
  </si>
  <si>
    <t>丹金船闸布设</t>
  </si>
  <si>
    <t>丹金船闸闸室内视频监控布设4处点位</t>
  </si>
  <si>
    <t>室外全景摄像机</t>
  </si>
  <si>
    <r>
      <rPr>
        <sz val="10"/>
        <color theme="1"/>
        <rFont val="宋体"/>
        <family val="3"/>
        <charset val="134"/>
      </rPr>
      <t>全景摄像机像素不低于2000万，细节摄像机像素不低于400万</t>
    </r>
    <r>
      <rPr>
        <sz val="10"/>
        <color rgb="FF000000"/>
        <rFont val="宋体"/>
        <family val="3"/>
        <charset val="134"/>
      </rPr>
      <t xml:space="preserve">
1.基础参数
传感器类型：不小于1/1.8英寸CMOS；
最低照度：全景摄像机-彩色：最低照度不高于0.0005Lux，黑白：最低照度不高于0.0002Lux；细节摄像机-彩色：最低照度不高于0.0005Lux，黑白：最低照度不高于0.0003Lux；
光学变倍：细节摄像机不低于40倍；
2.镜头
焦距：细节摄像机焦距范围不小于6mm～240mm；
聚焦模式：自动，手动；
最大光圈数：全景摄像机性能规格不低于F1.0，细节性能规格不低于F1.5；
3.补光
补光距离：细节摄像机不低于300m；
4.云台
水平范围：360°；
垂直范围：范围不小于-11°～90°；
水平速度：不低于180°/s,水平预置点速度不低于240°/s；
垂直速度：不低于100°/s,水平预置点速度不低于100°/s；
预置点个数：不少于300个；
5.视频
视频压缩标准：H.265,H.264,MJPEG；
6.图像
日夜转换模式：自动；
日夜转换方式：白天、夜晚、自动；
背光补偿：支持；
宽动态：细节摄像机支持宽动态范围不小于120dB；
强光抑制：支持；
3D降噪：支持；
透雾：细节摄像机支持；
图像防抖：支持；
光学透雾：细节摄像机支持；
7.接口
网络接口：不少于1个RJ-45网口,自适应10M/100M/1000M网络数据；
8.其他
防护等级：不低于IP66；
9.含5年原厂质保</t>
    </r>
  </si>
  <si>
    <t>上下游引航道中间各部署一处</t>
  </si>
  <si>
    <t>室外固定枪式摄像机</t>
  </si>
  <si>
    <r>
      <rPr>
        <sz val="10"/>
        <rFont val="宋体"/>
        <family val="3"/>
        <charset val="134"/>
      </rPr>
      <t>像素不低于400万</t>
    </r>
    <r>
      <rPr>
        <sz val="10"/>
        <color rgb="FF000000"/>
        <rFont val="宋体"/>
        <family val="3"/>
        <charset val="134"/>
      </rPr>
      <t xml:space="preserve">
1.基础参数
传感器类型：不小于1/1.8英寸CMOS；
最低照度：彩色：最低照度不高于0.0005Lux，黑白：最低照度不高于0.0003Lux；
光学变倍：不低于4倍；
2.镜头
焦距：最小焦距8mm～11mm，最大焦距不小于32mm；
大光圈数：性能规格不低于F1.6；
3.补光
补光距离：不低于50m；
4.视频
视频压缩标准：H.265；H.264；MJPEG；
5.图像
日夜转换模式：自动；
图像增强：背光补偿，强光抑制，透雾，3D降噪；
图像防抖：支持
宽动态：宽动态范围不小于120dB；
透雾：支持；
强光抑制：支持；
6.接口
网络：不少于1个RJ-45网口，自适应10M/100M网络数据；
7.其他
防护：不低于IP66；
8.含5年原厂质保</t>
    </r>
  </si>
  <si>
    <t>上下游引航道单点布设2台枪机</t>
  </si>
  <si>
    <t>15米杆件（含基础）</t>
  </si>
  <si>
    <t>规格参照施工图，包含基础、施工等费用</t>
  </si>
  <si>
    <t>根</t>
  </si>
  <si>
    <t>丹金船闸上下游引航道各1处</t>
  </si>
  <si>
    <t>墙壁安装支架</t>
  </si>
  <si>
    <t>含安装支架、配件、线缆等</t>
  </si>
  <si>
    <t>丹金船闸闸室监控安装</t>
  </si>
  <si>
    <t>船闸全域视频监控计算单元</t>
  </si>
  <si>
    <t>包括安装、调试，相关线缆、配电箱、防雷装置等附件，以及相关辅材等所有其他费用。</t>
  </si>
  <si>
    <t>4</t>
  </si>
  <si>
    <t>定向广播系统</t>
  </si>
  <si>
    <t>智能定向广播管控</t>
  </si>
  <si>
    <t>对广播进行智能管控，可以控制一个广播，也可以控制多个广播</t>
  </si>
  <si>
    <t>客户端软件</t>
  </si>
  <si>
    <t>IP网络远程寻呼站</t>
  </si>
  <si>
    <r>
      <rPr>
        <sz val="10"/>
        <rFont val="宋体"/>
        <family val="3"/>
        <charset val="134"/>
      </rPr>
      <t>网络接口：标准RJ45 输入</t>
    </r>
    <r>
      <rPr>
        <sz val="10"/>
        <color rgb="FF000000"/>
        <rFont val="宋体"/>
        <family val="3"/>
        <charset val="134"/>
      </rPr>
      <t xml:space="preserve">
支持协议：TCP/IP，UDP
音频格式：MP3
采样率：8KHz~48KHz
传输速率：100Mbps
音频模式：16 位CD 音质
总偕波失真：≤1%
内置喇叭频率响应：317Hz~3.4KHz +1/-3dB
信噪比：&gt;65dB
五年原厂质保</t>
    </r>
  </si>
  <si>
    <t>定向广播</t>
  </si>
  <si>
    <r>
      <rPr>
        <sz val="10"/>
        <rFont val="宋体"/>
        <family val="3"/>
        <charset val="134"/>
      </rPr>
      <t>（1）LC分频器：方形电感器和卧式电容器组成LC谐振有效分频；</t>
    </r>
    <r>
      <rPr>
        <sz val="10"/>
        <color rgb="FF000000"/>
        <rFont val="宋体"/>
        <family val="3"/>
        <charset val="134"/>
      </rPr>
      <t xml:space="preserve">
（2）效能驱动器：150dB±3dB（最大声压级）；
（3）安装形式：配套支架；
（4）音量管理：支持对所有接入设备远程设置音量；支持设置默认音量和临时音量；支持音量记忆功能，自动恢复默认音量；
（5）设备组网：支持BS架构，网络化设计，支持广域网和局域网；支持自定义分区与权限管理；
（6）文字播报：支持TTS文字转语音功能，支持设置文本文件的语言种类（普通话男.普通话女）.语速；
（7）扩展兼容：支持与第三方平台对接联动，提供平台SDK调用接口和文档；
（8）设备日志：支持实时查看设备登录记录，包含设备登录类型，时间，用户名，状态，IP地址记录；
（9）离线管理：支持设置离线任务，平台服务器或网络故障时，终端自动执行离线定时任务；
（13）防护等级：不低于IP66；
（14）工作温度：-30°C~+70°C。
（15）五年原厂质保</t>
    </r>
  </si>
  <si>
    <t>丹金船闸新增12处定向广播点位</t>
  </si>
  <si>
    <t>线缆敷设</t>
  </si>
  <si>
    <t>含布电、布网，设备安装所需要的支架线缆等</t>
  </si>
  <si>
    <t>m</t>
  </si>
  <si>
    <t>按实计量</t>
  </si>
  <si>
    <t>5</t>
  </si>
  <si>
    <t>船舶过闸航行状态监测设备</t>
  </si>
  <si>
    <t>实现对进闸及闸室内船舶的高度、数量、长宽、速度、吃水、位置、入档情况、跟艄距离以及闸室出空进行监测</t>
  </si>
  <si>
    <t>丹金船闸2座闸室</t>
  </si>
  <si>
    <t>丹金船闸11台</t>
  </si>
  <si>
    <t>6.5米立杆</t>
  </si>
  <si>
    <t>见施工图册；
（1）规格：包含定制杆件.杆件基础.悬臂支架.杆件安装施工.接网接电.防雷接地.所需配套辅材等
（2）防护：电源.信号防雷接地.防腐处理，防护等级不低于IP66；
（3）接线：船闸立杆接入船闸现地网络，航道点位网络采用运营商专线，电源接入采用就近取电，要求实现视频监控数据稳定传输和汇聚；
（4）费用说明：包含点位所需设备与杆件运输.杆件施工.辅材配件采购.线缆线路敷设.设备及配件安装.绿化破坏补偿恢复等全部费用。</t>
  </si>
  <si>
    <t>1.5m立杆</t>
  </si>
  <si>
    <t>船舶过闸航行状态监测计算单元</t>
  </si>
  <si>
    <t>2个闸室，1个闸室算一项</t>
  </si>
  <si>
    <t>6</t>
  </si>
  <si>
    <t>过闸全过程综合辅助终端</t>
  </si>
  <si>
    <t>过闸全过程综合辅助终端利用感知设备数据，实现数据融合与多系统“一张网”。其主要功能包括运行监测、预警管理、感知设备管理、用户权限管理等功能；</t>
  </si>
  <si>
    <t>过闸辅助终端服务器</t>
  </si>
  <si>
    <t>具体技术要求：
CPU：国产化芯片，≥2颗，C86架构：单颗核心数≥20核、主频≥2.4GHz，或ARM架构：单颗核心数≥32核、主频≥2.5GHz支持国产替代和软件适配开发；
内存：≥128G；
硬盘：≥1TB NVME，≥10TB SAS；
网卡：≥2个千兆电口；
电源：≥2个800W电源；
含国产操作系统
五年原厂质保</t>
  </si>
  <si>
    <t>配套软件</t>
  </si>
  <si>
    <t>将平台数据传输至常州一体化监管平台</t>
  </si>
  <si>
    <t>丹金船闸无数字孪生系统，将过闸全过程综合辅助终端对接至常州一体化监管平台</t>
  </si>
  <si>
    <t>7</t>
  </si>
  <si>
    <t>无人机</t>
  </si>
  <si>
    <t>丹金船闸部署一套</t>
  </si>
  <si>
    <t>固定式无人机自动起降机场</t>
  </si>
  <si>
    <r>
      <rPr>
        <sz val="10"/>
        <rFont val="宋体"/>
        <family val="3"/>
        <charset val="134"/>
      </rPr>
      <t>1</t>
    </r>
    <r>
      <rPr>
        <sz val="10"/>
        <color rgb="FF000000"/>
        <rFont val="宋体"/>
        <family val="3"/>
        <charset val="134"/>
      </rPr>
      <t>、机库支持RTK基站；
2、RTK 基站定位精准度:水平：（不低于）1 厘米 + 1 ppm（RMS）;垂直（不低于）：2 厘米 + 1 ppm（RMS）
3、机库充电时长≤35min ；
4、内置备用电源，续航时间不小于4小时。
5、支持风速、雨量、环境温度、水浸、舱内温度、舱内湿度检测；
6、支持监控控舱内和舱外情况；
7、机库设备具备不低于IP54的防护等级。</t>
    </r>
  </si>
  <si>
    <r>
      <rPr>
        <sz val="10"/>
        <rFont val="宋体"/>
        <family val="3"/>
        <charset val="134"/>
      </rPr>
      <t>飞行器通讯距离：≥</t>
    </r>
    <r>
      <rPr>
        <sz val="10"/>
        <color rgb="FF000000"/>
        <rFont val="宋体"/>
        <family val="3"/>
        <charset val="134"/>
      </rPr>
      <t>15km；
最大作业半径≥10km；
最大可抗风速：不低于12m/s
云台相机
相机类型：具有长焦可见光、广角可见光和红外热成像相机
广角相机CMOS：不低于1/2英寸广角相机
广角相机像素：具备广角相机，有效像素不低于4800万
长焦相机CMOS：具备长焦相机，相机CMOS 1/2英寸
长焦相机像素：像素数不低于4800万
可见光相机变焦倍数：不小于112倍变焦
红外传感器分辨率：不低于640*512；
红外热成像相机变焦倍数：不低于16倍数码变焦；
稳定系统：具备三轴机械增稳云台（俯仰、横滚、平移）。</t>
    </r>
  </si>
  <si>
    <t>增强图传</t>
  </si>
  <si>
    <r>
      <rPr>
        <sz val="10"/>
        <rFont val="宋体"/>
        <family val="3"/>
        <charset val="134"/>
      </rPr>
      <t>增强图传模块实现模块与飞行器的一体化安装，直接插入飞行器机身内部，不用额外的安装套件，高效接入 4G 网络。当原有图传信号受到遮挡或干扰，仍可借助 4G 网络操控飞行器，降低断开连接的几率，有效提升飞行安全性。</t>
    </r>
    <r>
      <rPr>
        <sz val="10"/>
        <color rgb="FF000000"/>
        <rFont val="宋体"/>
        <family val="3"/>
        <charset val="134"/>
      </rPr>
      <t xml:space="preserve">
支持支持LTETDD和LTEFDD；
工作频段：TDD-LTE:不小于以下频段B34/38/39/40/41；FDD-FDD：不少于以下频段B1/3/5/8</t>
    </r>
  </si>
  <si>
    <t>喊话照明一体</t>
  </si>
  <si>
    <r>
      <rPr>
        <sz val="10"/>
        <rFont val="宋体"/>
        <family val="3"/>
        <charset val="134"/>
      </rPr>
      <t>喊话器：</t>
    </r>
    <r>
      <rPr>
        <sz val="10"/>
        <color rgb="FF000000"/>
        <rFont val="宋体"/>
        <family val="3"/>
        <charset val="134"/>
      </rPr>
      <t xml:space="preserve">
有效广播距离：300 米；
TTS-米处声压≥114db；
防护等级：IP55。
探照灯：
不低于1300 平方米@100 米（10% 相对照度，普通模式）；
2200 平方米@100 米（10% 相对照度，广视野模式）；
工作方式：常亮、爆闪。 </t>
    </r>
  </si>
  <si>
    <t>安装及基础建设</t>
  </si>
  <si>
    <t>提供设备基础施工、安装、部署、调试、测试等相关服务</t>
  </si>
  <si>
    <t>无人机保险</t>
  </si>
  <si>
    <t>共5年，含无人机巢、无人机、无人机第三责任险（100万）</t>
  </si>
  <si>
    <t>系统对接</t>
  </si>
  <si>
    <t>对接至常州无人机飞控系统</t>
  </si>
  <si>
    <t>与常州无人机管控系统对接</t>
  </si>
  <si>
    <t>8</t>
  </si>
  <si>
    <t>机房网络设备</t>
  </si>
  <si>
    <t>网络柜</t>
  </si>
  <si>
    <t>具体技术要求：
1、前后网孔门，机柜整体尺寸：600*1400*2000mm （宽*深*高），含2个8路PDU；42U标准机柜。
2、包含原有柜体的拆除、设备的迁移以及所有线缆整理。</t>
  </si>
  <si>
    <t>闸首加机房</t>
  </si>
  <si>
    <t>客户端电脑</t>
  </si>
  <si>
    <t>配置：商用台式机，CPU不低于3.3G（四核），不低于16GB内存，不低于1TB固态硬盘.独立显卡不低于2G，板载10-100-1000M 网卡， USB3.0接口，音频输出接口；配套不低于24寸液晶显示器，含键盘鼠标和正版操作系统，五年原厂质保</t>
  </si>
  <si>
    <t>单闸室布置一台</t>
  </si>
  <si>
    <t>3.1.2</t>
  </si>
  <si>
    <t>闸门运行区域检测设备</t>
  </si>
  <si>
    <t>(1)</t>
  </si>
  <si>
    <t>检测枪机</t>
  </si>
  <si>
    <t>与雷达杆件共杆安装</t>
  </si>
  <si>
    <t>(2)</t>
  </si>
  <si>
    <t>闸门运行区域监测计算单元</t>
  </si>
  <si>
    <t>上下游，2个闸室</t>
  </si>
  <si>
    <t>(3)</t>
  </si>
  <si>
    <t>船舶过闸状态监测设备</t>
  </si>
  <si>
    <t>八字墙清空检测相机</t>
  </si>
  <si>
    <t>闸室内杆件布设，八字墙监测相机与已有杆件共杆安装</t>
  </si>
  <si>
    <t>雷达使用</t>
  </si>
  <si>
    <t>通套闸切换监测设备</t>
  </si>
  <si>
    <t>1)</t>
  </si>
  <si>
    <t>2)</t>
  </si>
  <si>
    <r>
      <rPr>
        <sz val="10"/>
        <rFont val="宋体"/>
        <family val="3"/>
        <charset val="134"/>
      </rPr>
      <t>飞行器通讯距离：≥</t>
    </r>
    <r>
      <rPr>
        <sz val="10"/>
        <color rgb="FF000000"/>
        <rFont val="宋体"/>
        <family val="3"/>
        <charset val="134"/>
      </rPr>
      <t>15km；
最大作业半径≥10km；
最大可抗风速：不低于12m/s
云台相机
相机类型：具有长焦可见光、广角可见光和红外热成像相机
广角相机CMOS：不低于1/2英寸广角相机
广角相机像素：具备广角相机，有效像素不低于4800万
长焦相机CMOS：具备长焦相机，相机CMOS 1/2英寸
长焦相机像素：像素数不低于4800万
可见光相机变焦倍数：不小于112倍变焦
红外传感器分辨率：不低于640*512；
红外热成像相机变焦倍数：不低于</t>
    </r>
    <r>
      <rPr>
        <b/>
        <sz val="10"/>
        <color rgb="FF000000"/>
        <rFont val="宋体"/>
        <family val="3"/>
        <charset val="134"/>
      </rPr>
      <t>16倍</t>
    </r>
    <r>
      <rPr>
        <sz val="10"/>
        <color rgb="FF000000"/>
        <rFont val="宋体"/>
        <family val="3"/>
        <charset val="134"/>
      </rPr>
      <t>数码变焦；
稳定系统：具备三轴机械增稳云台（俯仰、横滚、平移）。</t>
    </r>
  </si>
  <si>
    <t>3)</t>
  </si>
  <si>
    <t>4)</t>
  </si>
  <si>
    <t>5)</t>
  </si>
  <si>
    <t>6)</t>
  </si>
  <si>
    <t>7)</t>
  </si>
  <si>
    <t>8)</t>
  </si>
  <si>
    <t>套闸水文监测</t>
  </si>
  <si>
    <t>在船闸安装</t>
  </si>
  <si>
    <t>雷达流速流向仪</t>
  </si>
  <si>
    <r>
      <rPr>
        <sz val="10"/>
        <rFont val="宋体"/>
        <family val="3"/>
        <charset val="134"/>
      </rPr>
      <t>量程：流速0.1～20m/s</t>
    </r>
    <r>
      <rPr>
        <sz val="10"/>
        <color rgb="FF000000"/>
        <rFont val="宋体"/>
        <family val="3"/>
        <charset val="134"/>
      </rPr>
      <t xml:space="preserve">
精度：±0.01m/s
分辨率：0.01m/s
通讯接口：RS485/MODUBS
工作频段：24~26.5GHz
防护等级：不低于IP65
流速方向识别：双向自动识别
5年原厂质保</t>
    </r>
  </si>
  <si>
    <t>遥测终端机</t>
  </si>
  <si>
    <r>
      <rPr>
        <sz val="10"/>
        <rFont val="宋体"/>
        <family val="3"/>
        <charset val="134"/>
      </rPr>
      <t>RJ45接口：≥1路；</t>
    </r>
    <r>
      <rPr>
        <sz val="10"/>
        <color rgb="FF000000"/>
        <rFont val="宋体"/>
        <family val="3"/>
        <charset val="134"/>
      </rPr>
      <t xml:space="preserve">
电源输出：≥1路；
RS485接口：≥1路；
MTBF：≥50000h。
支持数据定时自报、增量上报和召测应答功能；
具有网络检测、电源检测和异常报警功能</t>
    </r>
  </si>
  <si>
    <t>前黄船闸已有定向广播系统</t>
  </si>
  <si>
    <t>10处与动态管控共杆，6处需要布设线缆光纤，按实计量</t>
  </si>
  <si>
    <t>4m杆件</t>
  </si>
  <si>
    <t>与现有广播系统对接</t>
  </si>
  <si>
    <t>将定向广播对接至现有广播管理系统</t>
  </si>
  <si>
    <t>前黄船闸已建设过闸安全智能监管系统，需要对接</t>
  </si>
  <si>
    <t>相对于丹金船闸需要建设北斗沉降基础监测系统</t>
  </si>
  <si>
    <t>与前黄船闸已建过闸安全智能监管系统对接：将本项目中闸门运行区域监测数据、船舶过闸航行状态监测数据、通套闸切换监测设备数据对接至过闸安全智能监管系统</t>
  </si>
  <si>
    <t>过闸船舶动态管控</t>
  </si>
  <si>
    <t>船舶停靠状态监管
结合视频监控设施建设及锡溧漕河已经建设的AIS基站，将船舶AIS空间坐标数据叠加到二维视频图像中，实现在航船舶基础数据增强显示。
基于配套终端进行监测预警，实现前黄船闸调度、过闸一体化监管。
船舶航行智能提醒
针对进入前黄船闸上下游待闸区的船舶，结合船舶定位信息、航道监控设施，对进入电子围栏区域的船舶做到实时的追踪，并依托船岸融合通信系统，实现待闸区船舶航行智能诱导与提醒，确保船舶按秩序停靠与航行。</t>
  </si>
  <si>
    <r>
      <rPr>
        <sz val="10"/>
        <rFont val="宋体"/>
        <family val="3"/>
        <charset val="134"/>
      </rPr>
      <t>8</t>
    </r>
    <r>
      <rPr>
        <sz val="10"/>
        <color rgb="FF000000"/>
        <rFont val="宋体"/>
        <family val="3"/>
        <charset val="134"/>
      </rPr>
      <t>米立杆</t>
    </r>
  </si>
  <si>
    <t>管线敷设</t>
  </si>
  <si>
    <t>上游自大漕桥至太滆运河交叉处共计3km；下游西杨墅大桥至华渡桥3km；电缆和光纤架空布设，含线缆费用</t>
  </si>
  <si>
    <t>（10）</t>
  </si>
  <si>
    <t>过闸船舶动态管控计算单元</t>
  </si>
  <si>
    <t>具体技术要求：
1、处理器：单颗处理器，核心数≥20核，主频≥2.0GHz；国产自主可控；
2、内存：≥128GB DDR4，≥2666MHz；
3、硬盘：≥1块SATA SSD 960G硬盘；
4、GPU：显存≥8G，TFLOPS≥242；
5、接口：≥2个千兆网口；
6、工作温度：-10 ~ 60 °C；
6、适用于船闸运行环境，无故障运行时间不低于1万小时；
8、含功能算法，具体技术要求见设计说明书。
9、硬件5年原厂质保。</t>
  </si>
  <si>
    <t>软件功能见4.4.5船闸运营智能监测章节</t>
  </si>
  <si>
    <t>（11）</t>
  </si>
  <si>
    <t>3.1.3</t>
  </si>
  <si>
    <t>船舶过闸语音平台</t>
  </si>
  <si>
    <t>功能应包含自动拨号功能、语音播报功能、通知记录与反馈、重拨机制等，同时需对外提供标准的API接口，实现与运调系统集成</t>
  </si>
  <si>
    <t>前黄船闸、丹金船闸各部署一套</t>
  </si>
  <si>
    <t>硬件设施</t>
  </si>
  <si>
    <t>语音网关</t>
  </si>
  <si>
    <r>
      <rPr>
        <sz val="10"/>
        <rFont val="宋体"/>
        <family val="3"/>
        <charset val="134"/>
      </rPr>
      <t>1、网关</t>
    </r>
    <r>
      <rPr>
        <sz val="10"/>
        <color rgb="FF000000"/>
        <rFont val="宋体"/>
        <family val="3"/>
        <charset val="134"/>
      </rPr>
      <t xml:space="preserve">
IP话机即插即用
10/100Mbps自适应百兆以太网口
静态IPV4地址
最少支持4路电话线路接入，可扩展
最少支持4路坐席，可扩展
语音编码G.711格式
WAV格式录音文件
号码归属地识别
自动语音通知、自助信息查询功能
电话呼入呼出、来电显示、呼叫转接、三方通话
通讯录、通话录音、通话记录
内置录音存储和外部服务器存储
开放API接口与第三方应用系统对接
2、ip电话
宽带编码：G.722
窄带编码：G.711μ/A, G723.1, G726, G.729AB,iLBC
支持三种IP获取方式：静态IP/DHCP/PPPoE
网口支持桥接和路由器模式
支持NAT/DHCP服务
支持SIP和RTPQos</t>
    </r>
  </si>
  <si>
    <t>语音平台交换机</t>
  </si>
  <si>
    <r>
      <rPr>
        <sz val="10"/>
        <rFont val="宋体"/>
        <family val="3"/>
        <charset val="134"/>
      </rPr>
      <t>1.交换容量&gt;670Gbps，包转发率&gt;170Mpps</t>
    </r>
    <r>
      <rPr>
        <sz val="10"/>
        <color rgb="FF000000"/>
        <rFont val="宋体"/>
        <family val="3"/>
        <charset val="134"/>
      </rPr>
      <t xml:space="preserve">
2.标配千兆电口≥24个，千兆光口&gt;4个;
3.≤2U标准设备，冗余电源;
4.设备符合国产化要求
5.提供原厂5年质保</t>
    </r>
  </si>
  <si>
    <t>语音平台服务器</t>
  </si>
  <si>
    <r>
      <rPr>
        <sz val="10"/>
        <rFont val="宋体"/>
        <family val="3"/>
        <charset val="134"/>
      </rPr>
      <t>1.CPU：国产化芯片，≥1颗，主频≥2.0Ghz，CPU核心数≥32</t>
    </r>
    <r>
      <rPr>
        <sz val="10"/>
        <color rgb="FF000000"/>
        <rFont val="宋体"/>
        <family val="3"/>
        <charset val="134"/>
      </rPr>
      <t xml:space="preserve">
2.内存：≥32GB
3.硬盘：≥2*600GB SAS 10K
4.网络：≥2个千兆网口。
5.标准机架式设备≤2U
6.五年原厂质保</t>
    </r>
  </si>
  <si>
    <t>软件平台</t>
  </si>
  <si>
    <t>详见设计说明</t>
  </si>
  <si>
    <t>3.1.4</t>
  </si>
  <si>
    <t>船闸正射影像图</t>
  </si>
  <si>
    <t>1.范围：船闸上下游区域，约长 5 公里*宽 1 公里。
2.成图比例尺：1:1000
3.地面分辨率 (GSD)： ≤ 0.10 米/像素。
4.坐标系：CGCS2000
5.成果格式：GeoTIFF(带坐标，真彩色)。
6.影像质量：清晰、无漏洞、尤其是船闸无明显变形。
7.精度验收：平面中误差≤ 0.30 米(实地)</t>
  </si>
  <si>
    <t>丹金、前黄船闸，为运调系统服务</t>
  </si>
  <si>
    <t>3.2</t>
  </si>
  <si>
    <t>航道运行监测预警终端</t>
  </si>
  <si>
    <t>3.2.1</t>
  </si>
  <si>
    <t>航道视频监控摄像机</t>
  </si>
  <si>
    <t>航道视频全覆盖</t>
  </si>
  <si>
    <t>包含1处桥梁监控设备更换</t>
  </si>
  <si>
    <t>室外遥控球型摄像机</t>
  </si>
  <si>
    <r>
      <rPr>
        <sz val="10"/>
        <rFont val="宋体"/>
        <family val="3"/>
        <charset val="134"/>
      </rPr>
      <t>像素不低于400万</t>
    </r>
    <r>
      <rPr>
        <sz val="10"/>
        <color rgb="FF000000"/>
        <rFont val="宋体"/>
        <family val="3"/>
        <charset val="134"/>
      </rPr>
      <t xml:space="preserve">
1.基础参数：
传感器类型：不小于1/1.8英寸CMOS；
最低照度：彩色：最低照度不高于0.0005Lux，黑白：最低照度不高于0.0001Lux；
光学变倍：不低于32倍；
2.镜头：
焦距：范围不小于6.0mm～192 mm；
聚焦模式：手动、自动；
最大光圈数：性能规格不低于F1.6；
3.补光
补光灯距离：不低于250m；
4.云台： 
水平范围：360°；
垂直范围：范围不小于-15°～90°；
水平速度：不低于180°/s，水平预置位转速不低于 180°/s；
垂直速度：不低于75°/s，垂直预置位转速不低于 75°/s；
预置点：不少于300个；
5，视频
视频压缩标准：H.265；H.264；MJPEG；
6.图像
日夜转换模式：自动；
图像防抖：支持
图像增强：强光抑制；
宽动态：宽动态范围不小于120dB；
透雾：支持；
7.接口
网络接口：不少于1个RJ-45网口,自适应10M/100M网络数据；
8.其他
雨刷：支持；
防护等级：不低于IP66；
9.含5年原厂质保</t>
    </r>
  </si>
  <si>
    <t>(4)</t>
  </si>
  <si>
    <t>含基础、安装支架、抱箍等其他安装附件</t>
  </si>
  <si>
    <t>(5)</t>
  </si>
  <si>
    <t>线缆YJV3×16</t>
  </si>
  <si>
    <t>国标</t>
  </si>
  <si>
    <t>米</t>
  </si>
  <si>
    <t>(6)</t>
  </si>
  <si>
    <t>镀锌钢管</t>
  </si>
  <si>
    <t>(7)</t>
  </si>
  <si>
    <t>手孔井</t>
  </si>
  <si>
    <t>参照设计图</t>
  </si>
  <si>
    <t>个</t>
  </si>
  <si>
    <t>(8)</t>
  </si>
  <si>
    <t>含管道开挖及回填，涉及破路的含路面恢复，开挖深度不低于70cm</t>
  </si>
  <si>
    <t>(9)</t>
  </si>
  <si>
    <t>(10)</t>
  </si>
  <si>
    <t>(11)</t>
  </si>
  <si>
    <t>接入费用</t>
  </si>
  <si>
    <t>视频接入至常州一体化监管平台</t>
  </si>
  <si>
    <t>处</t>
  </si>
  <si>
    <t>3.2.2</t>
  </si>
  <si>
    <t>航道无人机系统</t>
  </si>
  <si>
    <t>丹金溧漕河金坛段部署一套，部署位置在金坛水上服务区</t>
  </si>
  <si>
    <r>
      <rPr>
        <sz val="10"/>
        <rFont val="宋体"/>
        <family val="3"/>
        <charset val="134"/>
      </rPr>
      <t>增强图传模块实现模块与飞行器的一体化安装，直接插入飞行器机身内部，不用额外的安装套件，高效接入 4G 网络。当原有图传信号受到遮挡或干扰，仍可借助 4G 网络操控飞行器，降低断开连接的几率，有效提升飞行安全性。</t>
    </r>
    <r>
      <rPr>
        <sz val="10"/>
        <color rgb="FF000000"/>
        <rFont val="宋体"/>
        <family val="3"/>
        <charset val="134"/>
      </rPr>
      <t xml:space="preserve">
支持LTETDD和LTEFDD；
工作频段：TDD-LTE:不小于以下频段B34/38/39/40/41；FDD-FDD：不少于以下频段B1/3/5/8</t>
    </r>
  </si>
  <si>
    <t>喊话器：
有效广播距离：300 米；
TTS-米处声压≥114db；
防护等级：IP55。
探照灯：
不低于1300 平方米@100 米（10% 相对照度，普通模式）；
2200 平方米@100 米（10% 相对照度，广视野模式）；
工作方式：常亮、爆闪。</t>
  </si>
  <si>
    <t>设备对接</t>
  </si>
  <si>
    <t>与常州现有飞控平台对接</t>
  </si>
  <si>
    <t>3.2.3</t>
  </si>
  <si>
    <t>水位计系统</t>
  </si>
  <si>
    <t>3.1.4.1</t>
  </si>
  <si>
    <t>雷达水位计</t>
  </si>
  <si>
    <r>
      <rPr>
        <sz val="10"/>
        <rFont val="宋体"/>
        <family val="3"/>
        <charset val="134"/>
      </rPr>
      <t>测量范围：0-30米</t>
    </r>
    <r>
      <rPr>
        <sz val="10"/>
        <color rgb="FF000000"/>
        <rFont val="宋体"/>
        <family val="3"/>
        <charset val="134"/>
      </rPr>
      <t xml:space="preserve">
精度：≤±0.2% FS
工作频段：24~26.5GHz
防护等级：不低于IP65
信号输出：RS485/Modbus协议
5年原厂质保</t>
    </r>
  </si>
  <si>
    <t>3.1.4.2</t>
  </si>
  <si>
    <t>3.1.4.3</t>
  </si>
  <si>
    <t>8米立杆</t>
  </si>
  <si>
    <t>杆</t>
  </si>
  <si>
    <t>3.1.4.4</t>
  </si>
  <si>
    <t>3.1.4.5</t>
  </si>
  <si>
    <t>3.1.4.6</t>
  </si>
  <si>
    <t>3.1.4.7</t>
  </si>
  <si>
    <t>配套辅材</t>
  </si>
  <si>
    <t>3.3</t>
  </si>
  <si>
    <t>智慧服务区终端</t>
  </si>
  <si>
    <t>3.3.1</t>
  </si>
  <si>
    <t>金坛水上服务区</t>
  </si>
  <si>
    <t>3.3.1.1</t>
  </si>
  <si>
    <t>智能快递柜设施</t>
  </si>
  <si>
    <t>快递柜由控制主柜和功能副柜组成，主柜由液晶面板.触控面板.主控系统.条码扫描模块.摄像头.视频监控等设备组成。可实现无人快递投递和接收。</t>
  </si>
  <si>
    <t>3.3.1.2</t>
  </si>
  <si>
    <t>可视化管理终端感知设备</t>
  </si>
  <si>
    <t>具体技术要求：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</si>
  <si>
    <t>具体技术要求：
1、灯珠：不少于24颗LED光源；
2、补光方式：支持LED频闪、LED爆闪、白光气体爆闪及红外气体爆闪四种补光方式；
3、光源波长：混合光源（红外+暖白光）；
4、发光角度：满足相机实际使用需求；
5、最佳投射距离：不低于20米，满足实际抓拍补光要求；
6、亮度调节： 自动控制；
7、工作环境温度：不低于-30℃ - 60℃；
8、工作环境湿度：湿度小于95%，无凝结；
9、外壳材质：金属铝；
10、防护等级：不低于IP66；
11、安装方式：万向节等安装方式，含安装支架等辅材。</t>
  </si>
  <si>
    <t>具体技术要求：
1、单帧线束：不低于128线；
2、激光波长：不低于905nm；
3、探测范围：不弱于1.5~400m；
4、探测距离：最远探测距离400m ，在10%反射率条件下≥250m；
5、视场角：不低于(H*V) 120°X 18°；
6、角分辨率：不高于(H*V)0.16°* 0.17°；
7、防水及防尘等级：IP67；
8、测距精度：土3cm(1σ)；
9、帧率：5~20FPS，可调节；
10、工作温度： -40℃~85℃；
11、储存温度：-40℃~105℃；
12、人眼安全等级：Class1(IEC-60825)；
13、额定电压：12/24V DC；
14、额定功率：&lt;20w；
15、数据传输接口：1000Base-T1以太网；
16、点云扫描点频：不低于80万点/秒；
17、时间同步：具备网络时间同步功能；
18、五年原厂质保</t>
  </si>
  <si>
    <t>船舶姿态感知计算单元</t>
  </si>
  <si>
    <t>补盲短距雷达</t>
  </si>
  <si>
    <t>具体技术要求：
1、单帧线束：不低于128线；
2、激光波长：不低于905nm；
3、探测范围：不弱于0.5~150m；
4、探测距离：最远探测距离150m ，在10%反射率条件下≥70m；
5、视场角：不低于(H*V) 120°× 40°;
6、角分辨率：不高于(H*V)0.13°× 0.55° ；
7、防水及防尘等级：IP67；
8、测距精度：不低于5cm(1σ)；
9、帧率： 10 FPS，可调节
10、工作温度： -40℃~65℃；
11、人眼安全等级：Class1(IEC-60825)；
12、额定电压：12/24V DC；
13、额定功率：≤29w；
14、数据传输接口：以太网；
15、点云扫描点频：不低于128万点/秒；
16、时间同步：具备网络时间同步功能；
17、五年原厂质保。</t>
  </si>
  <si>
    <t>（1）LC分频器：方形电感器和卧式电容器组成LC谐振有效分频；
（2）效能驱动器：150dB±3dB（最大声压级）；
（3）安装形式：配套支架；
（4）音量管理：支持对所有接入设备远程设置音量；支持设置默认音量和临时音量；支持音量记忆功能，自动恢复默认音量；
（5）设备组网：支持BS架构，网络化设计，支持广域网和局域网；支持自定义分区与权限管理；
（6）文字播报：支持TTS文字转语音功能，支持设置文本文件的语言种类（普通话男.普通话女）.语速；
（7）扩展兼容：支持与第三方平台对接联动，提供平台SDK调用接口和文档；
（8）设备日志：支持实时查看设备登录记录，包含设备登录类型，时间，用户名，状态，IP地址记录；
（9）离线管理：支持设置离线任务，平台服务器或网络故障时，终端自动执行离线定时任务；
（13）防护等级：不低于IP66；
（14）工作温度：-30°C~+70°C。
（15）五年原厂质保</t>
  </si>
  <si>
    <t>网络接口：标准RJ45 输入
支持协议：TCP/IP，UDP
音频格式：MP3
采样率：8KHz~48KHz
传输速率：100Mbps
音频模式：16 位CD 音质
总偕波失真：≤1%
内置喇叭频率响应：317Hz~3.4KHz +1/-3dB
信噪比：&gt;65dB
五年原厂质保</t>
  </si>
  <si>
    <t>（12）</t>
  </si>
  <si>
    <t>含杆件、横臂、基础、接地及安装配件等</t>
  </si>
  <si>
    <t>（13）</t>
  </si>
  <si>
    <t>（14）</t>
  </si>
  <si>
    <t>光缆</t>
  </si>
  <si>
    <t>4芯</t>
  </si>
  <si>
    <t>按实计</t>
  </si>
  <si>
    <t>（15）</t>
  </si>
  <si>
    <t>（16）</t>
  </si>
  <si>
    <t>供电供网</t>
  </si>
  <si>
    <t>包含配套线缆及辅材</t>
  </si>
  <si>
    <t>（17）</t>
  </si>
  <si>
    <t>（18）</t>
  </si>
  <si>
    <t>定向广播对接至常州市超融合通信平台</t>
  </si>
  <si>
    <t>（19）</t>
  </si>
  <si>
    <t>可视化管理终端感知软件</t>
  </si>
  <si>
    <t>数据接入，复用常州市已建水上服务区停泊管控平台相关功能，详见施工图说明</t>
  </si>
  <si>
    <t>（20）</t>
  </si>
  <si>
    <t>（21）</t>
  </si>
  <si>
    <t>3.3.2</t>
  </si>
  <si>
    <t>常州水上服务区</t>
  </si>
  <si>
    <t>3处雷达加一处船名船号</t>
  </si>
  <si>
    <t>3.4</t>
  </si>
  <si>
    <t>配套支撑</t>
  </si>
  <si>
    <t>3.4.1</t>
  </si>
  <si>
    <t>主机及存储设备</t>
  </si>
  <si>
    <t>常州市</t>
  </si>
  <si>
    <t>3.4.1.1</t>
  </si>
  <si>
    <t>地市高渲染GPU工作站</t>
  </si>
  <si>
    <r>
      <rPr>
        <sz val="10"/>
        <rFont val="宋体"/>
        <family val="3"/>
        <charset val="134"/>
      </rPr>
      <t>CPU：≥1颗，核心数≥24核、主频≥3.2GHz；</t>
    </r>
    <r>
      <rPr>
        <sz val="10"/>
        <color rgb="FF000000"/>
        <rFont val="宋体"/>
        <family val="3"/>
        <charset val="134"/>
      </rPr>
      <t xml:space="preserve">
内存：≥128G DDR5；
硬盘：≥4TB NVME；
显卡：≥2块，FP32≥73TFLOPS，图形渲染专用显卡；
网卡：≥2个千兆电口；
电源：≥1500W电源；
含正版操作系统；
含云渲染虚拟化软件（≥4路并发）
五年原厂质保</t>
    </r>
  </si>
  <si>
    <t>地市部署</t>
  </si>
  <si>
    <t>3.4.1.2</t>
  </si>
  <si>
    <t xml:space="preserve">中心数字孪生底座服务器 </t>
  </si>
  <si>
    <r>
      <rPr>
        <sz val="10"/>
        <rFont val="宋体"/>
        <family val="3"/>
        <charset val="134"/>
      </rPr>
      <t>CPU：国产化芯片，≥2颗，C86架构：单颗核心数≥20核、主频≥2.4GHz，或ARM架构：单颗核心数≥32核、主频≥2.5GHz，支持国产替代和软件适配开发；</t>
    </r>
    <r>
      <rPr>
        <sz val="10"/>
        <color rgb="FF000000"/>
        <rFont val="宋体"/>
        <family val="3"/>
        <charset val="134"/>
      </rPr>
      <t xml:space="preserve">
内存：≥128G；
硬盘：≥1TB NVME，≥10TB SAS；
网卡：≥2个千兆电口；
电源：≥2个800W电源；
含国产操作系统
五年原厂质保</t>
    </r>
  </si>
  <si>
    <t>3.4.1.3</t>
  </si>
  <si>
    <t>飞控服务器</t>
  </si>
  <si>
    <t>1.CPU：国产化芯片，≥1颗，主频≥2.0Ghz，CPU核心数≥32
2.内存：≥32GB
3.硬盘：≥2*600GB SAS 10K
4.网络：≥2个千兆网口。
5.标准机架式设备≤2U
6、五年原厂质保</t>
  </si>
  <si>
    <t>常州现有无人机系统升级使用，地市部署</t>
  </si>
  <si>
    <t>3.4.1.4</t>
  </si>
  <si>
    <t>飞控GPU服务器</t>
  </si>
  <si>
    <t>1.CPU：国产化芯片，≥1颗，主频≥2.0Ghz，CPU核心数≥32
2.内存：≥32GB
3.硬盘：≥2*600GB SAS 10K
4.GPU：国产算力卡1块，FP16 不低于32TFlops
5.网络：≥2个千兆网口。
6.标准机架式设备≤2U
7、五年原厂质保</t>
  </si>
  <si>
    <t>3.4.1.5</t>
  </si>
  <si>
    <t xml:space="preserve">地市中心数字孪生客户端工作站 </t>
  </si>
  <si>
    <r>
      <rPr>
        <sz val="10"/>
        <rFont val="宋体"/>
        <family val="3"/>
        <charset val="134"/>
      </rPr>
      <t>CPU：≥1颗，核心数≥14核、主频≥3.2GHz；</t>
    </r>
    <r>
      <rPr>
        <sz val="10"/>
        <color rgb="FF000000"/>
        <rFont val="宋体"/>
        <family val="3"/>
        <charset val="134"/>
      </rPr>
      <t xml:space="preserve">
内存：≥32G；
硬盘：≥1TB NVME，≥4TB SATA；
显卡：≥1块，FP32≥19TFLOPS，图形渲染专用显卡；
含正版操作系统、24寸液晶显示器和键盘鼠标
五年原厂质保</t>
    </r>
  </si>
  <si>
    <t>3.4.1.6</t>
  </si>
  <si>
    <t>船闸高渲染工作站</t>
  </si>
  <si>
    <t>3.4.1.7</t>
  </si>
  <si>
    <t>船闸数字孪生底座服务器</t>
  </si>
  <si>
    <r>
      <rPr>
        <sz val="10"/>
        <rFont val="宋体"/>
        <family val="3"/>
        <charset val="134"/>
      </rPr>
      <t>CPU：国产化芯片，≥2颗，C86架构：单颗核心数≥20核、主频≥2.4GHz，或ARM架构：单颗核心数≥32核、主频≥2.5GHz支持国产替代和软件适配开发；</t>
    </r>
    <r>
      <rPr>
        <sz val="10"/>
        <color rgb="FF000000"/>
        <rFont val="宋体"/>
        <family val="3"/>
        <charset val="134"/>
      </rPr>
      <t xml:space="preserve">
内存：≥128G；
硬盘：≥1TB NVME，≥10TB SAS；
网卡：≥2个千兆电口；
电源：≥2个800W电源；
含国产操作系统
五年原厂质保</t>
    </r>
  </si>
  <si>
    <t>前黄船闸部署</t>
  </si>
  <si>
    <t>3.4.1.8</t>
  </si>
  <si>
    <t>船闸数字孪生客户端工作站</t>
  </si>
  <si>
    <t>3.4.1.9</t>
  </si>
  <si>
    <t>流媒体服务器</t>
  </si>
  <si>
    <r>
      <rPr>
        <sz val="10"/>
        <rFont val="宋体"/>
        <family val="3"/>
        <charset val="134"/>
      </rPr>
      <t>CPU：≥1颗，核心数≥8核，主频≥2.4GHz；</t>
    </r>
    <r>
      <rPr>
        <sz val="10"/>
        <color rgb="FF000000"/>
        <rFont val="宋体"/>
        <family val="3"/>
        <charset val="134"/>
      </rPr>
      <t xml:space="preserve">
内存：≥32G；
硬盘：≥2TB；
阵列卡：SAS_HBA卡, 支持RAID 0/1/10；
网口：≥2个千兆电口
五年原厂质保</t>
    </r>
  </si>
  <si>
    <t>丹金船闸、前黄船闸、常州水上服务区、金坛水上服务区、市港航各部署一处（为无人机飞控系统使用）</t>
  </si>
  <si>
    <t>3.4.1.10</t>
  </si>
  <si>
    <t>视频存储磁盘阵列</t>
  </si>
  <si>
    <r>
      <rPr>
        <sz val="10"/>
        <rFont val="宋体"/>
        <family val="3"/>
        <charset val="134"/>
      </rPr>
      <t>1.性能参数</t>
    </r>
    <r>
      <rPr>
        <sz val="10"/>
        <color rgb="FF000000"/>
        <rFont val="宋体"/>
        <family val="3"/>
        <charset val="134"/>
      </rPr>
      <t xml:space="preserve">
视频性能 接入路数768（网络输入带宽1536Mbps）
图片性能 最大支持不小于100张/S（单张图片500KB）
硬件规格：处理器 1颗64位多核处理器
高速缓存 8GB
2.磁盘管理
磁盘类型 企业级硬盘
磁盘接口类型 SATA
磁盘容量 4TB/6TB/8TB/10TB/16TB
磁盘接口数量不少于48
热插拔磁盘 支持
阵列类型 RAID5，RAID6，RAID0，RAID1，RAID10
3.存储管理 存储模式 标准模式，高冗余模式，高利用率模式
4.录像管理
录像方式 定时录像，手动录像，主或子码流录像，报警录像等多种录像方式
录像保护 支持断网补录，RAID 业务保护，录像丢失报警
查询方式 按时间、事件类型查询
下载方式 快速下载、批量下载
5.网络管理 网络协议 IPv4，HTTPS，SNMP，NTP
接入协议 RTSP，ONVIF，SDK，GB/T28181
6.五年原厂质保</t>
    </r>
  </si>
  <si>
    <t>地市、前黄船闸部署</t>
  </si>
  <si>
    <t>3.4.1.11</t>
  </si>
  <si>
    <t>存储硬盘-市区</t>
  </si>
  <si>
    <t>8T 企业级 SATA 硬盘</t>
  </si>
  <si>
    <t>3.4.1.12</t>
  </si>
  <si>
    <t>存储硬盘-船闸</t>
  </si>
  <si>
    <t>3.4.1.13</t>
  </si>
  <si>
    <t>视频上云网关</t>
  </si>
  <si>
    <r>
      <rPr>
        <sz val="10"/>
        <rFont val="宋体"/>
        <family val="3"/>
        <charset val="134"/>
      </rPr>
      <t>支持不少于200路的1080P视频流转32K/128K/1M/4M/源码率；</t>
    </r>
    <r>
      <rPr>
        <sz val="10"/>
        <color rgb="FF000000"/>
        <rFont val="宋体"/>
        <family val="3"/>
        <charset val="134"/>
      </rPr>
      <t xml:space="preserve">
支持海康威视、大华、宇视等主流厂家视频监控设备的接入；
支持 RTSP、GB/T28181、ONVIF 等协议接入视频监控设备。
五年原厂质保</t>
    </r>
  </si>
  <si>
    <t>3.4.2</t>
  </si>
  <si>
    <t>通信网络系统</t>
  </si>
  <si>
    <t>3.4.2.1</t>
  </si>
  <si>
    <t>无人机4G流量卡</t>
  </si>
  <si>
    <t>150G/月，至交工验收后5年内</t>
  </si>
  <si>
    <t>点位</t>
  </si>
  <si>
    <t>3.4.2.2</t>
  </si>
  <si>
    <t>汇聚交换机</t>
  </si>
  <si>
    <t>1.整机交换容量≥826Gbps；转发性能≥264Mpps；
2.单台端口：≥48个千兆电口，≥4个千兆SFP口，≥2个万兆SFP+口，含光模块；
3.支持SPAN/RSPAN镜像和多个镜像观察端口，可以对网络流量进行分析以采取相应管理维护措施;
4.MAC地址表≥32K，IPv4路由表容量≥8K，整机最大ARP地址表≥4K；
5.实现CPU保护功能，能限制非法报文对CPU的攻击，保护交换机在各种环境下稳定工作；
6.支持VRRP、OSPFv1/v2、OSPF v3、BGP、ISIS等增强三层路由协议；
7.支持RRPP，支持ERPS以太环保护协议，切换时间≤50ms；
8.支持图形化操作的方式实现对网络的统一运维及管理
9.设备CPU等关键芯片为国产芯片；
7.含5年原厂质保</t>
  </si>
  <si>
    <t>前黄、丹金船闸闸首机房部署</t>
  </si>
  <si>
    <t>3.4.3</t>
  </si>
  <si>
    <t>网络安全、数据安全设备</t>
  </si>
  <si>
    <t>常州市2个船闸、2个服务区均部署</t>
  </si>
  <si>
    <t>3.4.3.1</t>
  </si>
  <si>
    <t>防火墙</t>
  </si>
  <si>
    <t>国产化硬件，系统需配置，≥6个千兆GE电口，≥4个千兆SFP光口；≥4个万兆SFP+光口；配置≥64G SSD硬盘，冗余电源，整机吞吐量≥20Gbps；
支持策略风险调优，支持安全策略优化分析，支持策略数冗余及命中分析，支持基于应用风险的策略调优。
支持基于对包括但不限于操作系统、网络设备、办公软件、网页服务等保护对象的入侵防御策略，支持基于对漏洞、恶意文件、信息收集类攻击等的攻击分类的防护策略，支持基于服务器、客户端的防护策略。
支持基于文件协议、邮件协议、共享协议的病毒功能。
支持HTTPS加密流量的安全检测，支持TCP代理和SSL代理，且代理策略中可同时配置多类过滤条件，具体包括：源安全域、目的安全域、源地址、目的地址、用户和服务。
支持流量自学习功能，可设置自学习时间，并自动生成DDoS防范策略。
支持多用户共享上网行为管理。
包含原厂硬件质保期五年和五年入侵防御和防病毒特征库升级授权。</t>
  </si>
  <si>
    <t>前黄船闸业务网边界已建设防火墙</t>
  </si>
  <si>
    <t>3.4.3.2</t>
  </si>
  <si>
    <t>网闸</t>
  </si>
  <si>
    <t xml:space="preserve">国产化硬件，内网接口：标配≥4个千兆电口，≥4个千兆SFP插槽，≥1个扩展槽；外网接口：标配标配≥4个千兆电口，≥4个千兆SFP插槽，≥1个扩展槽；
软件系统：默认包含全功能模块，标准配置包含文件传输模块、文件同步模块、邮件访问模块、数据库访问模块、数据库同步模块、自定义访问模块、数据中心模块等。
吞吐不小于500Mbps，并发不小于20万。
支持工控入侵防御特征库，涵盖：HTTP攻击类、拒绝服务类、木马类、蠕虫类、扫描类、网络访问类、系统漏洞类、溢出攻击类等。
采用国内外知名厂商病毒库，支持病毒库升级，并提供后续升级服务。
包含原厂硬件质保期五年。 </t>
  </si>
  <si>
    <t>前黄船闸2台、丹金船闸1台</t>
  </si>
  <si>
    <t>3.4.3.3</t>
  </si>
  <si>
    <t>主机杀毒</t>
  </si>
  <si>
    <t>支持中标麒麟、银河麒麟（V4/V10）、统信UOS等操作系统；
支持精准查杀勒索、木马、蠕虫等各类病毒，提供病毒防御、系统防御以及网络防御等主动防御功能；
支持资产管理、运维管理、病毒查杀、外设管理、网络管理、终端响应、日志管理、防病毒模块等基础功能；
包含原厂硬件质保期五年，五年病毒库升级服务。</t>
  </si>
  <si>
    <t>3.4.3.4</t>
  </si>
  <si>
    <t>数采模块（干节点）</t>
  </si>
  <si>
    <t>32位及以上处理器，内存不低于16K，不少于8个DI输入端口，4个DO输出端口，1个以太网口，通过干接点方式连接，设备应包含如下软件。
软件功能要求：实现信息网指令向控制网络传输，传输控制指令不少于20个，可采用自定义编码方式实现更多的数据传输，信息网侧设备提供标准的指令接口供软件程序调用。5年质保。</t>
  </si>
  <si>
    <t>前黄船闸4台、丹金船闸2台</t>
  </si>
  <si>
    <t>3.4.4</t>
  </si>
  <si>
    <t>设备集成安装</t>
  </si>
  <si>
    <t>含主机及存储、网络安全、数据安全设备的安装调试费用</t>
  </si>
  <si>
    <t>配套支撑设备集成安装费用</t>
  </si>
  <si>
    <t>软件第三方测评费</t>
  </si>
  <si>
    <t>安全等级测试费</t>
  </si>
  <si>
    <t>代码审计</t>
  </si>
  <si>
    <t>外场感知运维管理系统</t>
  </si>
  <si>
    <t>合计</t>
  </si>
  <si>
    <t>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</si>
</sst>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8" formatCode="_-* #,##0.00\ [$€]_-;\-* #,##0.00\ [$€]_-;_-* &quot;-&quot;??\ [$€]_-;_-@_-"/>
    <numFmt numFmtId="179" formatCode="0.00_ "/>
  </numFmts>
  <fonts count="16" x14ac:knownFonts="1">
    <font>
      <sz val="11"/>
      <color theme="1"/>
      <name val="等线"/>
      <charset val="134"/>
      <scheme val="minor"/>
    </font>
    <font>
      <sz val="10"/>
      <color theme="1"/>
      <name val="宋体"/>
      <family val="3"/>
      <charset val="134"/>
    </font>
    <font>
      <sz val="10"/>
      <name val="宋体"/>
      <family val="3"/>
      <charset val="134"/>
    </font>
    <font>
      <b/>
      <sz val="10"/>
      <name val="宋体"/>
      <family val="3"/>
      <charset val="134"/>
    </font>
    <font>
      <sz val="10"/>
      <color rgb="FF000000"/>
      <name val="宋体"/>
      <family val="3"/>
      <charset val="134"/>
    </font>
    <font>
      <b/>
      <sz val="18"/>
      <name val="宋体"/>
      <family val="3"/>
      <charset val="134"/>
    </font>
    <font>
      <b/>
      <sz val="10"/>
      <color rgb="FFFF0000"/>
      <name val="宋体"/>
      <family val="3"/>
      <charset val="134"/>
    </font>
    <font>
      <sz val="10"/>
      <color rgb="FFFF0000"/>
      <name val="宋体"/>
      <family val="3"/>
      <charset val="134"/>
    </font>
    <font>
      <sz val="10"/>
      <color rgb="FFC00000"/>
      <name val="宋体"/>
      <family val="3"/>
      <charset val="134"/>
    </font>
    <font>
      <sz val="12"/>
      <name val="宋体"/>
      <family val="3"/>
      <charset val="134"/>
    </font>
    <font>
      <b/>
      <sz val="10"/>
      <color rgb="FF000000"/>
      <name val="宋体"/>
      <family val="3"/>
      <charset val="134"/>
    </font>
    <font>
      <sz val="12"/>
      <color indexed="8"/>
      <name val="宋体"/>
      <family val="3"/>
      <charset val="134"/>
    </font>
    <font>
      <sz val="11"/>
      <color indexed="8"/>
      <name val="宋体"/>
      <family val="3"/>
      <charset val="134"/>
    </font>
    <font>
      <sz val="11"/>
      <name val="等线"/>
      <family val="3"/>
      <charset val="134"/>
    </font>
    <font>
      <sz val="11"/>
      <color theme="1"/>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alignment vertical="center"/>
    </xf>
    <xf numFmtId="43" fontId="14" fillId="0" borderId="0" applyFont="0" applyFill="0" applyBorder="0" applyAlignment="0" applyProtection="0">
      <alignment vertical="center"/>
    </xf>
    <xf numFmtId="0" fontId="14" fillId="0" borderId="0">
      <alignment vertical="center"/>
    </xf>
    <xf numFmtId="178" fontId="12" fillId="0" borderId="0">
      <protection locked="0"/>
    </xf>
    <xf numFmtId="178" fontId="13" fillId="0" borderId="0">
      <protection locked="0"/>
    </xf>
  </cellStyleXfs>
  <cellXfs count="74">
    <xf numFmtId="0" fontId="0" fillId="0" borderId="0" xfId="0">
      <alignment vertical="center"/>
    </xf>
    <xf numFmtId="0" fontId="1" fillId="0" borderId="0" xfId="0" applyFont="1" applyAlignment="1">
      <alignment vertical="center" wrapText="1"/>
    </xf>
    <xf numFmtId="0" fontId="2" fillId="0" borderId="0" xfId="2" applyFont="1" applyAlignment="1">
      <alignment horizontal="center" vertical="center" wrapText="1"/>
    </xf>
    <xf numFmtId="0" fontId="3" fillId="0" borderId="0" xfId="2" applyFont="1">
      <alignment vertical="center"/>
    </xf>
    <xf numFmtId="0" fontId="1" fillId="0" borderId="0" xfId="2" applyFont="1">
      <alignment vertical="center"/>
    </xf>
    <xf numFmtId="0" fontId="2" fillId="0" borderId="0" xfId="2" applyFont="1">
      <alignment vertical="center"/>
    </xf>
    <xf numFmtId="0" fontId="2" fillId="0" borderId="0" xfId="3" applyNumberFormat="1" applyFont="1" applyAlignment="1" applyProtection="1">
      <alignment horizontal="center" vertical="center" wrapText="1"/>
    </xf>
    <xf numFmtId="0" fontId="1" fillId="0" borderId="0" xfId="0" applyFont="1">
      <alignment vertical="center"/>
    </xf>
    <xf numFmtId="49" fontId="2" fillId="0" borderId="0" xfId="2" applyNumberFormat="1" applyFont="1">
      <alignment vertical="center"/>
    </xf>
    <xf numFmtId="0" fontId="4" fillId="0" borderId="0" xfId="2" applyFont="1" applyAlignment="1">
      <alignment horizontal="center" vertical="center" wrapText="1"/>
    </xf>
    <xf numFmtId="0" fontId="2" fillId="0" borderId="0" xfId="2" applyFont="1" applyAlignment="1">
      <alignment horizontal="left" vertical="center"/>
    </xf>
    <xf numFmtId="0" fontId="4" fillId="0" borderId="0" xfId="2" applyFont="1" applyAlignment="1">
      <alignment horizontal="center" vertical="center"/>
    </xf>
    <xf numFmtId="0" fontId="2" fillId="0" borderId="0" xfId="2" applyFont="1" applyAlignment="1">
      <alignment horizontal="center" vertical="center"/>
    </xf>
    <xf numFmtId="0" fontId="1" fillId="0" borderId="0" xfId="0" applyFont="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wrapText="1"/>
    </xf>
    <xf numFmtId="0" fontId="3" fillId="0" borderId="1" xfId="2" applyFont="1" applyBorder="1" applyAlignment="1">
      <alignment horizontal="left" vertical="center" wrapText="1"/>
    </xf>
    <xf numFmtId="49" fontId="2" fillId="0" borderId="1" xfId="2" applyNumberFormat="1" applyFont="1" applyBorder="1" applyAlignment="1">
      <alignment horizontal="center" vertical="center" wrapText="1"/>
    </xf>
    <xf numFmtId="0" fontId="2" fillId="0" borderId="1" xfId="2" applyFont="1" applyBorder="1" applyAlignment="1">
      <alignment horizontal="center" vertical="center" wrapText="1"/>
    </xf>
    <xf numFmtId="0" fontId="2" fillId="0" borderId="1" xfId="2"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xf>
    <xf numFmtId="0" fontId="2" fillId="0" borderId="1" xfId="0" applyFont="1" applyBorder="1" applyAlignment="1" applyProtection="1">
      <alignment horizontal="center" vertical="center" wrapText="1"/>
      <protection locked="0"/>
    </xf>
    <xf numFmtId="0" fontId="1"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2" fillId="0" borderId="1" xfId="0" applyFont="1" applyBorder="1" applyAlignment="1">
      <alignment horizontal="center" vertical="center"/>
    </xf>
    <xf numFmtId="0" fontId="2" fillId="0" borderId="1" xfId="0" applyFont="1" applyBorder="1" applyAlignment="1" applyProtection="1">
      <alignment horizontal="center" vertical="center"/>
      <protection locked="0"/>
    </xf>
    <xf numFmtId="0" fontId="2" fillId="0" borderId="1" xfId="2" applyFont="1" applyBorder="1" applyAlignment="1" applyProtection="1">
      <alignment horizontal="center" vertical="center" wrapText="1"/>
      <protection locked="0"/>
    </xf>
    <xf numFmtId="49" fontId="2" fillId="0" borderId="1" xfId="0" applyNumberFormat="1" applyFont="1" applyBorder="1" applyAlignment="1">
      <alignment horizontal="center" vertical="center" wrapText="1"/>
    </xf>
    <xf numFmtId="0" fontId="3" fillId="0" borderId="1" xfId="2" applyFont="1"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2" fillId="0" borderId="1" xfId="2" applyFont="1" applyBorder="1" applyAlignment="1">
      <alignment horizontal="center" vertical="center"/>
    </xf>
    <xf numFmtId="0" fontId="2" fillId="0" borderId="1" xfId="3" applyNumberFormat="1" applyFont="1" applyBorder="1" applyAlignment="1" applyProtection="1">
      <alignment horizontal="center" vertical="center" wrapText="1"/>
    </xf>
    <xf numFmtId="0" fontId="1" fillId="0" borderId="1" xfId="0" applyFont="1" applyBorder="1" applyAlignment="1">
      <alignment horizontal="left" vertical="center" wrapText="1"/>
    </xf>
    <xf numFmtId="0" fontId="7" fillId="0" borderId="1" xfId="2" applyFont="1" applyBorder="1" applyAlignment="1">
      <alignment horizontal="center" vertical="center" wrapText="1"/>
    </xf>
    <xf numFmtId="0" fontId="2" fillId="0" borderId="1" xfId="3" applyNumberFormat="1" applyFont="1" applyBorder="1" applyAlignment="1">
      <alignment horizontal="center" vertical="center" wrapText="1"/>
      <protection locked="0"/>
    </xf>
    <xf numFmtId="179" fontId="2" fillId="0" borderId="1" xfId="2" applyNumberFormat="1" applyFont="1" applyBorder="1" applyAlignment="1" applyProtection="1">
      <alignment horizontal="center" vertical="center"/>
      <protection locked="0"/>
    </xf>
    <xf numFmtId="0" fontId="1" fillId="0" borderId="1" xfId="4" applyNumberFormat="1" applyFont="1" applyBorder="1" applyAlignment="1" applyProtection="1">
      <alignment horizontal="center" vertical="center" wrapText="1"/>
    </xf>
    <xf numFmtId="0" fontId="7" fillId="0" borderId="1" xfId="2" applyFont="1" applyBorder="1" applyAlignment="1" applyProtection="1">
      <alignment horizontal="center" vertical="center" wrapText="1"/>
      <protection locked="0"/>
    </xf>
    <xf numFmtId="0" fontId="8" fillId="0" borderId="1" xfId="2" applyFont="1" applyBorder="1" applyAlignment="1">
      <alignment horizontal="center" vertical="center" wrapText="1"/>
    </xf>
    <xf numFmtId="0" fontId="2" fillId="0" borderId="1" xfId="1" applyNumberFormat="1" applyFont="1" applyFill="1" applyBorder="1" applyAlignment="1" applyProtection="1">
      <alignment horizontal="center" vertical="center" wrapText="1"/>
      <protection locked="0"/>
    </xf>
    <xf numFmtId="0" fontId="6" fillId="0" borderId="0" xfId="2" applyFont="1">
      <alignment vertical="center"/>
    </xf>
    <xf numFmtId="0" fontId="2" fillId="0" borderId="0" xfId="1" applyNumberFormat="1" applyFont="1" applyFill="1" applyBorder="1" applyAlignment="1" applyProtection="1">
      <alignment horizontal="center" vertical="center" wrapText="1"/>
    </xf>
    <xf numFmtId="0" fontId="2" fillId="0" borderId="0" xfId="0" applyFont="1" applyAlignment="1">
      <alignment horizontal="center" vertical="center" wrapText="1"/>
    </xf>
    <xf numFmtId="0" fontId="2" fillId="0" borderId="1" xfId="2" applyFont="1" applyBorder="1" applyAlignment="1" applyProtection="1">
      <alignment horizontal="left" vertical="center" wrapText="1"/>
      <protection locked="0"/>
    </xf>
    <xf numFmtId="0" fontId="2" fillId="0" borderId="1" xfId="1" applyNumberFormat="1" applyFont="1" applyFill="1" applyBorder="1" applyAlignment="1" applyProtection="1">
      <alignment horizontal="center" vertical="center"/>
      <protection locked="0"/>
    </xf>
    <xf numFmtId="0" fontId="1" fillId="0" borderId="0" xfId="0" applyFont="1" applyAlignment="1">
      <alignment horizontal="left" vertical="center"/>
    </xf>
    <xf numFmtId="0" fontId="2" fillId="0" borderId="1" xfId="3" applyNumberFormat="1" applyFont="1" applyBorder="1" applyAlignment="1" applyProtection="1">
      <alignment horizontal="left" vertical="center"/>
    </xf>
    <xf numFmtId="0" fontId="2" fillId="0" borderId="0" xfId="1" applyNumberFormat="1" applyFont="1" applyFill="1" applyAlignment="1" applyProtection="1">
      <alignment horizontal="center" vertical="center" wrapText="1"/>
    </xf>
    <xf numFmtId="179" fontId="2" fillId="0" borderId="1" xfId="2" applyNumberFormat="1" applyFont="1" applyBorder="1" applyAlignment="1" applyProtection="1">
      <alignment horizontal="center" vertical="center" wrapText="1"/>
      <protection locked="0"/>
    </xf>
    <xf numFmtId="0" fontId="5" fillId="0" borderId="0" xfId="2" applyFont="1" applyAlignment="1">
      <alignment horizontal="center" vertical="center" wrapText="1"/>
    </xf>
    <xf numFmtId="0" fontId="5" fillId="0" borderId="0" xfId="2" applyFont="1" applyAlignment="1">
      <alignment horizontal="left" vertical="center" wrapText="1"/>
    </xf>
    <xf numFmtId="0" fontId="2" fillId="0" borderId="0" xfId="2" applyFont="1" applyAlignment="1">
      <alignment horizontal="left" vertical="center" wrapText="1"/>
    </xf>
    <xf numFmtId="0" fontId="2" fillId="0" borderId="0" xfId="2" applyFont="1" applyAlignment="1">
      <alignment horizontal="center" vertical="center" wrapText="1"/>
    </xf>
    <xf numFmtId="0" fontId="3" fillId="0" borderId="2" xfId="2" applyFont="1" applyBorder="1" applyAlignment="1">
      <alignment horizontal="center" vertical="center" wrapText="1"/>
    </xf>
    <xf numFmtId="0" fontId="3" fillId="0" borderId="3" xfId="2" applyFont="1" applyBorder="1" applyAlignment="1">
      <alignment horizontal="center" vertical="center" wrapText="1"/>
    </xf>
    <xf numFmtId="0" fontId="3" fillId="0" borderId="3" xfId="2" applyFont="1" applyBorder="1" applyAlignment="1">
      <alignment horizontal="left" vertical="center" wrapText="1"/>
    </xf>
    <xf numFmtId="0" fontId="3" fillId="0" borderId="4" xfId="2" applyFont="1" applyBorder="1" applyAlignment="1">
      <alignment horizontal="center" vertical="center" wrapText="1"/>
    </xf>
    <xf numFmtId="0" fontId="6" fillId="0" borderId="0" xfId="2" applyFont="1" applyAlignment="1">
      <alignment horizontal="center" vertical="center" wrapText="1"/>
    </xf>
    <xf numFmtId="49" fontId="2" fillId="2" borderId="1" xfId="2" applyNumberFormat="1" applyFont="1" applyFill="1" applyBorder="1" applyAlignment="1">
      <alignment horizontal="center" vertical="center" wrapText="1"/>
    </xf>
    <xf numFmtId="0" fontId="2" fillId="2" borderId="1" xfId="2" applyFont="1" applyFill="1" applyBorder="1" applyAlignment="1">
      <alignment horizontal="center" vertical="center" wrapText="1"/>
    </xf>
    <xf numFmtId="0" fontId="2" fillId="2" borderId="1" xfId="2"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2" fillId="2" borderId="1" xfId="0" applyFont="1" applyFill="1" applyBorder="1" applyAlignment="1" applyProtection="1">
      <alignment horizontal="center" vertical="center" wrapText="1"/>
      <protection locked="0"/>
    </xf>
    <xf numFmtId="178" fontId="2" fillId="2"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1" xfId="2" applyFont="1" applyFill="1" applyBorder="1" applyAlignment="1">
      <alignment horizontal="center" vertical="center"/>
    </xf>
    <xf numFmtId="0" fontId="2" fillId="2" borderId="1" xfId="2"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0" fontId="2" fillId="2" borderId="1" xfId="0" applyFont="1" applyFill="1" applyBorder="1" applyAlignment="1">
      <alignment horizontal="center" vertical="center"/>
    </xf>
    <xf numFmtId="0" fontId="2" fillId="2" borderId="1" xfId="0" applyFont="1" applyFill="1" applyBorder="1" applyAlignment="1" applyProtection="1">
      <alignment horizontal="center" vertical="center"/>
      <protection locked="0"/>
    </xf>
  </cellXfs>
  <cellStyles count="5">
    <cellStyle name="常规" xfId="0" builtinId="0"/>
    <cellStyle name="常规 2" xfId="2" xr:uid="{00000000-0005-0000-0000-000034000000}"/>
    <cellStyle name="常规 9" xfId="4" xr:uid="{00000000-0005-0000-0000-000036000000}"/>
    <cellStyle name="常规 9 2" xfId="3" xr:uid="{00000000-0005-0000-0000-00003500000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TV367"/>
  <sheetViews>
    <sheetView tabSelected="1" view="pageBreakPreview" topLeftCell="A73" zoomScaleNormal="100" workbookViewId="0">
      <selection activeCell="C84" sqref="C84"/>
    </sheetView>
  </sheetViews>
  <sheetFormatPr defaultColWidth="8.25" defaultRowHeight="12" x14ac:dyDescent="0.2"/>
  <cols>
    <col min="1" max="1" width="9" style="8" customWidth="1"/>
    <col min="2" max="2" width="19.625" style="9" customWidth="1"/>
    <col min="3" max="3" width="60.5" style="10" customWidth="1"/>
    <col min="4" max="4" width="5.875" style="11" customWidth="1"/>
    <col min="5" max="5" width="6.875" style="11" customWidth="1"/>
    <col min="6" max="6" width="9.625" style="12" customWidth="1"/>
    <col min="7" max="7" width="8.375" style="12" customWidth="1"/>
    <col min="8" max="8" width="16.875" style="12" customWidth="1"/>
    <col min="9" max="9" width="14.625" style="5" customWidth="1"/>
    <col min="10" max="16384" width="8.25" style="5"/>
  </cols>
  <sheetData>
    <row r="1" spans="1:12" s="1" customFormat="1" ht="45" customHeight="1" x14ac:dyDescent="0.2">
      <c r="A1" s="51" t="s">
        <v>0</v>
      </c>
      <c r="B1" s="51"/>
      <c r="C1" s="52"/>
      <c r="D1" s="51"/>
      <c r="E1" s="51"/>
      <c r="F1" s="51"/>
      <c r="G1" s="51"/>
      <c r="H1" s="51"/>
      <c r="I1" s="13"/>
      <c r="J1" s="13"/>
      <c r="L1" s="13"/>
    </row>
    <row r="2" spans="1:12" s="1" customFormat="1" ht="24" customHeight="1" x14ac:dyDescent="0.2">
      <c r="A2" s="53" t="e">
        <f>#REF!</f>
        <v>#REF!</v>
      </c>
      <c r="B2" s="54"/>
      <c r="C2" s="53"/>
      <c r="D2" s="53"/>
      <c r="E2" s="53"/>
      <c r="F2" s="53"/>
      <c r="G2" s="53"/>
      <c r="H2" s="54"/>
      <c r="I2" s="13"/>
      <c r="J2" s="13"/>
      <c r="L2" s="13"/>
    </row>
    <row r="3" spans="1:12" s="2" customFormat="1" ht="39" customHeight="1" x14ac:dyDescent="0.2">
      <c r="A3" s="14" t="s">
        <v>1</v>
      </c>
      <c r="B3" s="14" t="s">
        <v>2</v>
      </c>
      <c r="C3" s="14" t="s">
        <v>11</v>
      </c>
      <c r="D3" s="14" t="s">
        <v>12</v>
      </c>
      <c r="E3" s="14" t="s">
        <v>13</v>
      </c>
      <c r="F3" s="14" t="s">
        <v>14</v>
      </c>
      <c r="G3" s="14" t="s">
        <v>15</v>
      </c>
      <c r="H3" s="14" t="s">
        <v>16</v>
      </c>
    </row>
    <row r="4" spans="1:12" s="3" customFormat="1" ht="26.1" customHeight="1" x14ac:dyDescent="0.2">
      <c r="A4" s="15" t="s">
        <v>3</v>
      </c>
      <c r="B4" s="14" t="s">
        <v>4</v>
      </c>
      <c r="C4" s="16"/>
      <c r="D4" s="14"/>
      <c r="E4" s="14"/>
      <c r="F4" s="14"/>
      <c r="G4" s="14"/>
      <c r="H4" s="14"/>
    </row>
    <row r="5" spans="1:12" s="3" customFormat="1" ht="26.1" customHeight="1" x14ac:dyDescent="0.2">
      <c r="A5" s="17" t="s">
        <v>17</v>
      </c>
      <c r="B5" s="18" t="s">
        <v>18</v>
      </c>
      <c r="C5" s="19"/>
      <c r="D5" s="18"/>
      <c r="E5" s="18"/>
      <c r="F5" s="18"/>
      <c r="G5" s="18"/>
      <c r="H5" s="18"/>
    </row>
    <row r="6" spans="1:12" s="4" customFormat="1" ht="26.1" customHeight="1" x14ac:dyDescent="0.2">
      <c r="A6" s="60" t="s">
        <v>19</v>
      </c>
      <c r="B6" s="61" t="s">
        <v>20</v>
      </c>
      <c r="C6" s="62"/>
      <c r="D6" s="61"/>
      <c r="E6" s="61"/>
      <c r="F6" s="61"/>
      <c r="G6" s="61"/>
      <c r="H6" s="61" t="s">
        <v>21</v>
      </c>
      <c r="I6" s="5"/>
      <c r="J6" s="5"/>
    </row>
    <row r="7" spans="1:12" s="4" customFormat="1" ht="30" customHeight="1" x14ac:dyDescent="0.2">
      <c r="A7" s="63" t="s">
        <v>22</v>
      </c>
      <c r="B7" s="63" t="s">
        <v>23</v>
      </c>
      <c r="C7" s="64"/>
      <c r="D7" s="63"/>
      <c r="E7" s="63"/>
      <c r="F7" s="63"/>
      <c r="G7" s="63"/>
      <c r="H7" s="65"/>
      <c r="I7" s="5"/>
      <c r="J7" s="5"/>
    </row>
    <row r="8" spans="1:12" s="4" customFormat="1" ht="30" customHeight="1" x14ac:dyDescent="0.2">
      <c r="A8" s="61" t="s">
        <v>24</v>
      </c>
      <c r="B8" s="63" t="s">
        <v>25</v>
      </c>
      <c r="C8" s="62" t="s">
        <v>26</v>
      </c>
      <c r="D8" s="63" t="s">
        <v>27</v>
      </c>
      <c r="E8" s="63">
        <v>1</v>
      </c>
      <c r="F8" s="66"/>
      <c r="G8" s="63">
        <f>ROUND(E8*F8,2)</f>
        <v>0</v>
      </c>
      <c r="H8" s="65"/>
      <c r="I8" s="5"/>
      <c r="J8" s="5"/>
    </row>
    <row r="9" spans="1:12" s="4" customFormat="1" ht="30" customHeight="1" x14ac:dyDescent="0.2">
      <c r="A9" s="61" t="s">
        <v>28</v>
      </c>
      <c r="B9" s="63" t="s">
        <v>29</v>
      </c>
      <c r="C9" s="62" t="s">
        <v>26</v>
      </c>
      <c r="D9" s="63" t="s">
        <v>27</v>
      </c>
      <c r="E9" s="63">
        <v>1</v>
      </c>
      <c r="F9" s="66"/>
      <c r="G9" s="63">
        <f t="shared" ref="G9:G72" si="0">ROUND(E9*F9,2)</f>
        <v>0</v>
      </c>
      <c r="H9" s="65"/>
      <c r="I9" s="5"/>
      <c r="J9" s="5"/>
    </row>
    <row r="10" spans="1:12" s="4" customFormat="1" ht="30" customHeight="1" x14ac:dyDescent="0.2">
      <c r="A10" s="63" t="s">
        <v>30</v>
      </c>
      <c r="B10" s="63" t="s">
        <v>31</v>
      </c>
      <c r="C10" s="64"/>
      <c r="D10" s="63"/>
      <c r="E10" s="63"/>
      <c r="F10" s="66"/>
      <c r="G10" s="63"/>
      <c r="H10" s="65"/>
      <c r="I10" s="5"/>
      <c r="J10" s="5"/>
    </row>
    <row r="11" spans="1:12" s="4" customFormat="1" ht="30" customHeight="1" x14ac:dyDescent="0.2">
      <c r="A11" s="61" t="s">
        <v>24</v>
      </c>
      <c r="B11" s="63" t="s">
        <v>32</v>
      </c>
      <c r="C11" s="62" t="s">
        <v>26</v>
      </c>
      <c r="D11" s="63" t="s">
        <v>27</v>
      </c>
      <c r="E11" s="63">
        <v>1</v>
      </c>
      <c r="F11" s="66"/>
      <c r="G11" s="63">
        <f t="shared" si="0"/>
        <v>0</v>
      </c>
      <c r="H11" s="65"/>
      <c r="I11" s="5"/>
      <c r="J11" s="5"/>
    </row>
    <row r="12" spans="1:12" s="4" customFormat="1" ht="30" customHeight="1" x14ac:dyDescent="0.2">
      <c r="A12" s="61" t="s">
        <v>28</v>
      </c>
      <c r="B12" s="63" t="s">
        <v>33</v>
      </c>
      <c r="C12" s="62" t="s">
        <v>26</v>
      </c>
      <c r="D12" s="63" t="s">
        <v>27</v>
      </c>
      <c r="E12" s="63">
        <v>1</v>
      </c>
      <c r="F12" s="66"/>
      <c r="G12" s="63">
        <f t="shared" si="0"/>
        <v>0</v>
      </c>
      <c r="H12" s="65"/>
      <c r="I12" s="5"/>
      <c r="J12" s="5"/>
    </row>
    <row r="13" spans="1:12" s="4" customFormat="1" ht="30" customHeight="1" x14ac:dyDescent="0.2">
      <c r="A13" s="63" t="s">
        <v>34</v>
      </c>
      <c r="B13" s="63" t="s">
        <v>35</v>
      </c>
      <c r="C13" s="62"/>
      <c r="D13" s="63"/>
      <c r="E13" s="63"/>
      <c r="F13" s="66"/>
      <c r="G13" s="63"/>
      <c r="H13" s="65"/>
      <c r="I13" s="5"/>
      <c r="J13" s="5"/>
    </row>
    <row r="14" spans="1:12" s="4" customFormat="1" ht="30" customHeight="1" x14ac:dyDescent="0.2">
      <c r="A14" s="63" t="s">
        <v>36</v>
      </c>
      <c r="B14" s="63" t="s">
        <v>37</v>
      </c>
      <c r="C14" s="62"/>
      <c r="D14" s="63"/>
      <c r="E14" s="63"/>
      <c r="F14" s="66"/>
      <c r="G14" s="63"/>
      <c r="H14" s="65"/>
      <c r="I14" s="5"/>
      <c r="J14" s="5"/>
    </row>
    <row r="15" spans="1:12" s="4" customFormat="1" ht="30" customHeight="1" x14ac:dyDescent="0.2">
      <c r="A15" s="61" t="s">
        <v>24</v>
      </c>
      <c r="B15" s="63" t="s">
        <v>38</v>
      </c>
      <c r="C15" s="62" t="s">
        <v>26</v>
      </c>
      <c r="D15" s="63" t="s">
        <v>27</v>
      </c>
      <c r="E15" s="63">
        <v>1</v>
      </c>
      <c r="F15" s="66"/>
      <c r="G15" s="63">
        <f t="shared" si="0"/>
        <v>0</v>
      </c>
      <c r="H15" s="65"/>
      <c r="I15" s="5"/>
      <c r="J15" s="5"/>
    </row>
    <row r="16" spans="1:12" s="4" customFormat="1" ht="30" customHeight="1" x14ac:dyDescent="0.2">
      <c r="A16" s="61" t="s">
        <v>28</v>
      </c>
      <c r="B16" s="63" t="s">
        <v>39</v>
      </c>
      <c r="C16" s="62" t="s">
        <v>26</v>
      </c>
      <c r="D16" s="63" t="s">
        <v>27</v>
      </c>
      <c r="E16" s="63">
        <v>1</v>
      </c>
      <c r="F16" s="66"/>
      <c r="G16" s="63">
        <f t="shared" si="0"/>
        <v>0</v>
      </c>
      <c r="H16" s="65"/>
      <c r="I16" s="5"/>
      <c r="J16" s="5"/>
    </row>
    <row r="17" spans="1:10" s="4" customFormat="1" ht="30" customHeight="1" x14ac:dyDescent="0.2">
      <c r="A17" s="61" t="s">
        <v>40</v>
      </c>
      <c r="B17" s="63" t="s">
        <v>41</v>
      </c>
      <c r="C17" s="62" t="s">
        <v>26</v>
      </c>
      <c r="D17" s="63" t="s">
        <v>27</v>
      </c>
      <c r="E17" s="63">
        <v>1</v>
      </c>
      <c r="F17" s="66"/>
      <c r="G17" s="63">
        <f t="shared" si="0"/>
        <v>0</v>
      </c>
      <c r="H17" s="65"/>
      <c r="I17" s="5"/>
      <c r="J17" s="5"/>
    </row>
    <row r="18" spans="1:10" s="4" customFormat="1" ht="30" customHeight="1" x14ac:dyDescent="0.2">
      <c r="A18" s="63" t="s">
        <v>42</v>
      </c>
      <c r="B18" s="63" t="s">
        <v>43</v>
      </c>
      <c r="C18" s="62" t="s">
        <v>26</v>
      </c>
      <c r="D18" s="63" t="s">
        <v>27</v>
      </c>
      <c r="E18" s="63">
        <v>1</v>
      </c>
      <c r="F18" s="66"/>
      <c r="G18" s="63">
        <f t="shared" si="0"/>
        <v>0</v>
      </c>
      <c r="H18" s="65"/>
      <c r="I18" s="5"/>
      <c r="J18" s="5"/>
    </row>
    <row r="19" spans="1:10" s="4" customFormat="1" ht="30" customHeight="1" x14ac:dyDescent="0.2">
      <c r="A19" s="63" t="s">
        <v>44</v>
      </c>
      <c r="B19" s="63" t="s">
        <v>45</v>
      </c>
      <c r="C19" s="62"/>
      <c r="D19" s="63"/>
      <c r="E19" s="63"/>
      <c r="F19" s="66"/>
      <c r="G19" s="63"/>
      <c r="H19" s="65"/>
      <c r="I19" s="5"/>
      <c r="J19" s="5"/>
    </row>
    <row r="20" spans="1:10" s="4" customFormat="1" ht="30" customHeight="1" x14ac:dyDescent="0.2">
      <c r="A20" s="61" t="s">
        <v>24</v>
      </c>
      <c r="B20" s="63" t="s">
        <v>46</v>
      </c>
      <c r="C20" s="62" t="s">
        <v>26</v>
      </c>
      <c r="D20" s="63" t="s">
        <v>27</v>
      </c>
      <c r="E20" s="63">
        <v>1</v>
      </c>
      <c r="F20" s="66"/>
      <c r="G20" s="63">
        <f t="shared" si="0"/>
        <v>0</v>
      </c>
      <c r="H20" s="65"/>
      <c r="I20" s="5"/>
      <c r="J20" s="5"/>
    </row>
    <row r="21" spans="1:10" s="4" customFormat="1" ht="30" customHeight="1" x14ac:dyDescent="0.2">
      <c r="A21" s="61" t="s">
        <v>28</v>
      </c>
      <c r="B21" s="63" t="s">
        <v>47</v>
      </c>
      <c r="C21" s="62" t="s">
        <v>26</v>
      </c>
      <c r="D21" s="63" t="s">
        <v>27</v>
      </c>
      <c r="E21" s="63">
        <v>1</v>
      </c>
      <c r="F21" s="66"/>
      <c r="G21" s="63">
        <f t="shared" si="0"/>
        <v>0</v>
      </c>
      <c r="H21" s="65"/>
      <c r="I21" s="5"/>
      <c r="J21" s="5"/>
    </row>
    <row r="22" spans="1:10" s="4" customFormat="1" ht="30" customHeight="1" x14ac:dyDescent="0.2">
      <c r="A22" s="63" t="s">
        <v>48</v>
      </c>
      <c r="B22" s="63" t="s">
        <v>49</v>
      </c>
      <c r="C22" s="62"/>
      <c r="D22" s="63"/>
      <c r="E22" s="63"/>
      <c r="F22" s="66"/>
      <c r="G22" s="63"/>
      <c r="H22" s="65"/>
      <c r="I22" s="5"/>
      <c r="J22" s="5"/>
    </row>
    <row r="23" spans="1:10" s="4" customFormat="1" ht="30" customHeight="1" x14ac:dyDescent="0.2">
      <c r="A23" s="61" t="s">
        <v>24</v>
      </c>
      <c r="B23" s="63" t="s">
        <v>50</v>
      </c>
      <c r="C23" s="62" t="s">
        <v>26</v>
      </c>
      <c r="D23" s="63" t="s">
        <v>27</v>
      </c>
      <c r="E23" s="63">
        <v>1</v>
      </c>
      <c r="F23" s="66"/>
      <c r="G23" s="63">
        <f t="shared" si="0"/>
        <v>0</v>
      </c>
      <c r="H23" s="65"/>
      <c r="I23" s="5"/>
      <c r="J23" s="5"/>
    </row>
    <row r="24" spans="1:10" s="4" customFormat="1" ht="30" customHeight="1" x14ac:dyDescent="0.2">
      <c r="A24" s="61" t="s">
        <v>28</v>
      </c>
      <c r="B24" s="63" t="s">
        <v>51</v>
      </c>
      <c r="C24" s="62" t="s">
        <v>26</v>
      </c>
      <c r="D24" s="63" t="s">
        <v>27</v>
      </c>
      <c r="E24" s="63">
        <v>1</v>
      </c>
      <c r="F24" s="66"/>
      <c r="G24" s="63">
        <f t="shared" si="0"/>
        <v>0</v>
      </c>
      <c r="H24" s="65"/>
      <c r="I24" s="5"/>
      <c r="J24" s="5"/>
    </row>
    <row r="25" spans="1:10" s="4" customFormat="1" ht="30" customHeight="1" x14ac:dyDescent="0.2">
      <c r="A25" s="63" t="s">
        <v>52</v>
      </c>
      <c r="B25" s="63" t="s">
        <v>53</v>
      </c>
      <c r="C25" s="67"/>
      <c r="D25" s="63"/>
      <c r="E25" s="63"/>
      <c r="F25" s="66"/>
      <c r="G25" s="63"/>
      <c r="H25" s="65"/>
      <c r="I25" s="5"/>
      <c r="J25" s="5"/>
    </row>
    <row r="26" spans="1:10" s="4" customFormat="1" ht="30" customHeight="1" x14ac:dyDescent="0.2">
      <c r="A26" s="61" t="s">
        <v>24</v>
      </c>
      <c r="B26" s="63" t="s">
        <v>54</v>
      </c>
      <c r="C26" s="62" t="s">
        <v>26</v>
      </c>
      <c r="D26" s="63" t="s">
        <v>27</v>
      </c>
      <c r="E26" s="63">
        <v>1</v>
      </c>
      <c r="F26" s="66"/>
      <c r="G26" s="63">
        <f t="shared" si="0"/>
        <v>0</v>
      </c>
      <c r="H26" s="65"/>
      <c r="I26" s="5"/>
      <c r="J26" s="5"/>
    </row>
    <row r="27" spans="1:10" s="4" customFormat="1" ht="30" customHeight="1" x14ac:dyDescent="0.2">
      <c r="A27" s="61" t="s">
        <v>28</v>
      </c>
      <c r="B27" s="63" t="s">
        <v>55</v>
      </c>
      <c r="C27" s="62" t="s">
        <v>26</v>
      </c>
      <c r="D27" s="63" t="s">
        <v>27</v>
      </c>
      <c r="E27" s="63">
        <v>1</v>
      </c>
      <c r="F27" s="66"/>
      <c r="G27" s="63">
        <f t="shared" si="0"/>
        <v>0</v>
      </c>
      <c r="H27" s="65"/>
      <c r="I27" s="5"/>
      <c r="J27" s="5"/>
    </row>
    <row r="28" spans="1:10" s="4" customFormat="1" ht="30" customHeight="1" x14ac:dyDescent="0.2">
      <c r="A28" s="61" t="s">
        <v>40</v>
      </c>
      <c r="B28" s="63" t="s">
        <v>56</v>
      </c>
      <c r="C28" s="62" t="s">
        <v>26</v>
      </c>
      <c r="D28" s="63" t="s">
        <v>27</v>
      </c>
      <c r="E28" s="63">
        <v>1</v>
      </c>
      <c r="F28" s="66"/>
      <c r="G28" s="63">
        <f t="shared" si="0"/>
        <v>0</v>
      </c>
      <c r="H28" s="65"/>
      <c r="I28" s="5"/>
      <c r="J28" s="5"/>
    </row>
    <row r="29" spans="1:10" s="4" customFormat="1" ht="63.95" customHeight="1" x14ac:dyDescent="0.2">
      <c r="A29" s="61" t="s">
        <v>57</v>
      </c>
      <c r="B29" s="63" t="s">
        <v>58</v>
      </c>
      <c r="C29" s="62" t="s">
        <v>26</v>
      </c>
      <c r="D29" s="63" t="s">
        <v>27</v>
      </c>
      <c r="E29" s="63">
        <v>7</v>
      </c>
      <c r="F29" s="66"/>
      <c r="G29" s="63">
        <f t="shared" si="0"/>
        <v>0</v>
      </c>
      <c r="H29" s="68" t="s">
        <v>59</v>
      </c>
      <c r="I29" s="5"/>
      <c r="J29" s="5"/>
    </row>
    <row r="30" spans="1:10" s="4" customFormat="1" ht="30" customHeight="1" x14ac:dyDescent="0.2">
      <c r="A30" s="61" t="s">
        <v>60</v>
      </c>
      <c r="B30" s="63" t="s">
        <v>61</v>
      </c>
      <c r="C30" s="62" t="s">
        <v>26</v>
      </c>
      <c r="D30" s="63" t="s">
        <v>27</v>
      </c>
      <c r="E30" s="63">
        <v>1</v>
      </c>
      <c r="F30" s="66"/>
      <c r="G30" s="63">
        <f t="shared" si="0"/>
        <v>0</v>
      </c>
      <c r="H30" s="65"/>
      <c r="I30" s="5"/>
      <c r="J30" s="5"/>
    </row>
    <row r="31" spans="1:10" s="4" customFormat="1" ht="30" customHeight="1" x14ac:dyDescent="0.2">
      <c r="A31" s="61" t="s">
        <v>62</v>
      </c>
      <c r="B31" s="63" t="s">
        <v>63</v>
      </c>
      <c r="C31" s="62" t="s">
        <v>26</v>
      </c>
      <c r="D31" s="63" t="s">
        <v>27</v>
      </c>
      <c r="E31" s="63">
        <v>2</v>
      </c>
      <c r="F31" s="66"/>
      <c r="G31" s="63">
        <f t="shared" si="0"/>
        <v>0</v>
      </c>
      <c r="H31" s="65"/>
      <c r="I31" s="5"/>
      <c r="J31" s="5"/>
    </row>
    <row r="32" spans="1:10" s="4" customFormat="1" ht="30" customHeight="1" x14ac:dyDescent="0.2">
      <c r="A32" s="63" t="s">
        <v>64</v>
      </c>
      <c r="B32" s="63" t="s">
        <v>65</v>
      </c>
      <c r="C32" s="62"/>
      <c r="D32" s="63"/>
      <c r="E32" s="63"/>
      <c r="F32" s="66"/>
      <c r="G32" s="63"/>
      <c r="H32" s="65"/>
      <c r="I32" s="5"/>
      <c r="J32" s="5"/>
    </row>
    <row r="33" spans="1:10" s="4" customFormat="1" ht="30" customHeight="1" x14ac:dyDescent="0.2">
      <c r="A33" s="61" t="s">
        <v>24</v>
      </c>
      <c r="B33" s="63" t="s">
        <v>66</v>
      </c>
      <c r="C33" s="62" t="s">
        <v>26</v>
      </c>
      <c r="D33" s="63" t="s">
        <v>27</v>
      </c>
      <c r="E33" s="63">
        <v>1</v>
      </c>
      <c r="F33" s="66"/>
      <c r="G33" s="63">
        <f t="shared" si="0"/>
        <v>0</v>
      </c>
      <c r="H33" s="65"/>
      <c r="I33" s="5"/>
      <c r="J33" s="5"/>
    </row>
    <row r="34" spans="1:10" s="4" customFormat="1" ht="30" customHeight="1" x14ac:dyDescent="0.2">
      <c r="A34" s="61" t="s">
        <v>28</v>
      </c>
      <c r="B34" s="63" t="s">
        <v>67</v>
      </c>
      <c r="C34" s="62" t="s">
        <v>26</v>
      </c>
      <c r="D34" s="63" t="s">
        <v>27</v>
      </c>
      <c r="E34" s="63">
        <v>1</v>
      </c>
      <c r="F34" s="66"/>
      <c r="G34" s="63">
        <f t="shared" si="0"/>
        <v>0</v>
      </c>
      <c r="H34" s="65"/>
      <c r="I34" s="5"/>
      <c r="J34" s="5"/>
    </row>
    <row r="35" spans="1:10" s="4" customFormat="1" ht="30" customHeight="1" x14ac:dyDescent="0.2">
      <c r="A35" s="63" t="s">
        <v>68</v>
      </c>
      <c r="B35" s="63" t="s">
        <v>69</v>
      </c>
      <c r="C35" s="62"/>
      <c r="D35" s="63"/>
      <c r="E35" s="63"/>
      <c r="F35" s="66"/>
      <c r="G35" s="63"/>
      <c r="H35" s="65"/>
      <c r="I35" s="5"/>
      <c r="J35" s="5"/>
    </row>
    <row r="36" spans="1:10" s="4" customFormat="1" ht="30" customHeight="1" x14ac:dyDescent="0.2">
      <c r="A36" s="63" t="s">
        <v>70</v>
      </c>
      <c r="B36" s="63" t="s">
        <v>71</v>
      </c>
      <c r="C36" s="62"/>
      <c r="D36" s="63"/>
      <c r="E36" s="63"/>
      <c r="F36" s="66"/>
      <c r="G36" s="63"/>
      <c r="H36" s="65"/>
      <c r="I36" s="5"/>
      <c r="J36" s="5"/>
    </row>
    <row r="37" spans="1:10" s="4" customFormat="1" ht="30" customHeight="1" x14ac:dyDescent="0.2">
      <c r="A37" s="61" t="s">
        <v>24</v>
      </c>
      <c r="B37" s="63" t="s">
        <v>72</v>
      </c>
      <c r="C37" s="62" t="s">
        <v>26</v>
      </c>
      <c r="D37" s="63" t="s">
        <v>27</v>
      </c>
      <c r="E37" s="63">
        <v>1</v>
      </c>
      <c r="F37" s="66"/>
      <c r="G37" s="63">
        <f t="shared" si="0"/>
        <v>0</v>
      </c>
      <c r="H37" s="65"/>
      <c r="I37" s="5"/>
      <c r="J37" s="5"/>
    </row>
    <row r="38" spans="1:10" s="4" customFormat="1" ht="30" customHeight="1" x14ac:dyDescent="0.2">
      <c r="A38" s="61" t="s">
        <v>28</v>
      </c>
      <c r="B38" s="63" t="s">
        <v>73</v>
      </c>
      <c r="C38" s="62" t="s">
        <v>26</v>
      </c>
      <c r="D38" s="63" t="s">
        <v>27</v>
      </c>
      <c r="E38" s="63">
        <v>1</v>
      </c>
      <c r="F38" s="66"/>
      <c r="G38" s="63">
        <f t="shared" si="0"/>
        <v>0</v>
      </c>
      <c r="H38" s="65"/>
      <c r="I38" s="5"/>
      <c r="J38" s="5"/>
    </row>
    <row r="39" spans="1:10" s="4" customFormat="1" ht="30" customHeight="1" x14ac:dyDescent="0.2">
      <c r="A39" s="61" t="s">
        <v>40</v>
      </c>
      <c r="B39" s="63" t="s">
        <v>74</v>
      </c>
      <c r="C39" s="62" t="s">
        <v>26</v>
      </c>
      <c r="D39" s="63" t="s">
        <v>27</v>
      </c>
      <c r="E39" s="63">
        <v>1</v>
      </c>
      <c r="F39" s="66"/>
      <c r="G39" s="63">
        <f t="shared" si="0"/>
        <v>0</v>
      </c>
      <c r="H39" s="65"/>
      <c r="I39" s="5"/>
      <c r="J39" s="5"/>
    </row>
    <row r="40" spans="1:10" s="4" customFormat="1" ht="30" customHeight="1" x14ac:dyDescent="0.2">
      <c r="A40" s="63" t="s">
        <v>75</v>
      </c>
      <c r="B40" s="63" t="s">
        <v>76</v>
      </c>
      <c r="C40" s="67"/>
      <c r="D40" s="63"/>
      <c r="E40" s="63"/>
      <c r="F40" s="66"/>
      <c r="G40" s="63"/>
      <c r="H40" s="65"/>
      <c r="I40" s="5"/>
      <c r="J40" s="5"/>
    </row>
    <row r="41" spans="1:10" s="4" customFormat="1" ht="30" customHeight="1" x14ac:dyDescent="0.2">
      <c r="A41" s="61" t="s">
        <v>24</v>
      </c>
      <c r="B41" s="63" t="s">
        <v>77</v>
      </c>
      <c r="C41" s="62" t="s">
        <v>26</v>
      </c>
      <c r="D41" s="63" t="s">
        <v>27</v>
      </c>
      <c r="E41" s="63">
        <v>1</v>
      </c>
      <c r="F41" s="66"/>
      <c r="G41" s="63">
        <f t="shared" si="0"/>
        <v>0</v>
      </c>
      <c r="H41" s="65"/>
      <c r="I41" s="5"/>
      <c r="J41" s="5"/>
    </row>
    <row r="42" spans="1:10" s="4" customFormat="1" ht="30" customHeight="1" x14ac:dyDescent="0.2">
      <c r="A42" s="61" t="s">
        <v>28</v>
      </c>
      <c r="B42" s="63" t="s">
        <v>78</v>
      </c>
      <c r="C42" s="62" t="s">
        <v>26</v>
      </c>
      <c r="D42" s="63" t="s">
        <v>27</v>
      </c>
      <c r="E42" s="63">
        <v>1</v>
      </c>
      <c r="F42" s="66"/>
      <c r="G42" s="63">
        <f t="shared" si="0"/>
        <v>0</v>
      </c>
      <c r="H42" s="65"/>
      <c r="I42" s="5"/>
      <c r="J42" s="5"/>
    </row>
    <row r="43" spans="1:10" s="4" customFormat="1" ht="30" customHeight="1" x14ac:dyDescent="0.2">
      <c r="A43" s="61" t="s">
        <v>40</v>
      </c>
      <c r="B43" s="63" t="s">
        <v>79</v>
      </c>
      <c r="C43" s="62" t="s">
        <v>26</v>
      </c>
      <c r="D43" s="63" t="s">
        <v>27</v>
      </c>
      <c r="E43" s="63">
        <v>1</v>
      </c>
      <c r="F43" s="66"/>
      <c r="G43" s="63">
        <f t="shared" si="0"/>
        <v>0</v>
      </c>
      <c r="H43" s="65"/>
      <c r="I43" s="5"/>
      <c r="J43" s="5"/>
    </row>
    <row r="44" spans="1:10" s="4" customFormat="1" ht="30" customHeight="1" x14ac:dyDescent="0.2">
      <c r="A44" s="63" t="s">
        <v>80</v>
      </c>
      <c r="B44" s="63" t="s">
        <v>81</v>
      </c>
      <c r="C44" s="62"/>
      <c r="D44" s="63"/>
      <c r="E44" s="63"/>
      <c r="F44" s="66"/>
      <c r="G44" s="63"/>
      <c r="H44" s="65"/>
      <c r="I44" s="5"/>
      <c r="J44" s="5"/>
    </row>
    <row r="45" spans="1:10" s="4" customFormat="1" ht="30" customHeight="1" x14ac:dyDescent="0.2">
      <c r="A45" s="61" t="s">
        <v>24</v>
      </c>
      <c r="B45" s="63" t="s">
        <v>82</v>
      </c>
      <c r="C45" s="62" t="s">
        <v>26</v>
      </c>
      <c r="D45" s="63" t="s">
        <v>27</v>
      </c>
      <c r="E45" s="63">
        <v>1</v>
      </c>
      <c r="F45" s="66"/>
      <c r="G45" s="63">
        <f t="shared" si="0"/>
        <v>0</v>
      </c>
      <c r="H45" s="65"/>
      <c r="I45" s="5"/>
      <c r="J45" s="5"/>
    </row>
    <row r="46" spans="1:10" s="4" customFormat="1" ht="38.1" customHeight="1" x14ac:dyDescent="0.2">
      <c r="A46" s="61" t="s">
        <v>28</v>
      </c>
      <c r="B46" s="63" t="s">
        <v>83</v>
      </c>
      <c r="C46" s="62" t="s">
        <v>26</v>
      </c>
      <c r="D46" s="63" t="s">
        <v>27</v>
      </c>
      <c r="E46" s="63">
        <v>1</v>
      </c>
      <c r="F46" s="66"/>
      <c r="G46" s="63">
        <f t="shared" si="0"/>
        <v>0</v>
      </c>
      <c r="H46" s="65"/>
      <c r="I46" s="5"/>
      <c r="J46" s="5"/>
    </row>
    <row r="47" spans="1:10" s="4" customFormat="1" ht="30" customHeight="1" x14ac:dyDescent="0.2">
      <c r="A47" s="63" t="s">
        <v>84</v>
      </c>
      <c r="B47" s="63" t="s">
        <v>85</v>
      </c>
      <c r="C47" s="62"/>
      <c r="D47" s="63"/>
      <c r="E47" s="63"/>
      <c r="F47" s="66"/>
      <c r="G47" s="63"/>
      <c r="H47" s="65"/>
      <c r="I47" s="5"/>
      <c r="J47" s="5"/>
    </row>
    <row r="48" spans="1:10" s="4" customFormat="1" ht="30" customHeight="1" x14ac:dyDescent="0.2">
      <c r="A48" s="61" t="s">
        <v>24</v>
      </c>
      <c r="B48" s="63" t="s">
        <v>86</v>
      </c>
      <c r="C48" s="62" t="s">
        <v>26</v>
      </c>
      <c r="D48" s="63" t="s">
        <v>27</v>
      </c>
      <c r="E48" s="63">
        <v>1</v>
      </c>
      <c r="F48" s="66"/>
      <c r="G48" s="63">
        <f t="shared" si="0"/>
        <v>0</v>
      </c>
      <c r="H48" s="65"/>
      <c r="I48" s="5"/>
      <c r="J48" s="5"/>
    </row>
    <row r="49" spans="1:10" s="4" customFormat="1" ht="30" customHeight="1" x14ac:dyDescent="0.2">
      <c r="A49" s="61" t="s">
        <v>28</v>
      </c>
      <c r="B49" s="63" t="s">
        <v>87</v>
      </c>
      <c r="C49" s="62" t="s">
        <v>26</v>
      </c>
      <c r="D49" s="63" t="s">
        <v>27</v>
      </c>
      <c r="E49" s="63">
        <v>1</v>
      </c>
      <c r="F49" s="66"/>
      <c r="G49" s="63">
        <f t="shared" si="0"/>
        <v>0</v>
      </c>
      <c r="H49" s="65"/>
      <c r="I49" s="5"/>
      <c r="J49" s="5"/>
    </row>
    <row r="50" spans="1:10" s="4" customFormat="1" ht="30" customHeight="1" x14ac:dyDescent="0.2">
      <c r="A50" s="61" t="s">
        <v>40</v>
      </c>
      <c r="B50" s="63" t="s">
        <v>88</v>
      </c>
      <c r="C50" s="62" t="s">
        <v>26</v>
      </c>
      <c r="D50" s="63" t="s">
        <v>27</v>
      </c>
      <c r="E50" s="63">
        <v>1</v>
      </c>
      <c r="F50" s="66"/>
      <c r="G50" s="63">
        <f t="shared" si="0"/>
        <v>0</v>
      </c>
      <c r="H50" s="65"/>
      <c r="I50" s="5"/>
      <c r="J50" s="5"/>
    </row>
    <row r="51" spans="1:10" s="4" customFormat="1" ht="30" customHeight="1" x14ac:dyDescent="0.2">
      <c r="A51" s="63" t="s">
        <v>89</v>
      </c>
      <c r="B51" s="63" t="s">
        <v>90</v>
      </c>
      <c r="C51" s="62"/>
      <c r="D51" s="63"/>
      <c r="E51" s="63"/>
      <c r="F51" s="66"/>
      <c r="G51" s="63"/>
      <c r="H51" s="65"/>
      <c r="I51" s="5"/>
      <c r="J51" s="5"/>
    </row>
    <row r="52" spans="1:10" s="4" customFormat="1" ht="30" customHeight="1" x14ac:dyDescent="0.2">
      <c r="A52" s="61" t="s">
        <v>24</v>
      </c>
      <c r="B52" s="63" t="s">
        <v>91</v>
      </c>
      <c r="C52" s="62" t="s">
        <v>26</v>
      </c>
      <c r="D52" s="63" t="s">
        <v>27</v>
      </c>
      <c r="E52" s="63">
        <v>1</v>
      </c>
      <c r="F52" s="66"/>
      <c r="G52" s="63">
        <f t="shared" si="0"/>
        <v>0</v>
      </c>
      <c r="H52" s="65"/>
      <c r="I52" s="5"/>
      <c r="J52" s="5"/>
    </row>
    <row r="53" spans="1:10" s="4" customFormat="1" ht="30" customHeight="1" x14ac:dyDescent="0.2">
      <c r="A53" s="61" t="s">
        <v>28</v>
      </c>
      <c r="B53" s="63" t="s">
        <v>92</v>
      </c>
      <c r="C53" s="62" t="s">
        <v>26</v>
      </c>
      <c r="D53" s="63" t="s">
        <v>27</v>
      </c>
      <c r="E53" s="63">
        <v>1</v>
      </c>
      <c r="F53" s="66"/>
      <c r="G53" s="63">
        <f t="shared" si="0"/>
        <v>0</v>
      </c>
      <c r="H53" s="65"/>
      <c r="I53" s="5"/>
      <c r="J53" s="5"/>
    </row>
    <row r="54" spans="1:10" s="4" customFormat="1" ht="30" customHeight="1" x14ac:dyDescent="0.2">
      <c r="A54" s="63" t="s">
        <v>93</v>
      </c>
      <c r="B54" s="63" t="s">
        <v>94</v>
      </c>
      <c r="C54" s="62"/>
      <c r="D54" s="63"/>
      <c r="E54" s="63"/>
      <c r="F54" s="66"/>
      <c r="G54" s="63"/>
      <c r="H54" s="65"/>
      <c r="I54" s="5"/>
      <c r="J54" s="5"/>
    </row>
    <row r="55" spans="1:10" s="4" customFormat="1" ht="30" customHeight="1" x14ac:dyDescent="0.2">
      <c r="A55" s="63" t="s">
        <v>95</v>
      </c>
      <c r="B55" s="63" t="s">
        <v>96</v>
      </c>
      <c r="C55" s="62"/>
      <c r="D55" s="63"/>
      <c r="E55" s="63"/>
      <c r="F55" s="66"/>
      <c r="G55" s="63"/>
      <c r="H55" s="65"/>
      <c r="I55" s="5"/>
      <c r="J55" s="5"/>
    </row>
    <row r="56" spans="1:10" s="4" customFormat="1" ht="30" customHeight="1" x14ac:dyDescent="0.2">
      <c r="A56" s="61" t="s">
        <v>24</v>
      </c>
      <c r="B56" s="63" t="s">
        <v>97</v>
      </c>
      <c r="C56" s="62" t="s">
        <v>26</v>
      </c>
      <c r="D56" s="63" t="s">
        <v>27</v>
      </c>
      <c r="E56" s="63">
        <v>1</v>
      </c>
      <c r="F56" s="66"/>
      <c r="G56" s="63">
        <f t="shared" si="0"/>
        <v>0</v>
      </c>
      <c r="H56" s="65"/>
      <c r="I56" s="5"/>
      <c r="J56" s="5"/>
    </row>
    <row r="57" spans="1:10" s="4" customFormat="1" ht="30" customHeight="1" x14ac:dyDescent="0.2">
      <c r="A57" s="61" t="s">
        <v>28</v>
      </c>
      <c r="B57" s="63" t="s">
        <v>98</v>
      </c>
      <c r="C57" s="62" t="s">
        <v>26</v>
      </c>
      <c r="D57" s="63" t="s">
        <v>27</v>
      </c>
      <c r="E57" s="63">
        <v>1</v>
      </c>
      <c r="F57" s="66"/>
      <c r="G57" s="63">
        <f t="shared" si="0"/>
        <v>0</v>
      </c>
      <c r="H57" s="65"/>
      <c r="I57" s="5"/>
      <c r="J57" s="5"/>
    </row>
    <row r="58" spans="1:10" s="4" customFormat="1" ht="30" customHeight="1" x14ac:dyDescent="0.2">
      <c r="A58" s="61" t="s">
        <v>40</v>
      </c>
      <c r="B58" s="63" t="s">
        <v>99</v>
      </c>
      <c r="C58" s="62" t="s">
        <v>26</v>
      </c>
      <c r="D58" s="63" t="s">
        <v>27</v>
      </c>
      <c r="E58" s="63">
        <v>1</v>
      </c>
      <c r="F58" s="66"/>
      <c r="G58" s="63">
        <f t="shared" si="0"/>
        <v>0</v>
      </c>
      <c r="H58" s="65"/>
      <c r="I58" s="5"/>
      <c r="J58" s="5"/>
    </row>
    <row r="59" spans="1:10" s="4" customFormat="1" ht="30" customHeight="1" x14ac:dyDescent="0.2">
      <c r="A59" s="63" t="s">
        <v>100</v>
      </c>
      <c r="B59" s="63" t="s">
        <v>101</v>
      </c>
      <c r="C59" s="62"/>
      <c r="D59" s="63"/>
      <c r="E59" s="63"/>
      <c r="F59" s="66"/>
      <c r="G59" s="63"/>
      <c r="H59" s="65"/>
      <c r="I59" s="5"/>
      <c r="J59" s="5"/>
    </row>
    <row r="60" spans="1:10" s="4" customFormat="1" ht="30" customHeight="1" x14ac:dyDescent="0.2">
      <c r="A60" s="61" t="s">
        <v>24</v>
      </c>
      <c r="B60" s="63" t="s">
        <v>97</v>
      </c>
      <c r="C60" s="62" t="s">
        <v>26</v>
      </c>
      <c r="D60" s="63" t="s">
        <v>27</v>
      </c>
      <c r="E60" s="63">
        <v>1</v>
      </c>
      <c r="F60" s="66"/>
      <c r="G60" s="63">
        <f t="shared" si="0"/>
        <v>0</v>
      </c>
      <c r="H60" s="65"/>
      <c r="I60" s="5"/>
      <c r="J60" s="5"/>
    </row>
    <row r="61" spans="1:10" s="4" customFormat="1" ht="30" customHeight="1" x14ac:dyDescent="0.2">
      <c r="A61" s="61" t="s">
        <v>28</v>
      </c>
      <c r="B61" s="63" t="s">
        <v>102</v>
      </c>
      <c r="C61" s="62" t="s">
        <v>26</v>
      </c>
      <c r="D61" s="63" t="s">
        <v>27</v>
      </c>
      <c r="E61" s="63">
        <v>1</v>
      </c>
      <c r="F61" s="66"/>
      <c r="G61" s="63">
        <f t="shared" si="0"/>
        <v>0</v>
      </c>
      <c r="H61" s="65"/>
      <c r="I61" s="5"/>
      <c r="J61" s="5"/>
    </row>
    <row r="62" spans="1:10" s="4" customFormat="1" ht="30" customHeight="1" x14ac:dyDescent="0.2">
      <c r="A62" s="61" t="s">
        <v>40</v>
      </c>
      <c r="B62" s="63" t="s">
        <v>99</v>
      </c>
      <c r="C62" s="62" t="s">
        <v>26</v>
      </c>
      <c r="D62" s="63" t="s">
        <v>27</v>
      </c>
      <c r="E62" s="63">
        <v>1</v>
      </c>
      <c r="F62" s="66"/>
      <c r="G62" s="63">
        <f t="shared" si="0"/>
        <v>0</v>
      </c>
      <c r="H62" s="65"/>
      <c r="I62" s="5"/>
      <c r="J62" s="5"/>
    </row>
    <row r="63" spans="1:10" s="4" customFormat="1" ht="30" customHeight="1" x14ac:dyDescent="0.2">
      <c r="A63" s="61" t="s">
        <v>57</v>
      </c>
      <c r="B63" s="63" t="s">
        <v>103</v>
      </c>
      <c r="C63" s="62" t="s">
        <v>26</v>
      </c>
      <c r="D63" s="63" t="s">
        <v>27</v>
      </c>
      <c r="E63" s="63">
        <v>1</v>
      </c>
      <c r="F63" s="66"/>
      <c r="G63" s="63">
        <f t="shared" si="0"/>
        <v>0</v>
      </c>
      <c r="H63" s="65"/>
      <c r="I63" s="5"/>
      <c r="J63" s="5"/>
    </row>
    <row r="64" spans="1:10" s="4" customFormat="1" ht="30" customHeight="1" x14ac:dyDescent="0.2">
      <c r="A64" s="63" t="s">
        <v>104</v>
      </c>
      <c r="B64" s="63" t="s">
        <v>105</v>
      </c>
      <c r="C64" s="62"/>
      <c r="D64" s="63"/>
      <c r="E64" s="63"/>
      <c r="F64" s="66"/>
      <c r="G64" s="63"/>
      <c r="H64" s="65"/>
      <c r="I64" s="5"/>
      <c r="J64" s="5"/>
    </row>
    <row r="65" spans="1:10" s="4" customFormat="1" ht="30" customHeight="1" x14ac:dyDescent="0.2">
      <c r="A65" s="61" t="s">
        <v>24</v>
      </c>
      <c r="B65" s="63" t="s">
        <v>106</v>
      </c>
      <c r="C65" s="62" t="s">
        <v>26</v>
      </c>
      <c r="D65" s="63" t="s">
        <v>27</v>
      </c>
      <c r="E65" s="63">
        <v>1</v>
      </c>
      <c r="F65" s="66"/>
      <c r="G65" s="63">
        <f t="shared" si="0"/>
        <v>0</v>
      </c>
      <c r="H65" s="65"/>
      <c r="I65" s="5"/>
      <c r="J65" s="5"/>
    </row>
    <row r="66" spans="1:10" s="4" customFormat="1" ht="30" customHeight="1" x14ac:dyDescent="0.2">
      <c r="A66" s="61" t="s">
        <v>28</v>
      </c>
      <c r="B66" s="63" t="s">
        <v>107</v>
      </c>
      <c r="C66" s="62" t="s">
        <v>26</v>
      </c>
      <c r="D66" s="63" t="s">
        <v>27</v>
      </c>
      <c r="E66" s="63">
        <v>1</v>
      </c>
      <c r="F66" s="66"/>
      <c r="G66" s="63">
        <f t="shared" si="0"/>
        <v>0</v>
      </c>
      <c r="H66" s="65"/>
      <c r="I66" s="5"/>
      <c r="J66" s="5"/>
    </row>
    <row r="67" spans="1:10" s="4" customFormat="1" ht="30" customHeight="1" x14ac:dyDescent="0.2">
      <c r="A67" s="61" t="s">
        <v>40</v>
      </c>
      <c r="B67" s="63" t="s">
        <v>108</v>
      </c>
      <c r="C67" s="62" t="s">
        <v>26</v>
      </c>
      <c r="D67" s="63" t="s">
        <v>27</v>
      </c>
      <c r="E67" s="63">
        <v>1</v>
      </c>
      <c r="F67" s="66"/>
      <c r="G67" s="63">
        <f t="shared" si="0"/>
        <v>0</v>
      </c>
      <c r="H67" s="65"/>
      <c r="I67" s="5"/>
      <c r="J67" s="5"/>
    </row>
    <row r="68" spans="1:10" s="4" customFormat="1" ht="30" customHeight="1" x14ac:dyDescent="0.2">
      <c r="A68" s="61" t="s">
        <v>57</v>
      </c>
      <c r="B68" s="63" t="s">
        <v>99</v>
      </c>
      <c r="C68" s="62" t="s">
        <v>26</v>
      </c>
      <c r="D68" s="63" t="s">
        <v>27</v>
      </c>
      <c r="E68" s="63">
        <v>1</v>
      </c>
      <c r="F68" s="66"/>
      <c r="G68" s="63">
        <f t="shared" si="0"/>
        <v>0</v>
      </c>
      <c r="H68" s="65"/>
      <c r="I68" s="5"/>
      <c r="J68" s="5"/>
    </row>
    <row r="69" spans="1:10" s="4" customFormat="1" ht="30" customHeight="1" x14ac:dyDescent="0.2">
      <c r="A69" s="63" t="s">
        <v>109</v>
      </c>
      <c r="B69" s="63" t="s">
        <v>110</v>
      </c>
      <c r="C69" s="62"/>
      <c r="D69" s="63"/>
      <c r="E69" s="63"/>
      <c r="F69" s="66"/>
      <c r="G69" s="63"/>
      <c r="H69" s="65"/>
      <c r="I69" s="5"/>
      <c r="J69" s="5"/>
    </row>
    <row r="70" spans="1:10" s="4" customFormat="1" ht="30" customHeight="1" x14ac:dyDescent="0.2">
      <c r="A70" s="61" t="s">
        <v>24</v>
      </c>
      <c r="B70" s="68" t="s">
        <v>111</v>
      </c>
      <c r="C70" s="62" t="s">
        <v>26</v>
      </c>
      <c r="D70" s="63" t="s">
        <v>27</v>
      </c>
      <c r="E70" s="63">
        <v>1</v>
      </c>
      <c r="F70" s="66"/>
      <c r="G70" s="63">
        <f t="shared" si="0"/>
        <v>0</v>
      </c>
      <c r="H70" s="65"/>
      <c r="I70" s="5"/>
      <c r="J70" s="5"/>
    </row>
    <row r="71" spans="1:10" s="4" customFormat="1" ht="30" customHeight="1" x14ac:dyDescent="0.2">
      <c r="A71" s="61" t="s">
        <v>28</v>
      </c>
      <c r="B71" s="68" t="s">
        <v>112</v>
      </c>
      <c r="C71" s="62" t="s">
        <v>26</v>
      </c>
      <c r="D71" s="63" t="s">
        <v>27</v>
      </c>
      <c r="E71" s="63">
        <v>1</v>
      </c>
      <c r="F71" s="66"/>
      <c r="G71" s="63">
        <f t="shared" si="0"/>
        <v>0</v>
      </c>
      <c r="H71" s="65"/>
      <c r="I71" s="5"/>
      <c r="J71" s="5"/>
    </row>
    <row r="72" spans="1:10" s="4" customFormat="1" ht="30" customHeight="1" x14ac:dyDescent="0.2">
      <c r="A72" s="61" t="s">
        <v>40</v>
      </c>
      <c r="B72" s="68" t="s">
        <v>113</v>
      </c>
      <c r="C72" s="62" t="s">
        <v>26</v>
      </c>
      <c r="D72" s="63" t="s">
        <v>27</v>
      </c>
      <c r="E72" s="63">
        <v>1</v>
      </c>
      <c r="F72" s="66"/>
      <c r="G72" s="63">
        <f t="shared" si="0"/>
        <v>0</v>
      </c>
      <c r="H72" s="65"/>
      <c r="I72" s="5"/>
      <c r="J72" s="5"/>
    </row>
    <row r="73" spans="1:10" s="4" customFormat="1" ht="30" customHeight="1" x14ac:dyDescent="0.2">
      <c r="A73" s="61" t="s">
        <v>57</v>
      </c>
      <c r="B73" s="68" t="s">
        <v>114</v>
      </c>
      <c r="C73" s="62" t="s">
        <v>26</v>
      </c>
      <c r="D73" s="63" t="s">
        <v>27</v>
      </c>
      <c r="E73" s="63">
        <v>1</v>
      </c>
      <c r="F73" s="66"/>
      <c r="G73" s="63">
        <f t="shared" ref="G73:G136" si="1">ROUND(E73*F73,2)</f>
        <v>0</v>
      </c>
      <c r="H73" s="65"/>
      <c r="I73" s="5"/>
      <c r="J73" s="5"/>
    </row>
    <row r="74" spans="1:10" s="4" customFormat="1" ht="30" customHeight="1" x14ac:dyDescent="0.2">
      <c r="A74" s="63" t="s">
        <v>115</v>
      </c>
      <c r="B74" s="63" t="s">
        <v>116</v>
      </c>
      <c r="C74" s="62"/>
      <c r="D74" s="63"/>
      <c r="E74" s="63"/>
      <c r="F74" s="66"/>
      <c r="G74" s="63"/>
      <c r="H74" s="65"/>
      <c r="I74" s="5"/>
      <c r="J74" s="5"/>
    </row>
    <row r="75" spans="1:10" s="4" customFormat="1" ht="30" customHeight="1" x14ac:dyDescent="0.2">
      <c r="A75" s="61" t="s">
        <v>24</v>
      </c>
      <c r="B75" s="63" t="s">
        <v>117</v>
      </c>
      <c r="C75" s="62" t="s">
        <v>26</v>
      </c>
      <c r="D75" s="63" t="s">
        <v>27</v>
      </c>
      <c r="E75" s="63">
        <v>1</v>
      </c>
      <c r="F75" s="66"/>
      <c r="G75" s="63">
        <f t="shared" si="1"/>
        <v>0</v>
      </c>
      <c r="H75" s="65"/>
      <c r="I75" s="5"/>
      <c r="J75" s="5"/>
    </row>
    <row r="76" spans="1:10" s="4" customFormat="1" ht="30" customHeight="1" x14ac:dyDescent="0.2">
      <c r="A76" s="61" t="s">
        <v>28</v>
      </c>
      <c r="B76" s="63" t="s">
        <v>118</v>
      </c>
      <c r="C76" s="62" t="s">
        <v>26</v>
      </c>
      <c r="D76" s="63" t="s">
        <v>27</v>
      </c>
      <c r="E76" s="63">
        <v>1</v>
      </c>
      <c r="F76" s="66"/>
      <c r="G76" s="63">
        <f t="shared" si="1"/>
        <v>0</v>
      </c>
      <c r="H76" s="65"/>
      <c r="I76" s="5"/>
      <c r="J76" s="5"/>
    </row>
    <row r="77" spans="1:10" s="4" customFormat="1" ht="30" customHeight="1" x14ac:dyDescent="0.2">
      <c r="A77" s="61" t="s">
        <v>40</v>
      </c>
      <c r="B77" s="68" t="s">
        <v>119</v>
      </c>
      <c r="C77" s="62" t="s">
        <v>26</v>
      </c>
      <c r="D77" s="63" t="s">
        <v>27</v>
      </c>
      <c r="E77" s="63">
        <v>1</v>
      </c>
      <c r="F77" s="66"/>
      <c r="G77" s="63">
        <f t="shared" si="1"/>
        <v>0</v>
      </c>
      <c r="H77" s="65"/>
      <c r="I77" s="5"/>
      <c r="J77" s="5"/>
    </row>
    <row r="78" spans="1:10" s="4" customFormat="1" ht="30" customHeight="1" x14ac:dyDescent="0.2">
      <c r="A78" s="63" t="s">
        <v>120</v>
      </c>
      <c r="B78" s="63" t="s">
        <v>121</v>
      </c>
      <c r="C78" s="62" t="s">
        <v>26</v>
      </c>
      <c r="D78" s="63" t="s">
        <v>27</v>
      </c>
      <c r="E78" s="63">
        <v>2</v>
      </c>
      <c r="F78" s="66"/>
      <c r="G78" s="63">
        <f t="shared" si="1"/>
        <v>0</v>
      </c>
      <c r="H78" s="65"/>
      <c r="I78" s="5"/>
      <c r="J78" s="5"/>
    </row>
    <row r="79" spans="1:10" s="4" customFormat="1" ht="30" customHeight="1" x14ac:dyDescent="0.2">
      <c r="A79" s="63" t="s">
        <v>122</v>
      </c>
      <c r="B79" s="63" t="s">
        <v>123</v>
      </c>
      <c r="C79" s="62"/>
      <c r="D79" s="63"/>
      <c r="E79" s="63"/>
      <c r="F79" s="66"/>
      <c r="G79" s="63"/>
      <c r="H79" s="65"/>
      <c r="I79" s="5"/>
      <c r="J79" s="5"/>
    </row>
    <row r="80" spans="1:10" s="4" customFormat="1" ht="30" customHeight="1" x14ac:dyDescent="0.2">
      <c r="A80" s="61" t="s">
        <v>24</v>
      </c>
      <c r="B80" s="63" t="s">
        <v>124</v>
      </c>
      <c r="C80" s="64" t="s">
        <v>125</v>
      </c>
      <c r="D80" s="63" t="s">
        <v>27</v>
      </c>
      <c r="E80" s="63">
        <v>1</v>
      </c>
      <c r="F80" s="66"/>
      <c r="G80" s="63">
        <f t="shared" si="1"/>
        <v>0</v>
      </c>
      <c r="H80" s="65"/>
      <c r="I80" s="5"/>
      <c r="J80" s="5"/>
    </row>
    <row r="81" spans="1:10" s="4" customFormat="1" ht="30" customHeight="1" x14ac:dyDescent="0.2">
      <c r="A81" s="61" t="s">
        <v>28</v>
      </c>
      <c r="B81" s="63" t="s">
        <v>126</v>
      </c>
      <c r="C81" s="62" t="s">
        <v>26</v>
      </c>
      <c r="D81" s="63" t="s">
        <v>27</v>
      </c>
      <c r="E81" s="63">
        <v>1</v>
      </c>
      <c r="F81" s="66"/>
      <c r="G81" s="63">
        <f t="shared" si="1"/>
        <v>0</v>
      </c>
      <c r="H81" s="65"/>
      <c r="I81" s="5"/>
      <c r="J81" s="5"/>
    </row>
    <row r="82" spans="1:10" s="4" customFormat="1" ht="30" customHeight="1" x14ac:dyDescent="0.2">
      <c r="A82" s="61" t="s">
        <v>40</v>
      </c>
      <c r="B82" s="63" t="s">
        <v>127</v>
      </c>
      <c r="C82" s="62" t="s">
        <v>26</v>
      </c>
      <c r="D82" s="63" t="s">
        <v>27</v>
      </c>
      <c r="E82" s="63">
        <v>2</v>
      </c>
      <c r="F82" s="66"/>
      <c r="G82" s="63">
        <f t="shared" si="1"/>
        <v>0</v>
      </c>
      <c r="H82" s="65"/>
      <c r="I82" s="5"/>
      <c r="J82" s="5"/>
    </row>
    <row r="83" spans="1:10" s="4" customFormat="1" ht="38.1" customHeight="1" x14ac:dyDescent="0.2">
      <c r="A83" s="61" t="s">
        <v>57</v>
      </c>
      <c r="B83" s="63" t="s">
        <v>128</v>
      </c>
      <c r="C83" s="62" t="s">
        <v>26</v>
      </c>
      <c r="D83" s="63" t="s">
        <v>27</v>
      </c>
      <c r="E83" s="63">
        <v>2</v>
      </c>
      <c r="F83" s="66"/>
      <c r="G83" s="63">
        <f t="shared" si="1"/>
        <v>0</v>
      </c>
      <c r="H83" s="65"/>
      <c r="I83" s="5"/>
      <c r="J83" s="5"/>
    </row>
    <row r="84" spans="1:10" s="4" customFormat="1" ht="30" customHeight="1" x14ac:dyDescent="0.2">
      <c r="A84" s="61" t="s">
        <v>60</v>
      </c>
      <c r="B84" s="63" t="s">
        <v>129</v>
      </c>
      <c r="C84" s="62" t="s">
        <v>26</v>
      </c>
      <c r="D84" s="63" t="s">
        <v>27</v>
      </c>
      <c r="E84" s="63">
        <v>1</v>
      </c>
      <c r="F84" s="66"/>
      <c r="G84" s="63">
        <f t="shared" si="1"/>
        <v>0</v>
      </c>
      <c r="H84" s="65"/>
      <c r="I84" s="5"/>
      <c r="J84" s="5"/>
    </row>
    <row r="85" spans="1:10" s="4" customFormat="1" ht="30" customHeight="1" x14ac:dyDescent="0.2">
      <c r="A85" s="69" t="s">
        <v>62</v>
      </c>
      <c r="B85" s="68" t="s">
        <v>130</v>
      </c>
      <c r="C85" s="70" t="s">
        <v>131</v>
      </c>
      <c r="D85" s="65" t="s">
        <v>27</v>
      </c>
      <c r="E85" s="65">
        <v>1</v>
      </c>
      <c r="F85" s="71"/>
      <c r="G85" s="63">
        <f t="shared" si="1"/>
        <v>0</v>
      </c>
      <c r="H85" s="65"/>
      <c r="I85" s="5"/>
      <c r="J85" s="5"/>
    </row>
    <row r="86" spans="1:10" s="3" customFormat="1" ht="30" customHeight="1" x14ac:dyDescent="0.2">
      <c r="A86" s="69" t="s">
        <v>132</v>
      </c>
      <c r="B86" s="63" t="s">
        <v>133</v>
      </c>
      <c r="C86" s="70" t="s">
        <v>134</v>
      </c>
      <c r="D86" s="72" t="s">
        <v>27</v>
      </c>
      <c r="E86" s="72">
        <v>1</v>
      </c>
      <c r="F86" s="73"/>
      <c r="G86" s="63">
        <f t="shared" si="1"/>
        <v>0</v>
      </c>
      <c r="H86" s="65"/>
    </row>
    <row r="87" spans="1:10" s="3" customFormat="1" ht="30" customHeight="1" x14ac:dyDescent="0.2">
      <c r="A87" s="69" t="s">
        <v>135</v>
      </c>
      <c r="B87" s="63" t="s">
        <v>136</v>
      </c>
      <c r="C87" s="70" t="s">
        <v>137</v>
      </c>
      <c r="D87" s="72" t="s">
        <v>27</v>
      </c>
      <c r="E87" s="72">
        <v>1</v>
      </c>
      <c r="F87" s="73"/>
      <c r="G87" s="63">
        <f t="shared" si="1"/>
        <v>0</v>
      </c>
      <c r="H87" s="65"/>
    </row>
    <row r="88" spans="1:10" s="3" customFormat="1" ht="30" customHeight="1" x14ac:dyDescent="0.2">
      <c r="A88" s="17" t="s">
        <v>138</v>
      </c>
      <c r="B88" s="18" t="s">
        <v>139</v>
      </c>
      <c r="C88" s="19"/>
      <c r="D88" s="18"/>
      <c r="E88" s="18"/>
      <c r="F88" s="28"/>
      <c r="G88" s="20"/>
      <c r="H88" s="18"/>
    </row>
    <row r="89" spans="1:10" s="3" customFormat="1" ht="30" customHeight="1" x14ac:dyDescent="0.2">
      <c r="A89" s="17" t="s">
        <v>140</v>
      </c>
      <c r="B89" s="18" t="s">
        <v>141</v>
      </c>
      <c r="C89" s="19"/>
      <c r="D89" s="18"/>
      <c r="E89" s="18"/>
      <c r="F89" s="28"/>
      <c r="G89" s="20"/>
      <c r="H89" s="18"/>
    </row>
    <row r="90" spans="1:10" s="3" customFormat="1" ht="54.95" customHeight="1" x14ac:dyDescent="0.2">
      <c r="A90" s="29" t="s">
        <v>24</v>
      </c>
      <c r="B90" s="20" t="s">
        <v>142</v>
      </c>
      <c r="C90" s="21" t="s">
        <v>143</v>
      </c>
      <c r="D90" s="20" t="s">
        <v>27</v>
      </c>
      <c r="E90" s="20">
        <v>1</v>
      </c>
      <c r="F90" s="23"/>
      <c r="G90" s="20">
        <f t="shared" si="1"/>
        <v>0</v>
      </c>
      <c r="H90" s="22"/>
    </row>
    <row r="91" spans="1:10" s="3" customFormat="1" ht="54.95" customHeight="1" x14ac:dyDescent="0.2">
      <c r="A91" s="29" t="s">
        <v>28</v>
      </c>
      <c r="B91" s="20" t="s">
        <v>144</v>
      </c>
      <c r="C91" s="21" t="s">
        <v>145</v>
      </c>
      <c r="D91" s="20" t="s">
        <v>27</v>
      </c>
      <c r="E91" s="20">
        <v>1</v>
      </c>
      <c r="F91" s="23"/>
      <c r="G91" s="20">
        <f t="shared" si="1"/>
        <v>0</v>
      </c>
      <c r="H91" s="22"/>
    </row>
    <row r="92" spans="1:10" s="3" customFormat="1" ht="54.95" customHeight="1" x14ac:dyDescent="0.2">
      <c r="A92" s="29" t="s">
        <v>40</v>
      </c>
      <c r="B92" s="20" t="s">
        <v>146</v>
      </c>
      <c r="C92" s="21" t="s">
        <v>147</v>
      </c>
      <c r="D92" s="20" t="s">
        <v>27</v>
      </c>
      <c r="E92" s="20">
        <v>1</v>
      </c>
      <c r="F92" s="23"/>
      <c r="G92" s="20">
        <f t="shared" si="1"/>
        <v>0</v>
      </c>
      <c r="H92" s="22"/>
    </row>
    <row r="93" spans="1:10" s="3" customFormat="1" ht="74.099999999999994" customHeight="1" x14ac:dyDescent="0.2">
      <c r="A93" s="29" t="s">
        <v>57</v>
      </c>
      <c r="B93" s="20" t="s">
        <v>148</v>
      </c>
      <c r="C93" s="21" t="s">
        <v>149</v>
      </c>
      <c r="D93" s="20" t="s">
        <v>27</v>
      </c>
      <c r="E93" s="20">
        <v>1</v>
      </c>
      <c r="F93" s="23"/>
      <c r="G93" s="20">
        <f t="shared" si="1"/>
        <v>0</v>
      </c>
      <c r="H93" s="22"/>
    </row>
    <row r="94" spans="1:10" s="3" customFormat="1" ht="42.95" customHeight="1" x14ac:dyDescent="0.2">
      <c r="A94" s="29" t="s">
        <v>60</v>
      </c>
      <c r="B94" s="20" t="s">
        <v>150</v>
      </c>
      <c r="C94" s="21" t="s">
        <v>151</v>
      </c>
      <c r="D94" s="20" t="s">
        <v>27</v>
      </c>
      <c r="E94" s="20">
        <v>1</v>
      </c>
      <c r="F94" s="23"/>
      <c r="G94" s="20">
        <f t="shared" si="1"/>
        <v>0</v>
      </c>
      <c r="H94" s="22"/>
    </row>
    <row r="95" spans="1:10" s="3" customFormat="1" ht="60.95" customHeight="1" x14ac:dyDescent="0.2">
      <c r="A95" s="29" t="s">
        <v>62</v>
      </c>
      <c r="B95" s="20" t="s">
        <v>152</v>
      </c>
      <c r="C95" s="21" t="s">
        <v>153</v>
      </c>
      <c r="D95" s="20" t="s">
        <v>27</v>
      </c>
      <c r="E95" s="20">
        <v>1</v>
      </c>
      <c r="F95" s="23"/>
      <c r="G95" s="20">
        <f t="shared" si="1"/>
        <v>0</v>
      </c>
      <c r="H95" s="22"/>
    </row>
    <row r="96" spans="1:10" s="3" customFormat="1" ht="30" customHeight="1" x14ac:dyDescent="0.2">
      <c r="A96" s="17" t="s">
        <v>154</v>
      </c>
      <c r="B96" s="18" t="s">
        <v>155</v>
      </c>
      <c r="C96" s="19"/>
      <c r="D96" s="18"/>
      <c r="E96" s="18"/>
      <c r="F96" s="28"/>
      <c r="G96" s="20"/>
      <c r="H96" s="18"/>
    </row>
    <row r="97" spans="1:8" s="3" customFormat="1" ht="102.95" customHeight="1" x14ac:dyDescent="0.2">
      <c r="A97" s="29" t="s">
        <v>24</v>
      </c>
      <c r="B97" s="20" t="s">
        <v>156</v>
      </c>
      <c r="C97" s="19" t="s">
        <v>157</v>
      </c>
      <c r="D97" s="20" t="s">
        <v>27</v>
      </c>
      <c r="E97" s="20">
        <v>1</v>
      </c>
      <c r="F97" s="23"/>
      <c r="G97" s="20">
        <f t="shared" si="1"/>
        <v>0</v>
      </c>
      <c r="H97" s="22"/>
    </row>
    <row r="98" spans="1:8" s="3" customFormat="1" ht="102.95" customHeight="1" x14ac:dyDescent="0.2">
      <c r="A98" s="29" t="s">
        <v>28</v>
      </c>
      <c r="B98" s="20" t="s">
        <v>158</v>
      </c>
      <c r="C98" s="19" t="s">
        <v>159</v>
      </c>
      <c r="D98" s="20" t="s">
        <v>27</v>
      </c>
      <c r="E98" s="20">
        <v>1</v>
      </c>
      <c r="F98" s="23"/>
      <c r="G98" s="20">
        <f t="shared" si="1"/>
        <v>0</v>
      </c>
      <c r="H98" s="22"/>
    </row>
    <row r="99" spans="1:8" s="3" customFormat="1" ht="71.099999999999994" customHeight="1" x14ac:dyDescent="0.2">
      <c r="A99" s="29" t="s">
        <v>40</v>
      </c>
      <c r="B99" s="20" t="s">
        <v>160</v>
      </c>
      <c r="C99" s="21" t="s">
        <v>161</v>
      </c>
      <c r="D99" s="20" t="s">
        <v>27</v>
      </c>
      <c r="E99" s="20">
        <v>1</v>
      </c>
      <c r="F99" s="23"/>
      <c r="G99" s="20">
        <f t="shared" si="1"/>
        <v>0</v>
      </c>
      <c r="H99" s="22"/>
    </row>
    <row r="100" spans="1:8" s="3" customFormat="1" ht="71.099999999999994" customHeight="1" x14ac:dyDescent="0.2">
      <c r="A100" s="29" t="s">
        <v>57</v>
      </c>
      <c r="B100" s="20" t="s">
        <v>162</v>
      </c>
      <c r="C100" s="19" t="s">
        <v>163</v>
      </c>
      <c r="D100" s="20" t="s">
        <v>27</v>
      </c>
      <c r="E100" s="20">
        <v>1</v>
      </c>
      <c r="F100" s="23"/>
      <c r="G100" s="20">
        <f t="shared" si="1"/>
        <v>0</v>
      </c>
      <c r="H100" s="22"/>
    </row>
    <row r="101" spans="1:8" s="3" customFormat="1" ht="30" customHeight="1" x14ac:dyDescent="0.2">
      <c r="A101" s="17" t="s">
        <v>164</v>
      </c>
      <c r="B101" s="18" t="s">
        <v>165</v>
      </c>
      <c r="C101" s="19"/>
      <c r="D101" s="18"/>
      <c r="E101" s="18"/>
      <c r="F101" s="28"/>
      <c r="G101" s="20"/>
      <c r="H101" s="18"/>
    </row>
    <row r="102" spans="1:8" s="3" customFormat="1" ht="78" customHeight="1" x14ac:dyDescent="0.2">
      <c r="A102" s="29" t="s">
        <v>24</v>
      </c>
      <c r="B102" s="20" t="s">
        <v>166</v>
      </c>
      <c r="C102" s="19" t="s">
        <v>167</v>
      </c>
      <c r="D102" s="20" t="s">
        <v>27</v>
      </c>
      <c r="E102" s="20">
        <v>1</v>
      </c>
      <c r="F102" s="23"/>
      <c r="G102" s="20">
        <f t="shared" si="1"/>
        <v>0</v>
      </c>
      <c r="H102" s="22"/>
    </row>
    <row r="103" spans="1:8" s="3" customFormat="1" ht="87" customHeight="1" x14ac:dyDescent="0.2">
      <c r="A103" s="29" t="s">
        <v>28</v>
      </c>
      <c r="B103" s="20" t="s">
        <v>168</v>
      </c>
      <c r="C103" s="19" t="s">
        <v>169</v>
      </c>
      <c r="D103" s="20" t="s">
        <v>27</v>
      </c>
      <c r="E103" s="20">
        <v>1</v>
      </c>
      <c r="F103" s="23"/>
      <c r="G103" s="20">
        <f t="shared" si="1"/>
        <v>0</v>
      </c>
      <c r="H103" s="22"/>
    </row>
    <row r="104" spans="1:8" s="3" customFormat="1" ht="93.95" customHeight="1" x14ac:dyDescent="0.2">
      <c r="A104" s="29" t="s">
        <v>40</v>
      </c>
      <c r="B104" s="20" t="s">
        <v>170</v>
      </c>
      <c r="C104" s="19" t="s">
        <v>171</v>
      </c>
      <c r="D104" s="20" t="s">
        <v>27</v>
      </c>
      <c r="E104" s="20">
        <v>1</v>
      </c>
      <c r="F104" s="23"/>
      <c r="G104" s="20">
        <f t="shared" si="1"/>
        <v>0</v>
      </c>
      <c r="H104" s="22"/>
    </row>
    <row r="105" spans="1:8" s="3" customFormat="1" ht="30" customHeight="1" x14ac:dyDescent="0.2">
      <c r="A105" s="17" t="s">
        <v>172</v>
      </c>
      <c r="B105" s="18" t="s">
        <v>173</v>
      </c>
      <c r="C105" s="19"/>
      <c r="D105" s="18"/>
      <c r="E105" s="18"/>
      <c r="F105" s="28"/>
      <c r="G105" s="20"/>
      <c r="H105" s="18"/>
    </row>
    <row r="106" spans="1:8" s="3" customFormat="1" ht="80.099999999999994" customHeight="1" x14ac:dyDescent="0.2">
      <c r="A106" s="29" t="s">
        <v>24</v>
      </c>
      <c r="B106" s="20" t="s">
        <v>174</v>
      </c>
      <c r="C106" s="19" t="s">
        <v>175</v>
      </c>
      <c r="D106" s="20" t="s">
        <v>27</v>
      </c>
      <c r="E106" s="20">
        <v>1</v>
      </c>
      <c r="F106" s="23"/>
      <c r="G106" s="20">
        <f t="shared" si="1"/>
        <v>0</v>
      </c>
      <c r="H106" s="22"/>
    </row>
    <row r="107" spans="1:8" s="3" customFormat="1" ht="80.099999999999994" customHeight="1" x14ac:dyDescent="0.2">
      <c r="A107" s="29" t="s">
        <v>28</v>
      </c>
      <c r="B107" s="20" t="s">
        <v>176</v>
      </c>
      <c r="C107" s="19" t="s">
        <v>177</v>
      </c>
      <c r="D107" s="20" t="s">
        <v>27</v>
      </c>
      <c r="E107" s="20">
        <v>1</v>
      </c>
      <c r="F107" s="23"/>
      <c r="G107" s="20">
        <f t="shared" si="1"/>
        <v>0</v>
      </c>
      <c r="H107" s="22"/>
    </row>
    <row r="108" spans="1:8" s="3" customFormat="1" ht="80.099999999999994" customHeight="1" x14ac:dyDescent="0.2">
      <c r="A108" s="29" t="s">
        <v>40</v>
      </c>
      <c r="B108" s="20" t="s">
        <v>178</v>
      </c>
      <c r="C108" s="19" t="s">
        <v>179</v>
      </c>
      <c r="D108" s="20" t="s">
        <v>27</v>
      </c>
      <c r="E108" s="20">
        <v>1</v>
      </c>
      <c r="F108" s="23"/>
      <c r="G108" s="20">
        <f t="shared" si="1"/>
        <v>0</v>
      </c>
      <c r="H108" s="22"/>
    </row>
    <row r="109" spans="1:8" s="3" customFormat="1" ht="30" customHeight="1" x14ac:dyDescent="0.2">
      <c r="A109" s="17" t="s">
        <v>180</v>
      </c>
      <c r="B109" s="18" t="s">
        <v>181</v>
      </c>
      <c r="C109" s="19"/>
      <c r="D109" s="18"/>
      <c r="E109" s="18"/>
      <c r="F109" s="28"/>
      <c r="G109" s="20"/>
      <c r="H109" s="18"/>
    </row>
    <row r="110" spans="1:8" s="3" customFormat="1" ht="45.95" customHeight="1" x14ac:dyDescent="0.2">
      <c r="A110" s="29" t="s">
        <v>24</v>
      </c>
      <c r="B110" s="20" t="s">
        <v>182</v>
      </c>
      <c r="C110" s="19" t="s">
        <v>183</v>
      </c>
      <c r="D110" s="20" t="s">
        <v>27</v>
      </c>
      <c r="E110" s="20">
        <v>1</v>
      </c>
      <c r="F110" s="23"/>
      <c r="G110" s="20">
        <f t="shared" si="1"/>
        <v>0</v>
      </c>
      <c r="H110" s="22"/>
    </row>
    <row r="111" spans="1:8" s="3" customFormat="1" ht="45.95" customHeight="1" x14ac:dyDescent="0.2">
      <c r="A111" s="29" t="s">
        <v>28</v>
      </c>
      <c r="B111" s="20" t="s">
        <v>184</v>
      </c>
      <c r="C111" s="19" t="s">
        <v>185</v>
      </c>
      <c r="D111" s="20" t="s">
        <v>27</v>
      </c>
      <c r="E111" s="20">
        <v>1</v>
      </c>
      <c r="F111" s="23"/>
      <c r="G111" s="20">
        <f t="shared" si="1"/>
        <v>0</v>
      </c>
      <c r="H111" s="22"/>
    </row>
    <row r="112" spans="1:8" s="3" customFormat="1" ht="45.95" customHeight="1" x14ac:dyDescent="0.2">
      <c r="A112" s="29" t="s">
        <v>40</v>
      </c>
      <c r="B112" s="20" t="s">
        <v>186</v>
      </c>
      <c r="C112" s="19" t="s">
        <v>187</v>
      </c>
      <c r="D112" s="20" t="s">
        <v>27</v>
      </c>
      <c r="E112" s="20">
        <v>1</v>
      </c>
      <c r="F112" s="23"/>
      <c r="G112" s="20">
        <f t="shared" si="1"/>
        <v>0</v>
      </c>
      <c r="H112" s="22"/>
    </row>
    <row r="113" spans="1:9" s="3" customFormat="1" ht="30" customHeight="1" x14ac:dyDescent="0.2">
      <c r="A113" s="17" t="s">
        <v>188</v>
      </c>
      <c r="B113" s="18" t="s">
        <v>189</v>
      </c>
      <c r="C113" s="19"/>
      <c r="D113" s="18"/>
      <c r="E113" s="18"/>
      <c r="F113" s="28"/>
      <c r="G113" s="20"/>
      <c r="H113" s="18"/>
    </row>
    <row r="114" spans="1:9" s="3" customFormat="1" ht="48.95" customHeight="1" x14ac:dyDescent="0.2">
      <c r="A114" s="29" t="s">
        <v>24</v>
      </c>
      <c r="B114" s="20" t="s">
        <v>190</v>
      </c>
      <c r="C114" s="19" t="s">
        <v>191</v>
      </c>
      <c r="D114" s="20" t="s">
        <v>27</v>
      </c>
      <c r="E114" s="20">
        <v>1</v>
      </c>
      <c r="F114" s="23"/>
      <c r="G114" s="20">
        <f t="shared" si="1"/>
        <v>0</v>
      </c>
      <c r="H114" s="22"/>
    </row>
    <row r="115" spans="1:9" s="3" customFormat="1" ht="48.95" customHeight="1" x14ac:dyDescent="0.2">
      <c r="A115" s="29" t="s">
        <v>28</v>
      </c>
      <c r="B115" s="20" t="s">
        <v>192</v>
      </c>
      <c r="C115" s="19" t="s">
        <v>193</v>
      </c>
      <c r="D115" s="20" t="s">
        <v>27</v>
      </c>
      <c r="E115" s="20">
        <v>1</v>
      </c>
      <c r="F115" s="23"/>
      <c r="G115" s="20">
        <f t="shared" si="1"/>
        <v>0</v>
      </c>
      <c r="H115" s="22"/>
    </row>
    <row r="116" spans="1:9" s="3" customFormat="1" ht="30" customHeight="1" x14ac:dyDescent="0.2">
      <c r="A116" s="17" t="s">
        <v>194</v>
      </c>
      <c r="B116" s="18" t="s">
        <v>195</v>
      </c>
      <c r="C116" s="19"/>
      <c r="D116" s="18"/>
      <c r="E116" s="18"/>
      <c r="F116" s="28"/>
      <c r="G116" s="20"/>
      <c r="H116" s="18"/>
    </row>
    <row r="117" spans="1:9" s="3" customFormat="1" ht="83.1" customHeight="1" x14ac:dyDescent="0.2">
      <c r="A117" s="29" t="s">
        <v>24</v>
      </c>
      <c r="B117" s="20" t="s">
        <v>196</v>
      </c>
      <c r="C117" s="19" t="s">
        <v>197</v>
      </c>
      <c r="D117" s="20" t="s">
        <v>27</v>
      </c>
      <c r="E117" s="20">
        <v>1</v>
      </c>
      <c r="F117" s="23"/>
      <c r="G117" s="20">
        <f t="shared" si="1"/>
        <v>0</v>
      </c>
      <c r="H117" s="22"/>
    </row>
    <row r="118" spans="1:9" s="3" customFormat="1" ht="78.95" customHeight="1" x14ac:dyDescent="0.2">
      <c r="A118" s="29" t="s">
        <v>28</v>
      </c>
      <c r="B118" s="20" t="s">
        <v>198</v>
      </c>
      <c r="C118" s="19" t="s">
        <v>199</v>
      </c>
      <c r="D118" s="20" t="s">
        <v>27</v>
      </c>
      <c r="E118" s="20">
        <v>1</v>
      </c>
      <c r="F118" s="23"/>
      <c r="G118" s="20">
        <f t="shared" si="1"/>
        <v>0</v>
      </c>
      <c r="H118" s="22"/>
    </row>
    <row r="119" spans="1:9" s="3" customFormat="1" ht="86.1" customHeight="1" x14ac:dyDescent="0.2">
      <c r="A119" s="29" t="s">
        <v>40</v>
      </c>
      <c r="B119" s="20" t="s">
        <v>200</v>
      </c>
      <c r="C119" s="19" t="s">
        <v>201</v>
      </c>
      <c r="D119" s="20" t="s">
        <v>27</v>
      </c>
      <c r="E119" s="20">
        <v>1</v>
      </c>
      <c r="F119" s="23"/>
      <c r="G119" s="20">
        <f t="shared" si="1"/>
        <v>0</v>
      </c>
      <c r="H119" s="22"/>
    </row>
    <row r="120" spans="1:9" s="3" customFormat="1" ht="62.1" customHeight="1" x14ac:dyDescent="0.2">
      <c r="A120" s="29" t="s">
        <v>57</v>
      </c>
      <c r="B120" s="20" t="s">
        <v>202</v>
      </c>
      <c r="C120" s="19" t="s">
        <v>203</v>
      </c>
      <c r="D120" s="20" t="s">
        <v>27</v>
      </c>
      <c r="E120" s="20">
        <v>1</v>
      </c>
      <c r="F120" s="23"/>
      <c r="G120" s="20">
        <f t="shared" si="1"/>
        <v>0</v>
      </c>
      <c r="H120" s="22"/>
    </row>
    <row r="121" spans="1:9" s="3" customFormat="1" ht="30" customHeight="1" x14ac:dyDescent="0.2">
      <c r="A121" s="15" t="s">
        <v>5</v>
      </c>
      <c r="B121" s="14" t="s">
        <v>6</v>
      </c>
      <c r="C121" s="16"/>
      <c r="D121" s="14"/>
      <c r="E121" s="14"/>
      <c r="F121" s="30"/>
      <c r="G121" s="31"/>
      <c r="H121" s="18"/>
    </row>
    <row r="122" spans="1:9" s="3" customFormat="1" ht="30" customHeight="1" x14ac:dyDescent="0.2">
      <c r="A122" s="17">
        <v>2.1</v>
      </c>
      <c r="B122" s="18" t="s">
        <v>18</v>
      </c>
      <c r="C122" s="19"/>
      <c r="D122" s="18"/>
      <c r="E122" s="18"/>
      <c r="F122" s="28"/>
      <c r="G122" s="20"/>
      <c r="H122" s="18"/>
    </row>
    <row r="123" spans="1:9" s="3" customFormat="1" ht="30" customHeight="1" x14ac:dyDescent="0.2">
      <c r="A123" s="17" t="s">
        <v>204</v>
      </c>
      <c r="B123" s="18" t="s">
        <v>205</v>
      </c>
      <c r="C123" s="19"/>
      <c r="D123" s="18"/>
      <c r="E123" s="18"/>
      <c r="F123" s="28"/>
      <c r="G123" s="20"/>
      <c r="H123" s="18" t="s">
        <v>21</v>
      </c>
    </row>
    <row r="124" spans="1:9" s="3" customFormat="1" ht="45" customHeight="1" x14ac:dyDescent="0.2">
      <c r="A124" s="18" t="s">
        <v>206</v>
      </c>
      <c r="B124" s="18" t="s">
        <v>207</v>
      </c>
      <c r="C124" s="19" t="s">
        <v>208</v>
      </c>
      <c r="D124" s="18"/>
      <c r="E124" s="18"/>
      <c r="F124" s="28"/>
      <c r="G124" s="20"/>
      <c r="H124" s="18"/>
      <c r="I124" s="59"/>
    </row>
    <row r="125" spans="1:9" s="3" customFormat="1" ht="54.95" customHeight="1" x14ac:dyDescent="0.2">
      <c r="A125" s="17" t="s">
        <v>24</v>
      </c>
      <c r="B125" s="18" t="s">
        <v>209</v>
      </c>
      <c r="C125" s="21" t="s">
        <v>210</v>
      </c>
      <c r="D125" s="20" t="s">
        <v>211</v>
      </c>
      <c r="E125" s="20">
        <v>6.6</v>
      </c>
      <c r="F125" s="23"/>
      <c r="G125" s="20">
        <f t="shared" si="1"/>
        <v>0</v>
      </c>
      <c r="H125" s="20" t="s">
        <v>212</v>
      </c>
      <c r="I125" s="59"/>
    </row>
    <row r="126" spans="1:9" s="3" customFormat="1" ht="30" customHeight="1" x14ac:dyDescent="0.2">
      <c r="A126" s="17" t="s">
        <v>28</v>
      </c>
      <c r="B126" s="18" t="s">
        <v>213</v>
      </c>
      <c r="C126" s="21" t="s">
        <v>214</v>
      </c>
      <c r="D126" s="20" t="s">
        <v>215</v>
      </c>
      <c r="E126" s="20">
        <v>6</v>
      </c>
      <c r="F126" s="23"/>
      <c r="G126" s="20">
        <f t="shared" si="1"/>
        <v>0</v>
      </c>
      <c r="H126" s="20"/>
      <c r="I126" s="59"/>
    </row>
    <row r="127" spans="1:9" s="3" customFormat="1" ht="39" customHeight="1" x14ac:dyDescent="0.2">
      <c r="A127" s="17" t="s">
        <v>40</v>
      </c>
      <c r="B127" s="18" t="s">
        <v>216</v>
      </c>
      <c r="C127" s="21" t="s">
        <v>217</v>
      </c>
      <c r="D127" s="20" t="s">
        <v>27</v>
      </c>
      <c r="E127" s="20">
        <v>1</v>
      </c>
      <c r="F127" s="23"/>
      <c r="G127" s="20">
        <f t="shared" si="1"/>
        <v>0</v>
      </c>
      <c r="H127" s="22"/>
      <c r="I127" s="59"/>
    </row>
    <row r="128" spans="1:9" s="3" customFormat="1" ht="30" customHeight="1" x14ac:dyDescent="0.2">
      <c r="A128" s="17" t="s">
        <v>57</v>
      </c>
      <c r="B128" s="18" t="s">
        <v>218</v>
      </c>
      <c r="C128" s="21" t="s">
        <v>219</v>
      </c>
      <c r="D128" s="20" t="s">
        <v>27</v>
      </c>
      <c r="E128" s="20">
        <v>1</v>
      </c>
      <c r="F128" s="23"/>
      <c r="G128" s="20">
        <f t="shared" si="1"/>
        <v>0</v>
      </c>
      <c r="H128" s="22"/>
      <c r="I128" s="59"/>
    </row>
    <row r="129" spans="1:9" s="3" customFormat="1" ht="30" customHeight="1" x14ac:dyDescent="0.2">
      <c r="A129" s="17" t="s">
        <v>60</v>
      </c>
      <c r="B129" s="18" t="s">
        <v>220</v>
      </c>
      <c r="C129" s="19"/>
      <c r="D129" s="20"/>
      <c r="E129" s="18">
        <v>1</v>
      </c>
      <c r="F129" s="28"/>
      <c r="G129" s="20">
        <f t="shared" si="1"/>
        <v>0</v>
      </c>
      <c r="H129" s="22"/>
      <c r="I129" s="59"/>
    </row>
    <row r="130" spans="1:9" s="3" customFormat="1" ht="57.95" customHeight="1" x14ac:dyDescent="0.2">
      <c r="A130" s="18" t="s">
        <v>221</v>
      </c>
      <c r="B130" s="18" t="s">
        <v>222</v>
      </c>
      <c r="C130" s="19" t="s">
        <v>223</v>
      </c>
      <c r="D130" s="20"/>
      <c r="E130" s="18"/>
      <c r="F130" s="28"/>
      <c r="G130" s="20"/>
      <c r="H130" s="18"/>
      <c r="I130" s="59"/>
    </row>
    <row r="131" spans="1:9" s="3" customFormat="1" ht="30" customHeight="1" x14ac:dyDescent="0.2">
      <c r="A131" s="17" t="s">
        <v>24</v>
      </c>
      <c r="B131" s="18" t="s">
        <v>224</v>
      </c>
      <c r="C131" s="19"/>
      <c r="D131" s="20" t="s">
        <v>27</v>
      </c>
      <c r="E131" s="20">
        <v>1</v>
      </c>
      <c r="F131" s="23"/>
      <c r="G131" s="20">
        <f t="shared" si="1"/>
        <v>0</v>
      </c>
      <c r="H131" s="22"/>
      <c r="I131" s="59"/>
    </row>
    <row r="132" spans="1:9" s="3" customFormat="1" ht="30" customHeight="1" x14ac:dyDescent="0.2">
      <c r="A132" s="17" t="s">
        <v>28</v>
      </c>
      <c r="B132" s="18" t="s">
        <v>225</v>
      </c>
      <c r="C132" s="19"/>
      <c r="D132" s="20" t="s">
        <v>27</v>
      </c>
      <c r="E132" s="20">
        <v>1</v>
      </c>
      <c r="F132" s="23"/>
      <c r="G132" s="20">
        <f t="shared" si="1"/>
        <v>0</v>
      </c>
      <c r="H132" s="22"/>
      <c r="I132" s="59"/>
    </row>
    <row r="133" spans="1:9" s="3" customFormat="1" ht="30" customHeight="1" x14ac:dyDescent="0.2">
      <c r="A133" s="17" t="s">
        <v>40</v>
      </c>
      <c r="B133" s="18" t="s">
        <v>226</v>
      </c>
      <c r="C133" s="19"/>
      <c r="D133" s="20" t="s">
        <v>27</v>
      </c>
      <c r="E133" s="20">
        <v>1</v>
      </c>
      <c r="F133" s="23"/>
      <c r="G133" s="20">
        <f t="shared" si="1"/>
        <v>0</v>
      </c>
      <c r="H133" s="22"/>
      <c r="I133" s="59"/>
    </row>
    <row r="134" spans="1:9" s="3" customFormat="1" ht="30" customHeight="1" x14ac:dyDescent="0.2">
      <c r="A134" s="17" t="s">
        <v>57</v>
      </c>
      <c r="B134" s="18" t="s">
        <v>222</v>
      </c>
      <c r="C134" s="19"/>
      <c r="D134" s="20" t="s">
        <v>27</v>
      </c>
      <c r="E134" s="20">
        <v>1</v>
      </c>
      <c r="F134" s="23"/>
      <c r="G134" s="20">
        <f t="shared" si="1"/>
        <v>0</v>
      </c>
      <c r="H134" s="22"/>
      <c r="I134" s="59"/>
    </row>
    <row r="135" spans="1:9" s="3" customFormat="1" ht="30" customHeight="1" x14ac:dyDescent="0.2">
      <c r="A135" s="18" t="s">
        <v>227</v>
      </c>
      <c r="B135" s="18" t="s">
        <v>228</v>
      </c>
      <c r="C135" s="19" t="s">
        <v>229</v>
      </c>
      <c r="D135" s="20" t="s">
        <v>215</v>
      </c>
      <c r="E135" s="18">
        <v>49</v>
      </c>
      <c r="F135" s="28"/>
      <c r="G135" s="20">
        <f t="shared" si="1"/>
        <v>0</v>
      </c>
      <c r="H135" s="18"/>
      <c r="I135" s="59"/>
    </row>
    <row r="136" spans="1:9" s="3" customFormat="1" ht="30" customHeight="1" x14ac:dyDescent="0.2">
      <c r="A136" s="17" t="s">
        <v>230</v>
      </c>
      <c r="B136" s="18" t="s">
        <v>231</v>
      </c>
      <c r="C136" s="19" t="s">
        <v>26</v>
      </c>
      <c r="D136" s="18" t="s">
        <v>27</v>
      </c>
      <c r="E136" s="18">
        <v>1</v>
      </c>
      <c r="F136" s="28"/>
      <c r="G136" s="20">
        <f t="shared" si="1"/>
        <v>0</v>
      </c>
      <c r="H136" s="18"/>
    </row>
    <row r="137" spans="1:9" s="3" customFormat="1" ht="30" customHeight="1" x14ac:dyDescent="0.2">
      <c r="A137" s="17" t="s">
        <v>232</v>
      </c>
      <c r="B137" s="18" t="s">
        <v>233</v>
      </c>
      <c r="C137" s="19"/>
      <c r="D137" s="18"/>
      <c r="E137" s="18"/>
      <c r="F137" s="28"/>
      <c r="G137" s="20"/>
      <c r="H137" s="18"/>
    </row>
    <row r="138" spans="1:9" s="3" customFormat="1" ht="30" customHeight="1" x14ac:dyDescent="0.2">
      <c r="A138" s="17" t="s">
        <v>234</v>
      </c>
      <c r="B138" s="18" t="s">
        <v>231</v>
      </c>
      <c r="C138" s="19" t="s">
        <v>26</v>
      </c>
      <c r="D138" s="18" t="s">
        <v>27</v>
      </c>
      <c r="E138" s="18">
        <v>1</v>
      </c>
      <c r="F138" s="28"/>
      <c r="G138" s="20">
        <f t="shared" ref="G138:G200" si="2">ROUND(E138*F138,2)</f>
        <v>0</v>
      </c>
      <c r="H138" s="18"/>
    </row>
    <row r="139" spans="1:9" s="3" customFormat="1" ht="30" customHeight="1" x14ac:dyDescent="0.2">
      <c r="A139" s="17" t="s">
        <v>235</v>
      </c>
      <c r="B139" s="18" t="s">
        <v>236</v>
      </c>
      <c r="C139" s="19"/>
      <c r="D139" s="18"/>
      <c r="E139" s="18"/>
      <c r="F139" s="28"/>
      <c r="G139" s="20"/>
      <c r="H139" s="18"/>
    </row>
    <row r="140" spans="1:9" s="3" customFormat="1" ht="30" customHeight="1" x14ac:dyDescent="0.2">
      <c r="A140" s="17" t="s">
        <v>237</v>
      </c>
      <c r="B140" s="18" t="s">
        <v>231</v>
      </c>
      <c r="C140" s="19" t="s">
        <v>26</v>
      </c>
      <c r="D140" s="18" t="s">
        <v>27</v>
      </c>
      <c r="E140" s="18">
        <v>1</v>
      </c>
      <c r="F140" s="28"/>
      <c r="G140" s="20">
        <f t="shared" si="2"/>
        <v>0</v>
      </c>
      <c r="H140" s="18"/>
    </row>
    <row r="141" spans="1:9" s="3" customFormat="1" ht="30" customHeight="1" x14ac:dyDescent="0.2">
      <c r="A141" s="15" t="s">
        <v>7</v>
      </c>
      <c r="B141" s="14" t="s">
        <v>8</v>
      </c>
      <c r="C141" s="16"/>
      <c r="D141" s="14"/>
      <c r="E141" s="14"/>
      <c r="F141" s="30"/>
      <c r="G141" s="20"/>
      <c r="H141" s="14"/>
    </row>
    <row r="142" spans="1:9" s="3" customFormat="1" ht="30" customHeight="1" x14ac:dyDescent="0.2">
      <c r="A142" s="17">
        <v>3.1</v>
      </c>
      <c r="B142" s="18" t="s">
        <v>238</v>
      </c>
      <c r="C142" s="19"/>
      <c r="D142" s="18"/>
      <c r="E142" s="18"/>
      <c r="F142" s="28"/>
      <c r="G142" s="20"/>
      <c r="H142" s="18"/>
    </row>
    <row r="143" spans="1:9" s="3" customFormat="1" ht="30" customHeight="1" x14ac:dyDescent="0.2">
      <c r="A143" s="18" t="s">
        <v>239</v>
      </c>
      <c r="B143" s="18" t="s">
        <v>240</v>
      </c>
      <c r="C143" s="19"/>
      <c r="D143" s="18"/>
      <c r="E143" s="18"/>
      <c r="F143" s="28"/>
      <c r="G143" s="20"/>
      <c r="H143" s="18"/>
    </row>
    <row r="144" spans="1:9" s="3" customFormat="1" ht="41.1" customHeight="1" x14ac:dyDescent="0.2">
      <c r="A144" s="29" t="s">
        <v>241</v>
      </c>
      <c r="B144" s="18" t="s">
        <v>242</v>
      </c>
      <c r="C144" s="21" t="s">
        <v>243</v>
      </c>
      <c r="D144" s="20" t="s">
        <v>244</v>
      </c>
      <c r="E144" s="20">
        <v>1</v>
      </c>
      <c r="F144" s="23"/>
      <c r="G144" s="20">
        <f t="shared" si="2"/>
        <v>0</v>
      </c>
      <c r="H144" s="20" t="s">
        <v>245</v>
      </c>
    </row>
    <row r="145" spans="1:8" s="3" customFormat="1" ht="311.10000000000002" customHeight="1" x14ac:dyDescent="0.2">
      <c r="A145" s="17" t="s">
        <v>24</v>
      </c>
      <c r="B145" s="18" t="s">
        <v>246</v>
      </c>
      <c r="C145" s="21" t="s">
        <v>247</v>
      </c>
      <c r="D145" s="18" t="s">
        <v>248</v>
      </c>
      <c r="E145" s="18">
        <v>2</v>
      </c>
      <c r="F145" s="28"/>
      <c r="G145" s="20">
        <f t="shared" si="2"/>
        <v>0</v>
      </c>
      <c r="H145" s="18"/>
    </row>
    <row r="146" spans="1:8" s="3" customFormat="1" ht="342" customHeight="1" x14ac:dyDescent="0.2">
      <c r="A146" s="17" t="s">
        <v>28</v>
      </c>
      <c r="B146" s="18" t="s">
        <v>249</v>
      </c>
      <c r="C146" s="19" t="s">
        <v>250</v>
      </c>
      <c r="D146" s="18" t="s">
        <v>248</v>
      </c>
      <c r="E146" s="18">
        <v>2</v>
      </c>
      <c r="F146" s="28"/>
      <c r="G146" s="20">
        <f t="shared" si="2"/>
        <v>0</v>
      </c>
      <c r="H146" s="18"/>
    </row>
    <row r="147" spans="1:8" s="3" customFormat="1" ht="192" customHeight="1" x14ac:dyDescent="0.2">
      <c r="A147" s="17" t="s">
        <v>40</v>
      </c>
      <c r="B147" s="18" t="s">
        <v>251</v>
      </c>
      <c r="C147" s="21" t="s">
        <v>252</v>
      </c>
      <c r="D147" s="18" t="s">
        <v>248</v>
      </c>
      <c r="E147" s="18">
        <v>2</v>
      </c>
      <c r="F147" s="28"/>
      <c r="G147" s="20">
        <f t="shared" si="2"/>
        <v>0</v>
      </c>
      <c r="H147" s="18"/>
    </row>
    <row r="148" spans="1:8" s="3" customFormat="1" ht="123.95" customHeight="1" x14ac:dyDescent="0.2">
      <c r="A148" s="17" t="s">
        <v>57</v>
      </c>
      <c r="B148" s="18" t="s">
        <v>253</v>
      </c>
      <c r="C148" s="19" t="s">
        <v>254</v>
      </c>
      <c r="D148" s="32" t="s">
        <v>248</v>
      </c>
      <c r="E148" s="18">
        <v>4</v>
      </c>
      <c r="F148" s="28"/>
      <c r="G148" s="20">
        <f t="shared" si="2"/>
        <v>0</v>
      </c>
      <c r="H148" s="18"/>
    </row>
    <row r="149" spans="1:8" s="3" customFormat="1" ht="354" customHeight="1" x14ac:dyDescent="0.2">
      <c r="A149" s="17" t="s">
        <v>60</v>
      </c>
      <c r="B149" s="33" t="s">
        <v>255</v>
      </c>
      <c r="C149" s="19" t="s">
        <v>256</v>
      </c>
      <c r="D149" s="18" t="s">
        <v>248</v>
      </c>
      <c r="E149" s="18">
        <v>2</v>
      </c>
      <c r="F149" s="28"/>
      <c r="G149" s="20">
        <f t="shared" si="2"/>
        <v>0</v>
      </c>
      <c r="H149" s="18"/>
    </row>
    <row r="150" spans="1:8" s="3" customFormat="1" ht="167.1" customHeight="1" x14ac:dyDescent="0.2">
      <c r="A150" s="17" t="s">
        <v>62</v>
      </c>
      <c r="B150" s="18" t="s">
        <v>257</v>
      </c>
      <c r="C150" s="21" t="s">
        <v>258</v>
      </c>
      <c r="D150" s="24" t="s">
        <v>259</v>
      </c>
      <c r="E150" s="18">
        <v>2</v>
      </c>
      <c r="F150" s="28"/>
      <c r="G150" s="20">
        <f t="shared" si="2"/>
        <v>0</v>
      </c>
      <c r="H150" s="18"/>
    </row>
    <row r="151" spans="1:8" s="3" customFormat="1" ht="89.1" customHeight="1" x14ac:dyDescent="0.2">
      <c r="A151" s="17" t="s">
        <v>132</v>
      </c>
      <c r="B151" s="18" t="s">
        <v>260</v>
      </c>
      <c r="C151" s="21" t="s">
        <v>261</v>
      </c>
      <c r="D151" s="18" t="s">
        <v>248</v>
      </c>
      <c r="E151" s="18">
        <v>2</v>
      </c>
      <c r="F151" s="28"/>
      <c r="G151" s="20">
        <f t="shared" si="2"/>
        <v>0</v>
      </c>
      <c r="H151" s="18"/>
    </row>
    <row r="152" spans="1:8" s="3" customFormat="1" ht="41.1" customHeight="1" x14ac:dyDescent="0.2">
      <c r="A152" s="17" t="s">
        <v>135</v>
      </c>
      <c r="B152" s="18" t="s">
        <v>262</v>
      </c>
      <c r="C152" s="19" t="s">
        <v>263</v>
      </c>
      <c r="D152" s="18" t="s">
        <v>27</v>
      </c>
      <c r="E152" s="18">
        <v>2</v>
      </c>
      <c r="F152" s="28"/>
      <c r="G152" s="20">
        <f t="shared" si="2"/>
        <v>0</v>
      </c>
      <c r="H152" s="18" t="s">
        <v>264</v>
      </c>
    </row>
    <row r="153" spans="1:8" s="3" customFormat="1" ht="30" customHeight="1" x14ac:dyDescent="0.2">
      <c r="A153" s="17" t="s">
        <v>265</v>
      </c>
      <c r="B153" s="18" t="s">
        <v>266</v>
      </c>
      <c r="C153" s="19"/>
      <c r="D153" s="20"/>
      <c r="E153" s="20"/>
      <c r="F153" s="28"/>
      <c r="G153" s="20"/>
      <c r="H153" s="18" t="s">
        <v>267</v>
      </c>
    </row>
    <row r="154" spans="1:8" s="3" customFormat="1" ht="315" customHeight="1" x14ac:dyDescent="0.2">
      <c r="A154" s="17" t="s">
        <v>24</v>
      </c>
      <c r="B154" s="18" t="s">
        <v>246</v>
      </c>
      <c r="C154" s="21" t="s">
        <v>247</v>
      </c>
      <c r="D154" s="20" t="s">
        <v>248</v>
      </c>
      <c r="E154" s="20">
        <v>2</v>
      </c>
      <c r="F154" s="23"/>
      <c r="G154" s="20">
        <f t="shared" si="2"/>
        <v>0</v>
      </c>
      <c r="H154" s="18"/>
    </row>
    <row r="155" spans="1:8" s="3" customFormat="1" ht="360" customHeight="1" x14ac:dyDescent="0.2">
      <c r="A155" s="17" t="s">
        <v>28</v>
      </c>
      <c r="B155" s="18" t="s">
        <v>249</v>
      </c>
      <c r="C155" s="19" t="s">
        <v>250</v>
      </c>
      <c r="D155" s="20" t="s">
        <v>248</v>
      </c>
      <c r="E155" s="20">
        <v>2</v>
      </c>
      <c r="F155" s="23"/>
      <c r="G155" s="20">
        <f t="shared" si="2"/>
        <v>0</v>
      </c>
      <c r="H155" s="18"/>
    </row>
    <row r="156" spans="1:8" s="3" customFormat="1" ht="198.95" customHeight="1" x14ac:dyDescent="0.2">
      <c r="A156" s="17" t="s">
        <v>40</v>
      </c>
      <c r="B156" s="18" t="s">
        <v>251</v>
      </c>
      <c r="C156" s="21" t="s">
        <v>252</v>
      </c>
      <c r="D156" s="20" t="s">
        <v>248</v>
      </c>
      <c r="E156" s="20">
        <v>2</v>
      </c>
      <c r="F156" s="28"/>
      <c r="G156" s="20">
        <f t="shared" si="2"/>
        <v>0</v>
      </c>
      <c r="H156" s="18"/>
    </row>
    <row r="157" spans="1:8" s="3" customFormat="1" ht="131.1" customHeight="1" x14ac:dyDescent="0.2">
      <c r="A157" s="17" t="s">
        <v>57</v>
      </c>
      <c r="B157" s="18" t="s">
        <v>253</v>
      </c>
      <c r="C157" s="19" t="s">
        <v>254</v>
      </c>
      <c r="D157" s="32" t="s">
        <v>248</v>
      </c>
      <c r="E157" s="18">
        <v>4</v>
      </c>
      <c r="F157" s="28"/>
      <c r="G157" s="20">
        <f t="shared" si="2"/>
        <v>0</v>
      </c>
      <c r="H157" s="18"/>
    </row>
    <row r="158" spans="1:8" s="3" customFormat="1" ht="360" customHeight="1" x14ac:dyDescent="0.2">
      <c r="A158" s="17" t="s">
        <v>60</v>
      </c>
      <c r="B158" s="33" t="s">
        <v>255</v>
      </c>
      <c r="C158" s="19" t="s">
        <v>256</v>
      </c>
      <c r="D158" s="33" t="s">
        <v>248</v>
      </c>
      <c r="E158" s="20">
        <v>2</v>
      </c>
      <c r="F158" s="28"/>
      <c r="G158" s="20">
        <f t="shared" si="2"/>
        <v>0</v>
      </c>
      <c r="H158" s="18"/>
    </row>
    <row r="159" spans="1:8" s="3" customFormat="1" ht="266.10000000000002" customHeight="1" x14ac:dyDescent="0.2">
      <c r="A159" s="17" t="s">
        <v>62</v>
      </c>
      <c r="B159" s="20" t="s">
        <v>268</v>
      </c>
      <c r="C159" s="19" t="s">
        <v>269</v>
      </c>
      <c r="D159" s="20" t="s">
        <v>248</v>
      </c>
      <c r="E159" s="20">
        <v>2</v>
      </c>
      <c r="F159" s="28"/>
      <c r="G159" s="20">
        <f t="shared" si="2"/>
        <v>0</v>
      </c>
      <c r="H159" s="18"/>
    </row>
    <row r="160" spans="1:8" s="3" customFormat="1" ht="165.95" customHeight="1" x14ac:dyDescent="0.2">
      <c r="A160" s="17" t="s">
        <v>132</v>
      </c>
      <c r="B160" s="18" t="s">
        <v>270</v>
      </c>
      <c r="C160" s="19" t="s">
        <v>271</v>
      </c>
      <c r="D160" s="20" t="s">
        <v>248</v>
      </c>
      <c r="E160" s="20">
        <v>2</v>
      </c>
      <c r="F160" s="28"/>
      <c r="G160" s="20">
        <f t="shared" si="2"/>
        <v>0</v>
      </c>
      <c r="H160" s="18"/>
    </row>
    <row r="161" spans="1:8" s="3" customFormat="1" ht="90.95" customHeight="1" x14ac:dyDescent="0.2">
      <c r="A161" s="17" t="s">
        <v>135</v>
      </c>
      <c r="B161" s="18" t="s">
        <v>260</v>
      </c>
      <c r="C161" s="21" t="s">
        <v>261</v>
      </c>
      <c r="D161" s="20" t="s">
        <v>248</v>
      </c>
      <c r="E161" s="20">
        <v>2</v>
      </c>
      <c r="F161" s="28"/>
      <c r="G161" s="20">
        <f t="shared" si="2"/>
        <v>0</v>
      </c>
      <c r="H161" s="18"/>
    </row>
    <row r="162" spans="1:8" s="3" customFormat="1" ht="30" customHeight="1" x14ac:dyDescent="0.2">
      <c r="A162" s="17" t="s">
        <v>272</v>
      </c>
      <c r="B162" s="18" t="s">
        <v>262</v>
      </c>
      <c r="C162" s="19" t="s">
        <v>263</v>
      </c>
      <c r="D162" s="20" t="s">
        <v>27</v>
      </c>
      <c r="E162" s="20">
        <v>1</v>
      </c>
      <c r="F162" s="28"/>
      <c r="G162" s="20">
        <f t="shared" si="2"/>
        <v>0</v>
      </c>
      <c r="H162" s="18"/>
    </row>
    <row r="163" spans="1:8" s="3" customFormat="1" ht="30" customHeight="1" x14ac:dyDescent="0.2">
      <c r="A163" s="17" t="s">
        <v>273</v>
      </c>
      <c r="B163" s="18" t="s">
        <v>274</v>
      </c>
      <c r="C163" s="19"/>
      <c r="D163" s="20"/>
      <c r="E163" s="20"/>
      <c r="F163" s="28"/>
      <c r="G163" s="20"/>
      <c r="H163" s="18" t="s">
        <v>275</v>
      </c>
    </row>
    <row r="164" spans="1:8" s="3" customFormat="1" ht="305.10000000000002" customHeight="1" x14ac:dyDescent="0.2">
      <c r="A164" s="17" t="s">
        <v>24</v>
      </c>
      <c r="B164" s="20" t="s">
        <v>246</v>
      </c>
      <c r="C164" s="21" t="s">
        <v>247</v>
      </c>
      <c r="D164" s="18" t="s">
        <v>248</v>
      </c>
      <c r="E164" s="18">
        <v>4</v>
      </c>
      <c r="F164" s="28"/>
      <c r="G164" s="20">
        <f t="shared" si="2"/>
        <v>0</v>
      </c>
      <c r="H164" s="18" t="s">
        <v>276</v>
      </c>
    </row>
    <row r="165" spans="1:8" s="3" customFormat="1" ht="408.95" customHeight="1" x14ac:dyDescent="0.2">
      <c r="A165" s="17" t="s">
        <v>28</v>
      </c>
      <c r="B165" s="20" t="s">
        <v>277</v>
      </c>
      <c r="C165" s="34" t="s">
        <v>278</v>
      </c>
      <c r="D165" s="18" t="s">
        <v>248</v>
      </c>
      <c r="E165" s="18">
        <v>2</v>
      </c>
      <c r="F165" s="28"/>
      <c r="G165" s="20">
        <f t="shared" si="2"/>
        <v>0</v>
      </c>
      <c r="H165" s="18" t="s">
        <v>279</v>
      </c>
    </row>
    <row r="166" spans="1:8" s="3" customFormat="1" ht="344.1" customHeight="1" x14ac:dyDescent="0.2">
      <c r="A166" s="17" t="s">
        <v>40</v>
      </c>
      <c r="B166" s="20" t="s">
        <v>280</v>
      </c>
      <c r="C166" s="19" t="s">
        <v>281</v>
      </c>
      <c r="D166" s="18" t="s">
        <v>248</v>
      </c>
      <c r="E166" s="18">
        <v>4</v>
      </c>
      <c r="F166" s="28"/>
      <c r="G166" s="20">
        <f t="shared" si="2"/>
        <v>0</v>
      </c>
      <c r="H166" s="18" t="s">
        <v>282</v>
      </c>
    </row>
    <row r="167" spans="1:8" s="3" customFormat="1" ht="30" customHeight="1" x14ac:dyDescent="0.2">
      <c r="A167" s="17" t="s">
        <v>57</v>
      </c>
      <c r="B167" s="33" t="s">
        <v>283</v>
      </c>
      <c r="C167" s="21" t="s">
        <v>284</v>
      </c>
      <c r="D167" s="18" t="s">
        <v>285</v>
      </c>
      <c r="E167" s="18">
        <v>2</v>
      </c>
      <c r="F167" s="28"/>
      <c r="G167" s="20">
        <f t="shared" si="2"/>
        <v>0</v>
      </c>
      <c r="H167" s="18" t="s">
        <v>286</v>
      </c>
    </row>
    <row r="168" spans="1:8" s="3" customFormat="1" ht="30" customHeight="1" x14ac:dyDescent="0.2">
      <c r="A168" s="17" t="s">
        <v>60</v>
      </c>
      <c r="B168" s="18" t="s">
        <v>287</v>
      </c>
      <c r="C168" s="21" t="s">
        <v>288</v>
      </c>
      <c r="D168" s="18" t="s">
        <v>27</v>
      </c>
      <c r="E168" s="18">
        <v>4</v>
      </c>
      <c r="F168" s="28"/>
      <c r="G168" s="20">
        <f t="shared" si="2"/>
        <v>0</v>
      </c>
      <c r="H168" s="18" t="s">
        <v>289</v>
      </c>
    </row>
    <row r="169" spans="1:8" s="3" customFormat="1" ht="126" customHeight="1" x14ac:dyDescent="0.2">
      <c r="A169" s="17" t="s">
        <v>62</v>
      </c>
      <c r="B169" s="18" t="s">
        <v>253</v>
      </c>
      <c r="C169" s="19" t="s">
        <v>254</v>
      </c>
      <c r="D169" s="20" t="s">
        <v>248</v>
      </c>
      <c r="E169" s="20">
        <v>4</v>
      </c>
      <c r="F169" s="28"/>
      <c r="G169" s="20">
        <f t="shared" si="2"/>
        <v>0</v>
      </c>
      <c r="H169" s="18"/>
    </row>
    <row r="170" spans="1:8" s="3" customFormat="1" ht="162" customHeight="1" x14ac:dyDescent="0.2">
      <c r="A170" s="17" t="s">
        <v>132</v>
      </c>
      <c r="B170" s="18" t="s">
        <v>290</v>
      </c>
      <c r="C170" s="19" t="s">
        <v>258</v>
      </c>
      <c r="D170" s="20" t="s">
        <v>27</v>
      </c>
      <c r="E170" s="20">
        <v>1</v>
      </c>
      <c r="F170" s="28"/>
      <c r="G170" s="20">
        <f t="shared" si="2"/>
        <v>0</v>
      </c>
      <c r="H170" s="18"/>
    </row>
    <row r="171" spans="1:8" s="3" customFormat="1" ht="30" customHeight="1" x14ac:dyDescent="0.2">
      <c r="A171" s="17" t="s">
        <v>135</v>
      </c>
      <c r="B171" s="18" t="s">
        <v>262</v>
      </c>
      <c r="C171" s="19" t="s">
        <v>291</v>
      </c>
      <c r="D171" s="20" t="s">
        <v>27</v>
      </c>
      <c r="E171" s="20">
        <v>1</v>
      </c>
      <c r="F171" s="28"/>
      <c r="G171" s="20">
        <f t="shared" si="2"/>
        <v>0</v>
      </c>
      <c r="H171" s="18"/>
    </row>
    <row r="172" spans="1:8" ht="30" customHeight="1" x14ac:dyDescent="0.2">
      <c r="A172" s="17" t="s">
        <v>292</v>
      </c>
      <c r="B172" s="18" t="s">
        <v>293</v>
      </c>
      <c r="C172" s="19"/>
      <c r="D172" s="18"/>
      <c r="E172" s="18"/>
      <c r="F172" s="28"/>
      <c r="G172" s="20"/>
      <c r="H172" s="18"/>
    </row>
    <row r="173" spans="1:8" ht="30" customHeight="1" x14ac:dyDescent="0.2">
      <c r="A173" s="17" t="s">
        <v>24</v>
      </c>
      <c r="B173" s="24" t="s">
        <v>294</v>
      </c>
      <c r="C173" s="19" t="s">
        <v>295</v>
      </c>
      <c r="D173" s="18" t="s">
        <v>259</v>
      </c>
      <c r="E173" s="18">
        <v>1</v>
      </c>
      <c r="F173" s="28"/>
      <c r="G173" s="20">
        <f t="shared" si="2"/>
        <v>0</v>
      </c>
      <c r="H173" s="18" t="s">
        <v>296</v>
      </c>
    </row>
    <row r="174" spans="1:8" ht="153.94999999999999" customHeight="1" x14ac:dyDescent="0.2">
      <c r="A174" s="17" t="s">
        <v>28</v>
      </c>
      <c r="B174" s="20" t="s">
        <v>297</v>
      </c>
      <c r="C174" s="19" t="s">
        <v>298</v>
      </c>
      <c r="D174" s="18" t="s">
        <v>248</v>
      </c>
      <c r="E174" s="18">
        <v>1</v>
      </c>
      <c r="F174" s="28"/>
      <c r="G174" s="20">
        <f t="shared" si="2"/>
        <v>0</v>
      </c>
      <c r="H174" s="18"/>
    </row>
    <row r="175" spans="1:8" ht="249.95" customHeight="1" x14ac:dyDescent="0.2">
      <c r="A175" s="17" t="s">
        <v>40</v>
      </c>
      <c r="B175" s="18" t="s">
        <v>299</v>
      </c>
      <c r="C175" s="19" t="s">
        <v>300</v>
      </c>
      <c r="D175" s="20" t="s">
        <v>259</v>
      </c>
      <c r="E175" s="20">
        <v>12</v>
      </c>
      <c r="F175" s="28"/>
      <c r="G175" s="20">
        <f t="shared" si="2"/>
        <v>0</v>
      </c>
      <c r="H175" s="18" t="s">
        <v>301</v>
      </c>
    </row>
    <row r="176" spans="1:8" ht="30" customHeight="1" x14ac:dyDescent="0.2">
      <c r="A176" s="17" t="s">
        <v>57</v>
      </c>
      <c r="B176" s="20" t="s">
        <v>302</v>
      </c>
      <c r="C176" s="19" t="s">
        <v>303</v>
      </c>
      <c r="D176" s="18" t="s">
        <v>304</v>
      </c>
      <c r="E176" s="18">
        <v>1000</v>
      </c>
      <c r="F176" s="28"/>
      <c r="G176" s="20">
        <f t="shared" si="2"/>
        <v>0</v>
      </c>
      <c r="H176" s="18" t="s">
        <v>305</v>
      </c>
    </row>
    <row r="177" spans="1:8" ht="42" customHeight="1" x14ac:dyDescent="0.2">
      <c r="A177" s="17" t="s">
        <v>60</v>
      </c>
      <c r="B177" s="18" t="s">
        <v>262</v>
      </c>
      <c r="C177" s="19" t="s">
        <v>291</v>
      </c>
      <c r="D177" s="18" t="s">
        <v>27</v>
      </c>
      <c r="E177" s="18">
        <v>12</v>
      </c>
      <c r="F177" s="28"/>
      <c r="G177" s="20">
        <f t="shared" si="2"/>
        <v>0</v>
      </c>
      <c r="H177" s="18"/>
    </row>
    <row r="178" spans="1:8" ht="42" customHeight="1" x14ac:dyDescent="0.2">
      <c r="A178" s="17" t="s">
        <v>306</v>
      </c>
      <c r="B178" s="18" t="s">
        <v>307</v>
      </c>
      <c r="C178" s="19" t="s">
        <v>308</v>
      </c>
      <c r="D178" s="18"/>
      <c r="E178" s="18"/>
      <c r="F178" s="28"/>
      <c r="G178" s="20"/>
      <c r="H178" s="18" t="s">
        <v>309</v>
      </c>
    </row>
    <row r="179" spans="1:8" ht="276.95" customHeight="1" x14ac:dyDescent="0.2">
      <c r="A179" s="17" t="s">
        <v>24</v>
      </c>
      <c r="B179" s="18" t="s">
        <v>268</v>
      </c>
      <c r="C179" s="19" t="s">
        <v>269</v>
      </c>
      <c r="D179" s="18" t="s">
        <v>248</v>
      </c>
      <c r="E179" s="18">
        <v>11</v>
      </c>
      <c r="F179" s="28"/>
      <c r="G179" s="20">
        <f t="shared" si="2"/>
        <v>0</v>
      </c>
      <c r="H179" s="18" t="s">
        <v>310</v>
      </c>
    </row>
    <row r="180" spans="1:8" ht="129" customHeight="1" x14ac:dyDescent="0.2">
      <c r="A180" s="17" t="s">
        <v>28</v>
      </c>
      <c r="B180" s="18" t="s">
        <v>311</v>
      </c>
      <c r="C180" s="19" t="s">
        <v>312</v>
      </c>
      <c r="D180" s="18" t="s">
        <v>285</v>
      </c>
      <c r="E180" s="18">
        <v>6</v>
      </c>
      <c r="F180" s="28"/>
      <c r="G180" s="20">
        <f t="shared" si="2"/>
        <v>0</v>
      </c>
      <c r="H180" s="18"/>
    </row>
    <row r="181" spans="1:8" ht="30" customHeight="1" x14ac:dyDescent="0.2">
      <c r="A181" s="17" t="s">
        <v>40</v>
      </c>
      <c r="B181" s="18" t="s">
        <v>313</v>
      </c>
      <c r="C181" s="19"/>
      <c r="D181" s="18" t="s">
        <v>285</v>
      </c>
      <c r="E181" s="18">
        <v>1</v>
      </c>
      <c r="F181" s="28"/>
      <c r="G181" s="20">
        <f t="shared" si="2"/>
        <v>0</v>
      </c>
      <c r="H181" s="18"/>
    </row>
    <row r="182" spans="1:8" ht="144.94999999999999" customHeight="1" x14ac:dyDescent="0.2">
      <c r="A182" s="17" t="s">
        <v>57</v>
      </c>
      <c r="B182" s="18" t="s">
        <v>253</v>
      </c>
      <c r="C182" s="19" t="s">
        <v>254</v>
      </c>
      <c r="D182" s="32" t="s">
        <v>248</v>
      </c>
      <c r="E182" s="18">
        <v>6</v>
      </c>
      <c r="F182" s="28"/>
      <c r="G182" s="20">
        <f t="shared" si="2"/>
        <v>0</v>
      </c>
      <c r="H182" s="18"/>
    </row>
    <row r="183" spans="1:8" ht="156.94999999999999" customHeight="1" x14ac:dyDescent="0.2">
      <c r="A183" s="17" t="s">
        <v>60</v>
      </c>
      <c r="B183" s="18" t="s">
        <v>314</v>
      </c>
      <c r="C183" s="19" t="s">
        <v>271</v>
      </c>
      <c r="D183" s="20" t="s">
        <v>27</v>
      </c>
      <c r="E183" s="20">
        <v>2</v>
      </c>
      <c r="F183" s="28"/>
      <c r="G183" s="20">
        <f t="shared" si="2"/>
        <v>0</v>
      </c>
      <c r="H183" s="18" t="s">
        <v>315</v>
      </c>
    </row>
    <row r="184" spans="1:8" ht="39" customHeight="1" x14ac:dyDescent="0.2">
      <c r="A184" s="17" t="s">
        <v>62</v>
      </c>
      <c r="B184" s="18" t="s">
        <v>262</v>
      </c>
      <c r="C184" s="19" t="s">
        <v>291</v>
      </c>
      <c r="D184" s="20" t="s">
        <v>27</v>
      </c>
      <c r="E184" s="20">
        <v>1</v>
      </c>
      <c r="F184" s="28"/>
      <c r="G184" s="20">
        <f t="shared" si="2"/>
        <v>0</v>
      </c>
      <c r="H184" s="35"/>
    </row>
    <row r="185" spans="1:8" ht="39.950000000000003" customHeight="1" x14ac:dyDescent="0.2">
      <c r="A185" s="17" t="s">
        <v>316</v>
      </c>
      <c r="B185" s="18" t="s">
        <v>317</v>
      </c>
      <c r="C185" s="19" t="s">
        <v>318</v>
      </c>
      <c r="D185" s="18"/>
      <c r="E185" s="18"/>
      <c r="F185" s="28"/>
      <c r="G185" s="20"/>
      <c r="H185" s="18"/>
    </row>
    <row r="186" spans="1:8" ht="129.94999999999999" customHeight="1" x14ac:dyDescent="0.2">
      <c r="A186" s="20" t="s">
        <v>24</v>
      </c>
      <c r="B186" s="33" t="s">
        <v>319</v>
      </c>
      <c r="C186" s="19" t="s">
        <v>320</v>
      </c>
      <c r="D186" s="33" t="s">
        <v>248</v>
      </c>
      <c r="E186" s="33">
        <v>1</v>
      </c>
      <c r="F186" s="36"/>
      <c r="G186" s="20">
        <f t="shared" si="2"/>
        <v>0</v>
      </c>
      <c r="H186" s="35"/>
    </row>
    <row r="187" spans="1:8" ht="30" customHeight="1" x14ac:dyDescent="0.2">
      <c r="A187" s="20" t="s">
        <v>28</v>
      </c>
      <c r="B187" s="33" t="s">
        <v>321</v>
      </c>
      <c r="C187" s="19" t="s">
        <v>26</v>
      </c>
      <c r="D187" s="33" t="s">
        <v>27</v>
      </c>
      <c r="E187" s="33">
        <v>1</v>
      </c>
      <c r="F187" s="36"/>
      <c r="G187" s="20">
        <f t="shared" si="2"/>
        <v>0</v>
      </c>
      <c r="H187" s="35"/>
    </row>
    <row r="188" spans="1:8" s="3" customFormat="1" ht="68.099999999999994" customHeight="1" x14ac:dyDescent="0.2">
      <c r="A188" s="20" t="s">
        <v>40</v>
      </c>
      <c r="B188" s="33" t="s">
        <v>123</v>
      </c>
      <c r="C188" s="19" t="s">
        <v>322</v>
      </c>
      <c r="D188" s="33" t="s">
        <v>27</v>
      </c>
      <c r="E188" s="33">
        <v>1</v>
      </c>
      <c r="F188" s="36"/>
      <c r="G188" s="20">
        <f t="shared" si="2"/>
        <v>0</v>
      </c>
      <c r="H188" s="18" t="s">
        <v>323</v>
      </c>
    </row>
    <row r="189" spans="1:8" s="3" customFormat="1" ht="30" customHeight="1" x14ac:dyDescent="0.2">
      <c r="A189" s="17" t="s">
        <v>324</v>
      </c>
      <c r="B189" s="18" t="s">
        <v>325</v>
      </c>
      <c r="C189" s="19"/>
      <c r="D189" s="18"/>
      <c r="E189" s="18"/>
      <c r="F189" s="28"/>
      <c r="G189" s="20"/>
      <c r="H189" s="18" t="s">
        <v>326</v>
      </c>
    </row>
    <row r="190" spans="1:8" s="3" customFormat="1" ht="132" customHeight="1" x14ac:dyDescent="0.2">
      <c r="A190" s="17" t="s">
        <v>24</v>
      </c>
      <c r="B190" s="18" t="s">
        <v>327</v>
      </c>
      <c r="C190" s="19" t="s">
        <v>328</v>
      </c>
      <c r="D190" s="18" t="s">
        <v>248</v>
      </c>
      <c r="E190" s="20">
        <v>1</v>
      </c>
      <c r="F190" s="27"/>
      <c r="G190" s="20">
        <f t="shared" si="2"/>
        <v>0</v>
      </c>
      <c r="H190" s="18"/>
    </row>
    <row r="191" spans="1:8" s="3" customFormat="1" ht="200.1" customHeight="1" x14ac:dyDescent="0.2">
      <c r="A191" s="17" t="s">
        <v>28</v>
      </c>
      <c r="B191" s="18" t="s">
        <v>325</v>
      </c>
      <c r="C191" s="19" t="s">
        <v>329</v>
      </c>
      <c r="D191" s="18" t="s">
        <v>248</v>
      </c>
      <c r="E191" s="20">
        <v>1</v>
      </c>
      <c r="F191" s="27"/>
      <c r="G191" s="20">
        <f t="shared" si="2"/>
        <v>0</v>
      </c>
      <c r="H191" s="18"/>
    </row>
    <row r="192" spans="1:8" s="3" customFormat="1" ht="105" customHeight="1" x14ac:dyDescent="0.2">
      <c r="A192" s="17" t="s">
        <v>40</v>
      </c>
      <c r="B192" s="18" t="s">
        <v>330</v>
      </c>
      <c r="C192" s="19" t="s">
        <v>331</v>
      </c>
      <c r="D192" s="26" t="s">
        <v>27</v>
      </c>
      <c r="E192" s="20">
        <v>1</v>
      </c>
      <c r="F192" s="27"/>
      <c r="G192" s="20">
        <f t="shared" si="2"/>
        <v>0</v>
      </c>
      <c r="H192" s="18"/>
    </row>
    <row r="193" spans="1:10" s="3" customFormat="1" ht="134.1" customHeight="1" x14ac:dyDescent="0.2">
      <c r="A193" s="17" t="s">
        <v>57</v>
      </c>
      <c r="B193" s="18" t="s">
        <v>332</v>
      </c>
      <c r="C193" s="19" t="s">
        <v>333</v>
      </c>
      <c r="D193" s="26" t="s">
        <v>259</v>
      </c>
      <c r="E193" s="20">
        <v>1</v>
      </c>
      <c r="F193" s="27"/>
      <c r="G193" s="20">
        <f t="shared" si="2"/>
        <v>0</v>
      </c>
      <c r="H193" s="18"/>
    </row>
    <row r="194" spans="1:10" s="3" customFormat="1" ht="30" customHeight="1" x14ac:dyDescent="0.2">
      <c r="A194" s="17" t="s">
        <v>60</v>
      </c>
      <c r="B194" s="18" t="s">
        <v>334</v>
      </c>
      <c r="C194" s="19" t="s">
        <v>335</v>
      </c>
      <c r="D194" s="26" t="s">
        <v>27</v>
      </c>
      <c r="E194" s="20">
        <v>1</v>
      </c>
      <c r="F194" s="28"/>
      <c r="G194" s="20">
        <f t="shared" si="2"/>
        <v>0</v>
      </c>
      <c r="H194" s="18"/>
    </row>
    <row r="195" spans="1:10" s="3" customFormat="1" ht="30" customHeight="1" x14ac:dyDescent="0.2">
      <c r="A195" s="17" t="s">
        <v>62</v>
      </c>
      <c r="B195" s="18" t="s">
        <v>336</v>
      </c>
      <c r="C195" s="19" t="s">
        <v>337</v>
      </c>
      <c r="D195" s="26" t="s">
        <v>27</v>
      </c>
      <c r="E195" s="20">
        <v>1</v>
      </c>
      <c r="F195" s="28"/>
      <c r="G195" s="20">
        <f t="shared" si="2"/>
        <v>0</v>
      </c>
      <c r="H195" s="18"/>
    </row>
    <row r="196" spans="1:10" s="3" customFormat="1" ht="30" customHeight="1" x14ac:dyDescent="0.2">
      <c r="A196" s="17" t="s">
        <v>132</v>
      </c>
      <c r="B196" s="18" t="s">
        <v>262</v>
      </c>
      <c r="C196" s="19" t="s">
        <v>263</v>
      </c>
      <c r="D196" s="26" t="s">
        <v>27</v>
      </c>
      <c r="E196" s="20">
        <v>1</v>
      </c>
      <c r="F196" s="28"/>
      <c r="G196" s="20">
        <f t="shared" si="2"/>
        <v>0</v>
      </c>
      <c r="H196" s="18"/>
    </row>
    <row r="197" spans="1:10" s="3" customFormat="1" ht="36" customHeight="1" x14ac:dyDescent="0.2">
      <c r="A197" s="17" t="s">
        <v>135</v>
      </c>
      <c r="B197" s="33" t="s">
        <v>338</v>
      </c>
      <c r="C197" s="19" t="s">
        <v>339</v>
      </c>
      <c r="D197" s="18" t="s">
        <v>27</v>
      </c>
      <c r="E197" s="20">
        <v>1</v>
      </c>
      <c r="F197" s="28"/>
      <c r="G197" s="20">
        <f t="shared" si="2"/>
        <v>0</v>
      </c>
      <c r="H197" s="18" t="s">
        <v>340</v>
      </c>
    </row>
    <row r="198" spans="1:10" s="3" customFormat="1" ht="30" customHeight="1" x14ac:dyDescent="0.2">
      <c r="A198" s="17" t="s">
        <v>341</v>
      </c>
      <c r="B198" s="18" t="s">
        <v>342</v>
      </c>
      <c r="C198" s="19"/>
      <c r="D198" s="18"/>
      <c r="E198" s="18"/>
      <c r="F198" s="28"/>
      <c r="G198" s="20"/>
      <c r="H198" s="18"/>
    </row>
    <row r="199" spans="1:10" s="3" customFormat="1" ht="71.099999999999994" customHeight="1" x14ac:dyDescent="0.2">
      <c r="A199" s="17" t="s">
        <v>24</v>
      </c>
      <c r="B199" s="20" t="s">
        <v>343</v>
      </c>
      <c r="C199" s="21" t="s">
        <v>344</v>
      </c>
      <c r="D199" s="32" t="s">
        <v>259</v>
      </c>
      <c r="E199" s="26">
        <v>5</v>
      </c>
      <c r="F199" s="37"/>
      <c r="G199" s="20">
        <f t="shared" si="2"/>
        <v>0</v>
      </c>
      <c r="H199" s="18" t="s">
        <v>345</v>
      </c>
    </row>
    <row r="200" spans="1:10" s="3" customFormat="1" ht="71.099999999999994" customHeight="1" x14ac:dyDescent="0.2">
      <c r="A200" s="17" t="s">
        <v>28</v>
      </c>
      <c r="B200" s="24" t="s">
        <v>346</v>
      </c>
      <c r="C200" s="19" t="s">
        <v>347</v>
      </c>
      <c r="D200" s="20" t="s">
        <v>248</v>
      </c>
      <c r="E200" s="18">
        <v>2</v>
      </c>
      <c r="F200" s="25"/>
      <c r="G200" s="20">
        <f t="shared" si="2"/>
        <v>0</v>
      </c>
      <c r="H200" s="18" t="s">
        <v>348</v>
      </c>
    </row>
    <row r="201" spans="1:10" s="3" customFormat="1" ht="30" customHeight="1" x14ac:dyDescent="0.2">
      <c r="A201" s="18" t="s">
        <v>349</v>
      </c>
      <c r="B201" s="18" t="s">
        <v>21</v>
      </c>
      <c r="C201" s="19"/>
      <c r="D201" s="18"/>
      <c r="E201" s="18"/>
      <c r="F201" s="28"/>
      <c r="G201" s="20"/>
      <c r="H201" s="14"/>
    </row>
    <row r="202" spans="1:10" s="3" customFormat="1" ht="30" customHeight="1" x14ac:dyDescent="0.2">
      <c r="A202" s="17" t="s">
        <v>241</v>
      </c>
      <c r="B202" s="18" t="s">
        <v>350</v>
      </c>
      <c r="C202" s="19"/>
      <c r="D202" s="18" t="s">
        <v>244</v>
      </c>
      <c r="E202" s="18">
        <v>2</v>
      </c>
      <c r="F202" s="28"/>
      <c r="G202" s="20">
        <f t="shared" ref="G202:G220" si="3">ROUND(E202*F202,2)</f>
        <v>0</v>
      </c>
      <c r="H202" s="18"/>
    </row>
    <row r="203" spans="1:10" s="3" customFormat="1" ht="315" customHeight="1" x14ac:dyDescent="0.2">
      <c r="A203" s="18" t="s">
        <v>351</v>
      </c>
      <c r="B203" s="38" t="s">
        <v>352</v>
      </c>
      <c r="C203" s="21" t="s">
        <v>247</v>
      </c>
      <c r="D203" s="20" t="s">
        <v>259</v>
      </c>
      <c r="E203" s="20">
        <v>4</v>
      </c>
      <c r="F203" s="28"/>
      <c r="G203" s="20">
        <f t="shared" si="3"/>
        <v>0</v>
      </c>
      <c r="H203" s="18" t="s">
        <v>353</v>
      </c>
    </row>
    <row r="204" spans="1:10" s="3" customFormat="1" ht="168" customHeight="1" x14ac:dyDescent="0.2">
      <c r="A204" s="18" t="s">
        <v>354</v>
      </c>
      <c r="B204" s="38" t="s">
        <v>355</v>
      </c>
      <c r="C204" s="19" t="s">
        <v>258</v>
      </c>
      <c r="D204" s="20" t="s">
        <v>259</v>
      </c>
      <c r="E204" s="20">
        <v>2</v>
      </c>
      <c r="F204" s="28"/>
      <c r="G204" s="20">
        <f t="shared" si="3"/>
        <v>0</v>
      </c>
      <c r="H204" s="18" t="s">
        <v>356</v>
      </c>
    </row>
    <row r="205" spans="1:10" s="3" customFormat="1" ht="45" customHeight="1" x14ac:dyDescent="0.2">
      <c r="A205" s="18" t="s">
        <v>357</v>
      </c>
      <c r="B205" s="18" t="s">
        <v>262</v>
      </c>
      <c r="C205" s="19" t="s">
        <v>291</v>
      </c>
      <c r="D205" s="20" t="s">
        <v>27</v>
      </c>
      <c r="E205" s="20">
        <v>1</v>
      </c>
      <c r="F205" s="28"/>
      <c r="G205" s="20">
        <f t="shared" si="3"/>
        <v>0</v>
      </c>
      <c r="H205" s="18"/>
    </row>
    <row r="206" spans="1:10" s="4" customFormat="1" ht="45" customHeight="1" x14ac:dyDescent="0.2">
      <c r="A206" s="17" t="s">
        <v>265</v>
      </c>
      <c r="B206" s="18" t="s">
        <v>358</v>
      </c>
      <c r="C206" s="19" t="s">
        <v>308</v>
      </c>
      <c r="D206" s="18"/>
      <c r="E206" s="18"/>
      <c r="F206" s="28"/>
      <c r="G206" s="20"/>
      <c r="H206" s="18"/>
      <c r="I206" s="5"/>
      <c r="J206" s="5"/>
    </row>
    <row r="207" spans="1:10" s="4" customFormat="1" ht="258" customHeight="1" x14ac:dyDescent="0.2">
      <c r="A207" s="17" t="s">
        <v>24</v>
      </c>
      <c r="B207" s="20" t="s">
        <v>268</v>
      </c>
      <c r="C207" s="19" t="s">
        <v>269</v>
      </c>
      <c r="D207" s="18" t="s">
        <v>248</v>
      </c>
      <c r="E207" s="18">
        <v>12</v>
      </c>
      <c r="F207" s="28"/>
      <c r="G207" s="20">
        <f t="shared" si="3"/>
        <v>0</v>
      </c>
      <c r="H207" s="18"/>
      <c r="I207" s="5"/>
      <c r="J207" s="5"/>
    </row>
    <row r="208" spans="1:10" s="4" customFormat="1" ht="311.10000000000002" customHeight="1" x14ac:dyDescent="0.2">
      <c r="A208" s="17" t="s">
        <v>28</v>
      </c>
      <c r="B208" s="18" t="s">
        <v>359</v>
      </c>
      <c r="C208" s="19" t="s">
        <v>247</v>
      </c>
      <c r="D208" s="18" t="s">
        <v>248</v>
      </c>
      <c r="E208" s="18">
        <v>4</v>
      </c>
      <c r="F208" s="28"/>
      <c r="G208" s="20">
        <f t="shared" si="3"/>
        <v>0</v>
      </c>
      <c r="H208" s="18"/>
      <c r="I208" s="5"/>
      <c r="J208" s="5"/>
    </row>
    <row r="209" spans="1:10" s="4" customFormat="1" ht="129" customHeight="1" x14ac:dyDescent="0.2">
      <c r="A209" s="17" t="s">
        <v>40</v>
      </c>
      <c r="B209" s="18" t="s">
        <v>311</v>
      </c>
      <c r="C209" s="19" t="s">
        <v>312</v>
      </c>
      <c r="D209" s="18" t="s">
        <v>285</v>
      </c>
      <c r="E209" s="18">
        <v>12</v>
      </c>
      <c r="F209" s="28"/>
      <c r="G209" s="20">
        <f t="shared" si="3"/>
        <v>0</v>
      </c>
      <c r="H209" s="18" t="s">
        <v>360</v>
      </c>
      <c r="I209" s="5"/>
      <c r="J209" s="5"/>
    </row>
    <row r="210" spans="1:10" s="4" customFormat="1" ht="129.94999999999999" customHeight="1" x14ac:dyDescent="0.2">
      <c r="A210" s="17" t="s">
        <v>60</v>
      </c>
      <c r="B210" s="18" t="s">
        <v>253</v>
      </c>
      <c r="C210" s="19" t="s">
        <v>254</v>
      </c>
      <c r="D210" s="32" t="s">
        <v>248</v>
      </c>
      <c r="E210" s="18">
        <v>12</v>
      </c>
      <c r="F210" s="28"/>
      <c r="G210" s="20">
        <f t="shared" si="3"/>
        <v>0</v>
      </c>
      <c r="H210" s="18" t="s">
        <v>361</v>
      </c>
      <c r="I210" s="5"/>
      <c r="J210" s="5"/>
    </row>
    <row r="211" spans="1:10" s="4" customFormat="1" ht="152.1" customHeight="1" x14ac:dyDescent="0.2">
      <c r="A211" s="17" t="s">
        <v>62</v>
      </c>
      <c r="B211" s="18" t="s">
        <v>314</v>
      </c>
      <c r="C211" s="19" t="s">
        <v>271</v>
      </c>
      <c r="D211" s="20" t="s">
        <v>259</v>
      </c>
      <c r="E211" s="20">
        <v>2</v>
      </c>
      <c r="F211" s="28"/>
      <c r="G211" s="20">
        <f t="shared" si="3"/>
        <v>0</v>
      </c>
      <c r="H211" s="18" t="s">
        <v>315</v>
      </c>
      <c r="I211" s="5"/>
      <c r="J211" s="5"/>
    </row>
    <row r="212" spans="1:10" s="4" customFormat="1" ht="42" customHeight="1" x14ac:dyDescent="0.2">
      <c r="A212" s="17" t="s">
        <v>132</v>
      </c>
      <c r="B212" s="18" t="s">
        <v>262</v>
      </c>
      <c r="C212" s="19" t="s">
        <v>291</v>
      </c>
      <c r="D212" s="20" t="s">
        <v>27</v>
      </c>
      <c r="E212" s="20">
        <v>2</v>
      </c>
      <c r="F212" s="30"/>
      <c r="G212" s="20">
        <f t="shared" si="3"/>
        <v>0</v>
      </c>
      <c r="H212" s="18" t="s">
        <v>315</v>
      </c>
      <c r="I212" s="5"/>
      <c r="J212" s="5"/>
    </row>
    <row r="213" spans="1:10" s="4" customFormat="1" ht="30" customHeight="1" x14ac:dyDescent="0.2">
      <c r="A213" s="17" t="s">
        <v>273</v>
      </c>
      <c r="B213" s="18" t="s">
        <v>362</v>
      </c>
      <c r="C213" s="19"/>
      <c r="D213" s="18"/>
      <c r="E213" s="18"/>
      <c r="F213" s="39"/>
      <c r="G213" s="20"/>
      <c r="H213" s="40"/>
      <c r="I213" s="5"/>
      <c r="J213" s="5"/>
    </row>
    <row r="214" spans="1:10" s="4" customFormat="1" ht="30" customHeight="1" x14ac:dyDescent="0.2">
      <c r="A214" s="17" t="s">
        <v>351</v>
      </c>
      <c r="B214" s="18" t="s">
        <v>325</v>
      </c>
      <c r="C214" s="19"/>
      <c r="D214" s="18" t="s">
        <v>259</v>
      </c>
      <c r="E214" s="18">
        <v>1</v>
      </c>
      <c r="F214" s="28"/>
      <c r="G214" s="20">
        <f t="shared" si="3"/>
        <v>0</v>
      </c>
      <c r="H214" s="18"/>
      <c r="I214" s="5"/>
      <c r="J214" s="5"/>
    </row>
    <row r="215" spans="1:10" s="4" customFormat="1" ht="140.1" customHeight="1" x14ac:dyDescent="0.2">
      <c r="A215" s="17" t="s">
        <v>363</v>
      </c>
      <c r="B215" s="18" t="s">
        <v>327</v>
      </c>
      <c r="C215" s="19" t="s">
        <v>328</v>
      </c>
      <c r="D215" s="18" t="s">
        <v>248</v>
      </c>
      <c r="E215" s="20">
        <v>1</v>
      </c>
      <c r="F215" s="28"/>
      <c r="G215" s="20">
        <f t="shared" si="3"/>
        <v>0</v>
      </c>
      <c r="H215" s="18"/>
      <c r="I215" s="5"/>
      <c r="J215" s="5"/>
    </row>
    <row r="216" spans="1:10" s="4" customFormat="1" ht="192" customHeight="1" x14ac:dyDescent="0.2">
      <c r="A216" s="17" t="s">
        <v>364</v>
      </c>
      <c r="B216" s="18" t="s">
        <v>325</v>
      </c>
      <c r="C216" s="19" t="s">
        <v>365</v>
      </c>
      <c r="D216" s="18" t="s">
        <v>248</v>
      </c>
      <c r="E216" s="20">
        <v>1</v>
      </c>
      <c r="F216" s="28"/>
      <c r="G216" s="20">
        <f t="shared" si="3"/>
        <v>0</v>
      </c>
      <c r="H216" s="18"/>
      <c r="I216" s="5"/>
      <c r="J216" s="5"/>
    </row>
    <row r="217" spans="1:10" s="4" customFormat="1" ht="98.1" customHeight="1" x14ac:dyDescent="0.2">
      <c r="A217" s="17" t="s">
        <v>366</v>
      </c>
      <c r="B217" s="18" t="s">
        <v>330</v>
      </c>
      <c r="C217" s="19" t="s">
        <v>331</v>
      </c>
      <c r="D217" s="26" t="s">
        <v>27</v>
      </c>
      <c r="E217" s="20">
        <v>1</v>
      </c>
      <c r="F217" s="28"/>
      <c r="G217" s="20">
        <f t="shared" si="3"/>
        <v>0</v>
      </c>
      <c r="H217" s="18"/>
      <c r="I217" s="5"/>
      <c r="J217" s="5"/>
    </row>
    <row r="218" spans="1:10" s="4" customFormat="1" ht="128.1" customHeight="1" x14ac:dyDescent="0.2">
      <c r="A218" s="17" t="s">
        <v>367</v>
      </c>
      <c r="B218" s="18" t="s">
        <v>332</v>
      </c>
      <c r="C218" s="19" t="s">
        <v>333</v>
      </c>
      <c r="D218" s="26" t="s">
        <v>259</v>
      </c>
      <c r="E218" s="20">
        <v>1</v>
      </c>
      <c r="F218" s="28"/>
      <c r="G218" s="20">
        <f t="shared" si="3"/>
        <v>0</v>
      </c>
      <c r="H218" s="18"/>
      <c r="I218" s="5"/>
      <c r="J218" s="5"/>
    </row>
    <row r="219" spans="1:10" s="4" customFormat="1" ht="30" customHeight="1" x14ac:dyDescent="0.2">
      <c r="A219" s="17" t="s">
        <v>368</v>
      </c>
      <c r="B219" s="18" t="s">
        <v>334</v>
      </c>
      <c r="C219" s="19" t="s">
        <v>335</v>
      </c>
      <c r="D219" s="26" t="s">
        <v>27</v>
      </c>
      <c r="E219" s="20">
        <v>1</v>
      </c>
      <c r="F219" s="28"/>
      <c r="G219" s="20">
        <f t="shared" si="3"/>
        <v>0</v>
      </c>
      <c r="H219" s="18"/>
      <c r="I219" s="5"/>
      <c r="J219" s="5"/>
    </row>
    <row r="220" spans="1:10" s="4" customFormat="1" ht="30" customHeight="1" x14ac:dyDescent="0.2">
      <c r="A220" s="17" t="s">
        <v>369</v>
      </c>
      <c r="B220" s="18" t="s">
        <v>336</v>
      </c>
      <c r="C220" s="19" t="s">
        <v>337</v>
      </c>
      <c r="D220" s="26" t="s">
        <v>27</v>
      </c>
      <c r="E220" s="20">
        <v>1</v>
      </c>
      <c r="F220" s="28"/>
      <c r="G220" s="20">
        <f t="shared" si="3"/>
        <v>0</v>
      </c>
      <c r="H220" s="18"/>
      <c r="I220" s="5"/>
      <c r="J220" s="5"/>
    </row>
    <row r="221" spans="1:10" s="4" customFormat="1" ht="30" customHeight="1" x14ac:dyDescent="0.2">
      <c r="A221" s="17" t="s">
        <v>370</v>
      </c>
      <c r="B221" s="18" t="s">
        <v>262</v>
      </c>
      <c r="C221" s="19" t="s">
        <v>263</v>
      </c>
      <c r="D221" s="26" t="s">
        <v>27</v>
      </c>
      <c r="E221" s="20">
        <v>1</v>
      </c>
      <c r="F221" s="28"/>
      <c r="G221" s="20">
        <f t="shared" ref="G221:G287" si="4">ROUND(E221*F221,2)</f>
        <v>0</v>
      </c>
      <c r="H221" s="18"/>
      <c r="I221" s="5"/>
      <c r="J221" s="5"/>
    </row>
    <row r="222" spans="1:10" s="4" customFormat="1" ht="30" customHeight="1" x14ac:dyDescent="0.2">
      <c r="A222" s="17" t="s">
        <v>371</v>
      </c>
      <c r="B222" s="33" t="s">
        <v>338</v>
      </c>
      <c r="C222" s="19" t="s">
        <v>339</v>
      </c>
      <c r="D222" s="18" t="s">
        <v>27</v>
      </c>
      <c r="E222" s="20">
        <v>1</v>
      </c>
      <c r="F222" s="28"/>
      <c r="G222" s="20">
        <f t="shared" si="4"/>
        <v>0</v>
      </c>
      <c r="H222" s="18" t="s">
        <v>340</v>
      </c>
      <c r="I222" s="5"/>
      <c r="J222" s="5"/>
    </row>
    <row r="223" spans="1:10" s="4" customFormat="1" ht="30" customHeight="1" x14ac:dyDescent="0.2">
      <c r="A223" s="20" t="s">
        <v>28</v>
      </c>
      <c r="B223" s="18" t="s">
        <v>372</v>
      </c>
      <c r="C223" s="19" t="s">
        <v>373</v>
      </c>
      <c r="D223" s="20"/>
      <c r="E223" s="20">
        <v>2</v>
      </c>
      <c r="F223" s="41"/>
      <c r="G223" s="20">
        <f t="shared" si="4"/>
        <v>0</v>
      </c>
      <c r="H223" s="18"/>
      <c r="I223" s="5"/>
      <c r="J223" s="5"/>
    </row>
    <row r="224" spans="1:10" s="4" customFormat="1" ht="129" customHeight="1" x14ac:dyDescent="0.2">
      <c r="A224" s="17" t="s">
        <v>363</v>
      </c>
      <c r="B224" s="18" t="s">
        <v>374</v>
      </c>
      <c r="C224" s="19" t="s">
        <v>375</v>
      </c>
      <c r="D224" s="18" t="s">
        <v>259</v>
      </c>
      <c r="E224" s="20">
        <v>2</v>
      </c>
      <c r="F224" s="41"/>
      <c r="G224" s="20">
        <f t="shared" si="4"/>
        <v>0</v>
      </c>
      <c r="H224" s="35"/>
      <c r="I224" s="5"/>
      <c r="J224" s="5"/>
    </row>
    <row r="225" spans="1:10" s="4" customFormat="1" ht="96" customHeight="1" x14ac:dyDescent="0.2">
      <c r="A225" s="17" t="s">
        <v>364</v>
      </c>
      <c r="B225" s="33" t="s">
        <v>376</v>
      </c>
      <c r="C225" s="19" t="s">
        <v>377</v>
      </c>
      <c r="D225" s="18" t="s">
        <v>259</v>
      </c>
      <c r="E225" s="20">
        <v>2</v>
      </c>
      <c r="F225" s="41"/>
      <c r="G225" s="20">
        <f t="shared" si="4"/>
        <v>0</v>
      </c>
      <c r="H225" s="18"/>
      <c r="I225" s="5"/>
      <c r="J225" s="5"/>
    </row>
    <row r="226" spans="1:10" s="4" customFormat="1" ht="30" customHeight="1" x14ac:dyDescent="0.2">
      <c r="A226" s="17" t="s">
        <v>40</v>
      </c>
      <c r="B226" s="18" t="s">
        <v>262</v>
      </c>
      <c r="C226" s="19" t="s">
        <v>263</v>
      </c>
      <c r="D226" s="20" t="s">
        <v>27</v>
      </c>
      <c r="E226" s="20">
        <v>2</v>
      </c>
      <c r="F226" s="41"/>
      <c r="G226" s="20">
        <f t="shared" si="4"/>
        <v>0</v>
      </c>
      <c r="H226" s="18"/>
      <c r="I226" s="5"/>
      <c r="J226" s="5"/>
    </row>
    <row r="227" spans="1:10" s="4" customFormat="1" ht="30" customHeight="1" x14ac:dyDescent="0.2">
      <c r="A227" s="17" t="s">
        <v>57</v>
      </c>
      <c r="B227" s="20" t="s">
        <v>302</v>
      </c>
      <c r="C227" s="19" t="s">
        <v>303</v>
      </c>
      <c r="D227" s="18" t="s">
        <v>27</v>
      </c>
      <c r="E227" s="20">
        <v>2</v>
      </c>
      <c r="F227" s="41"/>
      <c r="G227" s="20">
        <f t="shared" si="4"/>
        <v>0</v>
      </c>
      <c r="H227" s="18"/>
      <c r="I227" s="5"/>
      <c r="J227" s="5"/>
    </row>
    <row r="228" spans="1:10" s="4" customFormat="1" ht="30" customHeight="1" x14ac:dyDescent="0.2">
      <c r="A228" s="17" t="s">
        <v>292</v>
      </c>
      <c r="B228" s="18" t="s">
        <v>293</v>
      </c>
      <c r="C228" s="19"/>
      <c r="D228" s="18"/>
      <c r="E228" s="18"/>
      <c r="F228" s="28"/>
      <c r="G228" s="20"/>
      <c r="H228" s="18" t="s">
        <v>378</v>
      </c>
      <c r="I228" s="5"/>
      <c r="J228" s="5"/>
    </row>
    <row r="229" spans="1:10" s="4" customFormat="1" ht="246.95" customHeight="1" x14ac:dyDescent="0.2">
      <c r="A229" s="17" t="s">
        <v>24</v>
      </c>
      <c r="B229" s="18" t="s">
        <v>299</v>
      </c>
      <c r="C229" s="19" t="s">
        <v>300</v>
      </c>
      <c r="D229" s="20" t="s">
        <v>259</v>
      </c>
      <c r="E229" s="20">
        <v>16</v>
      </c>
      <c r="F229" s="28"/>
      <c r="G229" s="20">
        <f t="shared" si="4"/>
        <v>0</v>
      </c>
      <c r="H229" s="18"/>
      <c r="I229" s="5"/>
      <c r="J229" s="5"/>
    </row>
    <row r="230" spans="1:10" s="4" customFormat="1" ht="54" customHeight="1" x14ac:dyDescent="0.2">
      <c r="A230" s="17" t="s">
        <v>28</v>
      </c>
      <c r="B230" s="20" t="s">
        <v>302</v>
      </c>
      <c r="C230" s="19" t="s">
        <v>303</v>
      </c>
      <c r="D230" s="18" t="s">
        <v>304</v>
      </c>
      <c r="E230" s="18">
        <v>1000</v>
      </c>
      <c r="F230" s="28"/>
      <c r="G230" s="20">
        <f t="shared" si="4"/>
        <v>0</v>
      </c>
      <c r="H230" s="18" t="s">
        <v>379</v>
      </c>
      <c r="I230" s="5"/>
      <c r="J230" s="5"/>
    </row>
    <row r="231" spans="1:10" s="4" customFormat="1" ht="30" customHeight="1" x14ac:dyDescent="0.2">
      <c r="A231" s="17" t="s">
        <v>40</v>
      </c>
      <c r="B231" s="20" t="s">
        <v>380</v>
      </c>
      <c r="C231" s="19"/>
      <c r="D231" s="18" t="s">
        <v>27</v>
      </c>
      <c r="E231" s="18">
        <v>2</v>
      </c>
      <c r="F231" s="28"/>
      <c r="G231" s="20">
        <f t="shared" si="4"/>
        <v>0</v>
      </c>
      <c r="H231" s="18"/>
      <c r="I231" s="5"/>
      <c r="J231" s="5"/>
    </row>
    <row r="232" spans="1:10" s="4" customFormat="1" ht="30" customHeight="1" x14ac:dyDescent="0.2">
      <c r="A232" s="17" t="s">
        <v>57</v>
      </c>
      <c r="B232" s="20" t="s">
        <v>262</v>
      </c>
      <c r="C232" s="19" t="s">
        <v>263</v>
      </c>
      <c r="D232" s="18" t="s">
        <v>27</v>
      </c>
      <c r="E232" s="18">
        <v>16</v>
      </c>
      <c r="F232" s="28"/>
      <c r="G232" s="20">
        <f t="shared" si="4"/>
        <v>0</v>
      </c>
      <c r="H232" s="18"/>
      <c r="I232" s="5"/>
      <c r="J232" s="5"/>
    </row>
    <row r="233" spans="1:10" s="4" customFormat="1" ht="30" customHeight="1" x14ac:dyDescent="0.2">
      <c r="A233" s="17" t="s">
        <v>60</v>
      </c>
      <c r="B233" s="20" t="s">
        <v>381</v>
      </c>
      <c r="C233" s="19" t="s">
        <v>382</v>
      </c>
      <c r="D233" s="18" t="s">
        <v>27</v>
      </c>
      <c r="E233" s="18">
        <v>1</v>
      </c>
      <c r="F233" s="28"/>
      <c r="G233" s="20">
        <f t="shared" si="4"/>
        <v>0</v>
      </c>
      <c r="H233" s="18"/>
      <c r="I233" s="5"/>
      <c r="J233" s="5"/>
    </row>
    <row r="234" spans="1:10" s="4" customFormat="1" ht="57" customHeight="1" x14ac:dyDescent="0.2">
      <c r="A234" s="17" t="s">
        <v>306</v>
      </c>
      <c r="B234" s="18" t="s">
        <v>317</v>
      </c>
      <c r="C234" s="19" t="s">
        <v>318</v>
      </c>
      <c r="D234" s="18" t="s">
        <v>244</v>
      </c>
      <c r="E234" s="18"/>
      <c r="F234" s="28"/>
      <c r="G234" s="20"/>
      <c r="H234" s="18" t="s">
        <v>383</v>
      </c>
      <c r="I234" s="5"/>
      <c r="J234" s="5"/>
    </row>
    <row r="235" spans="1:10" s="4" customFormat="1" ht="138" customHeight="1" x14ac:dyDescent="0.2">
      <c r="A235" s="20" t="s">
        <v>24</v>
      </c>
      <c r="B235" s="33" t="s">
        <v>319</v>
      </c>
      <c r="C235" s="19" t="s">
        <v>320</v>
      </c>
      <c r="D235" s="33" t="s">
        <v>248</v>
      </c>
      <c r="E235" s="33">
        <v>1</v>
      </c>
      <c r="F235" s="36"/>
      <c r="G235" s="20">
        <f t="shared" si="4"/>
        <v>0</v>
      </c>
      <c r="H235" s="35"/>
      <c r="I235" s="5"/>
      <c r="J235" s="5"/>
    </row>
    <row r="236" spans="1:10" s="4" customFormat="1" ht="51.95" customHeight="1" x14ac:dyDescent="0.2">
      <c r="A236" s="20" t="s">
        <v>28</v>
      </c>
      <c r="B236" s="33" t="s">
        <v>321</v>
      </c>
      <c r="C236" s="19" t="s">
        <v>26</v>
      </c>
      <c r="D236" s="33" t="s">
        <v>27</v>
      </c>
      <c r="E236" s="33">
        <v>1</v>
      </c>
      <c r="F236" s="36"/>
      <c r="G236" s="20">
        <f t="shared" si="4"/>
        <v>0</v>
      </c>
      <c r="H236" s="18" t="s">
        <v>384</v>
      </c>
      <c r="I236" s="5"/>
      <c r="J236" s="5"/>
    </row>
    <row r="237" spans="1:10" s="4" customFormat="1" ht="47.1" customHeight="1" x14ac:dyDescent="0.2">
      <c r="A237" s="20" t="s">
        <v>40</v>
      </c>
      <c r="B237" s="33" t="s">
        <v>338</v>
      </c>
      <c r="C237" s="19" t="s">
        <v>385</v>
      </c>
      <c r="D237" s="33" t="s">
        <v>27</v>
      </c>
      <c r="E237" s="33">
        <v>1</v>
      </c>
      <c r="F237" s="41"/>
      <c r="G237" s="20">
        <f t="shared" si="4"/>
        <v>0</v>
      </c>
      <c r="H237" s="18"/>
      <c r="I237" s="5"/>
      <c r="J237" s="5"/>
    </row>
    <row r="238" spans="1:10" s="4" customFormat="1" ht="132" customHeight="1" x14ac:dyDescent="0.2">
      <c r="A238" s="17" t="s">
        <v>316</v>
      </c>
      <c r="B238" s="18" t="s">
        <v>386</v>
      </c>
      <c r="C238" s="19" t="s">
        <v>387</v>
      </c>
      <c r="D238" s="18"/>
      <c r="E238" s="18"/>
      <c r="F238" s="28"/>
      <c r="G238" s="20"/>
      <c r="H238" s="18"/>
      <c r="I238" s="5"/>
      <c r="J238" s="5"/>
    </row>
    <row r="239" spans="1:10" s="4" customFormat="1" ht="314.10000000000002" customHeight="1" x14ac:dyDescent="0.2">
      <c r="A239" s="20" t="s">
        <v>24</v>
      </c>
      <c r="B239" s="18" t="s">
        <v>246</v>
      </c>
      <c r="C239" s="19" t="s">
        <v>247</v>
      </c>
      <c r="D239" s="33" t="s">
        <v>248</v>
      </c>
      <c r="E239" s="33">
        <v>10</v>
      </c>
      <c r="F239" s="36"/>
      <c r="G239" s="20">
        <f t="shared" si="4"/>
        <v>0</v>
      </c>
      <c r="H239" s="35"/>
      <c r="I239" s="5"/>
      <c r="J239" s="5"/>
    </row>
    <row r="240" spans="1:10" s="4" customFormat="1" ht="348.95" customHeight="1" x14ac:dyDescent="0.2">
      <c r="A240" s="20" t="s">
        <v>28</v>
      </c>
      <c r="B240" s="20" t="s">
        <v>249</v>
      </c>
      <c r="C240" s="19" t="s">
        <v>250</v>
      </c>
      <c r="D240" s="33" t="s">
        <v>248</v>
      </c>
      <c r="E240" s="33">
        <v>20</v>
      </c>
      <c r="F240" s="36"/>
      <c r="G240" s="20">
        <f t="shared" si="4"/>
        <v>0</v>
      </c>
      <c r="H240" s="35"/>
      <c r="I240" s="5"/>
      <c r="J240" s="5"/>
    </row>
    <row r="241" spans="1:10" s="4" customFormat="1" ht="203.1" customHeight="1" x14ac:dyDescent="0.2">
      <c r="A241" s="20" t="s">
        <v>40</v>
      </c>
      <c r="B241" s="18" t="s">
        <v>251</v>
      </c>
      <c r="C241" s="19" t="s">
        <v>252</v>
      </c>
      <c r="D241" s="18" t="s">
        <v>248</v>
      </c>
      <c r="E241" s="18">
        <v>10</v>
      </c>
      <c r="F241" s="28"/>
      <c r="G241" s="20">
        <f t="shared" si="4"/>
        <v>0</v>
      </c>
      <c r="H241" s="35"/>
      <c r="I241" s="5"/>
      <c r="J241" s="5"/>
    </row>
    <row r="242" spans="1:10" s="4" customFormat="1" ht="270" customHeight="1" x14ac:dyDescent="0.2">
      <c r="A242" s="20" t="s">
        <v>57</v>
      </c>
      <c r="B242" s="20" t="s">
        <v>268</v>
      </c>
      <c r="C242" s="19" t="s">
        <v>269</v>
      </c>
      <c r="D242" s="20" t="s">
        <v>248</v>
      </c>
      <c r="E242" s="20">
        <v>2</v>
      </c>
      <c r="F242" s="28"/>
      <c r="G242" s="20">
        <f t="shared" si="4"/>
        <v>0</v>
      </c>
      <c r="H242" s="35"/>
      <c r="I242" s="5"/>
      <c r="J242" s="5"/>
    </row>
    <row r="243" spans="1:10" s="4" customFormat="1" ht="107.1" customHeight="1" x14ac:dyDescent="0.2">
      <c r="A243" s="20" t="s">
        <v>60</v>
      </c>
      <c r="B243" s="18" t="s">
        <v>260</v>
      </c>
      <c r="C243" s="21" t="s">
        <v>261</v>
      </c>
      <c r="D243" s="20" t="s">
        <v>248</v>
      </c>
      <c r="E243" s="20">
        <v>2</v>
      </c>
      <c r="F243" s="28"/>
      <c r="G243" s="20">
        <f t="shared" si="4"/>
        <v>0</v>
      </c>
      <c r="H243" s="18"/>
      <c r="I243" s="5"/>
      <c r="J243" s="5"/>
    </row>
    <row r="244" spans="1:10" s="4" customFormat="1" ht="135" customHeight="1" x14ac:dyDescent="0.2">
      <c r="A244" s="20" t="s">
        <v>62</v>
      </c>
      <c r="B244" s="33" t="s">
        <v>388</v>
      </c>
      <c r="C244" s="19" t="s">
        <v>312</v>
      </c>
      <c r="D244" s="33" t="s">
        <v>259</v>
      </c>
      <c r="E244" s="33">
        <v>10</v>
      </c>
      <c r="F244" s="36"/>
      <c r="G244" s="20">
        <f t="shared" si="4"/>
        <v>0</v>
      </c>
      <c r="H244" s="35"/>
      <c r="I244" s="5"/>
      <c r="J244" s="5"/>
    </row>
    <row r="245" spans="1:10" s="4" customFormat="1" ht="356.1" customHeight="1" x14ac:dyDescent="0.2">
      <c r="A245" s="20" t="s">
        <v>132</v>
      </c>
      <c r="B245" s="33" t="s">
        <v>255</v>
      </c>
      <c r="C245" s="19" t="s">
        <v>256</v>
      </c>
      <c r="D245" s="33" t="s">
        <v>248</v>
      </c>
      <c r="E245" s="33">
        <v>10</v>
      </c>
      <c r="F245" s="28"/>
      <c r="G245" s="20">
        <f t="shared" si="4"/>
        <v>0</v>
      </c>
      <c r="H245" s="35"/>
      <c r="I245" s="5"/>
      <c r="J245" s="5"/>
    </row>
    <row r="246" spans="1:10" s="4" customFormat="1" ht="129" customHeight="1" x14ac:dyDescent="0.2">
      <c r="A246" s="20" t="s">
        <v>135</v>
      </c>
      <c r="B246" s="18" t="s">
        <v>253</v>
      </c>
      <c r="C246" s="19" t="s">
        <v>254</v>
      </c>
      <c r="D246" s="33" t="s">
        <v>248</v>
      </c>
      <c r="E246" s="33">
        <v>10</v>
      </c>
      <c r="F246" s="28"/>
      <c r="G246" s="20">
        <f t="shared" si="4"/>
        <v>0</v>
      </c>
      <c r="H246" s="35"/>
      <c r="I246" s="5"/>
      <c r="J246" s="5"/>
    </row>
    <row r="247" spans="1:10" s="4" customFormat="1" ht="39.950000000000003" customHeight="1" x14ac:dyDescent="0.2">
      <c r="A247" s="20" t="s">
        <v>272</v>
      </c>
      <c r="B247" s="33" t="s">
        <v>389</v>
      </c>
      <c r="C247" s="19" t="s">
        <v>390</v>
      </c>
      <c r="D247" s="33" t="s">
        <v>304</v>
      </c>
      <c r="E247" s="33">
        <v>6500</v>
      </c>
      <c r="F247" s="36"/>
      <c r="G247" s="20">
        <f t="shared" si="4"/>
        <v>0</v>
      </c>
      <c r="H247" s="35"/>
      <c r="I247" s="5"/>
      <c r="J247" s="5"/>
    </row>
    <row r="248" spans="1:10" s="4" customFormat="1" ht="156.94999999999999" customHeight="1" x14ac:dyDescent="0.2">
      <c r="A248" s="20" t="s">
        <v>391</v>
      </c>
      <c r="B248" s="20" t="s">
        <v>392</v>
      </c>
      <c r="C248" s="19" t="s">
        <v>393</v>
      </c>
      <c r="D248" s="33" t="s">
        <v>248</v>
      </c>
      <c r="E248" s="33">
        <v>1</v>
      </c>
      <c r="F248" s="36"/>
      <c r="G248" s="20">
        <f t="shared" si="4"/>
        <v>0</v>
      </c>
      <c r="H248" s="18" t="s">
        <v>394</v>
      </c>
      <c r="I248" s="5"/>
      <c r="J248" s="5"/>
    </row>
    <row r="249" spans="1:10" s="4" customFormat="1" ht="30" customHeight="1" x14ac:dyDescent="0.2">
      <c r="A249" s="20" t="s">
        <v>395</v>
      </c>
      <c r="B249" s="20" t="s">
        <v>262</v>
      </c>
      <c r="C249" s="19" t="s">
        <v>263</v>
      </c>
      <c r="D249" s="33" t="s">
        <v>27</v>
      </c>
      <c r="E249" s="33">
        <v>1</v>
      </c>
      <c r="F249" s="36"/>
      <c r="G249" s="20">
        <f t="shared" si="4"/>
        <v>0</v>
      </c>
      <c r="H249" s="35"/>
      <c r="I249" s="5"/>
      <c r="J249" s="5"/>
    </row>
    <row r="250" spans="1:10" s="4" customFormat="1" ht="30" customHeight="1" x14ac:dyDescent="0.2">
      <c r="A250" s="17" t="s">
        <v>324</v>
      </c>
      <c r="B250" s="18" t="s">
        <v>342</v>
      </c>
      <c r="C250" s="19"/>
      <c r="D250" s="18"/>
      <c r="E250" s="18"/>
      <c r="F250" s="28"/>
      <c r="G250" s="20"/>
      <c r="H250" s="35"/>
      <c r="I250" s="5"/>
      <c r="J250" s="5"/>
    </row>
    <row r="251" spans="1:10" s="4" customFormat="1" ht="68.099999999999994" customHeight="1" x14ac:dyDescent="0.2">
      <c r="A251" s="17" t="s">
        <v>24</v>
      </c>
      <c r="B251" s="20" t="s">
        <v>343</v>
      </c>
      <c r="C251" s="19" t="s">
        <v>344</v>
      </c>
      <c r="D251" s="32" t="s">
        <v>259</v>
      </c>
      <c r="E251" s="26">
        <v>5</v>
      </c>
      <c r="F251" s="37"/>
      <c r="G251" s="20">
        <f t="shared" si="4"/>
        <v>0</v>
      </c>
      <c r="H251" s="35"/>
      <c r="I251" s="5"/>
      <c r="J251" s="5"/>
    </row>
    <row r="252" spans="1:10" s="3" customFormat="1" ht="59.1" customHeight="1" x14ac:dyDescent="0.2">
      <c r="A252" s="17" t="s">
        <v>28</v>
      </c>
      <c r="B252" s="24" t="s">
        <v>346</v>
      </c>
      <c r="C252" s="19" t="s">
        <v>347</v>
      </c>
      <c r="D252" s="20" t="s">
        <v>248</v>
      </c>
      <c r="E252" s="18">
        <v>2</v>
      </c>
      <c r="F252" s="25"/>
      <c r="G252" s="20">
        <f t="shared" si="4"/>
        <v>0</v>
      </c>
      <c r="H252" s="18" t="s">
        <v>348</v>
      </c>
    </row>
    <row r="253" spans="1:10" s="3" customFormat="1" ht="48" customHeight="1" x14ac:dyDescent="0.2">
      <c r="A253" s="18" t="s">
        <v>396</v>
      </c>
      <c r="B253" s="18" t="s">
        <v>397</v>
      </c>
      <c r="C253" s="19" t="s">
        <v>398</v>
      </c>
      <c r="D253" s="18"/>
      <c r="E253" s="18"/>
      <c r="F253" s="28"/>
      <c r="G253" s="20"/>
      <c r="H253" s="18" t="s">
        <v>399</v>
      </c>
    </row>
    <row r="254" spans="1:10" s="4" customFormat="1" ht="30" customHeight="1" x14ac:dyDescent="0.2">
      <c r="A254" s="17" t="s">
        <v>351</v>
      </c>
      <c r="B254" s="18" t="s">
        <v>400</v>
      </c>
      <c r="C254" s="19"/>
      <c r="D254" s="18"/>
      <c r="E254" s="18"/>
      <c r="F254" s="28"/>
      <c r="G254" s="20"/>
      <c r="H254" s="18"/>
      <c r="I254" s="5"/>
      <c r="J254" s="5"/>
    </row>
    <row r="255" spans="1:10" s="4" customFormat="1" ht="309.95" customHeight="1" x14ac:dyDescent="0.2">
      <c r="A255" s="17" t="s">
        <v>363</v>
      </c>
      <c r="B255" s="18" t="s">
        <v>401</v>
      </c>
      <c r="C255" s="19" t="s">
        <v>402</v>
      </c>
      <c r="D255" s="18" t="s">
        <v>248</v>
      </c>
      <c r="E255" s="18">
        <v>2</v>
      </c>
      <c r="F255" s="28"/>
      <c r="G255" s="20">
        <f t="shared" si="4"/>
        <v>0</v>
      </c>
      <c r="H255" s="18"/>
      <c r="I255" s="5"/>
      <c r="J255" s="5"/>
    </row>
    <row r="256" spans="1:10" s="4" customFormat="1" ht="84.95" customHeight="1" x14ac:dyDescent="0.2">
      <c r="A256" s="17" t="s">
        <v>364</v>
      </c>
      <c r="B256" s="18" t="s">
        <v>403</v>
      </c>
      <c r="C256" s="19" t="s">
        <v>404</v>
      </c>
      <c r="D256" s="18" t="s">
        <v>248</v>
      </c>
      <c r="E256" s="18">
        <v>2</v>
      </c>
      <c r="F256" s="28"/>
      <c r="G256" s="20">
        <f t="shared" si="4"/>
        <v>0</v>
      </c>
      <c r="H256" s="18"/>
      <c r="I256" s="42"/>
      <c r="J256" s="5"/>
    </row>
    <row r="257" spans="1:1023 1029:2045 2051:2570" s="4" customFormat="1" ht="98.1" customHeight="1" x14ac:dyDescent="0.2">
      <c r="A257" s="17" t="s">
        <v>366</v>
      </c>
      <c r="B257" s="18" t="s">
        <v>405</v>
      </c>
      <c r="C257" s="19" t="s">
        <v>406</v>
      </c>
      <c r="D257" s="18" t="s">
        <v>248</v>
      </c>
      <c r="E257" s="18">
        <v>2</v>
      </c>
      <c r="F257" s="28"/>
      <c r="G257" s="20">
        <f t="shared" si="4"/>
        <v>0</v>
      </c>
      <c r="H257" s="18"/>
      <c r="I257" s="42"/>
      <c r="J257" s="5"/>
    </row>
    <row r="258" spans="1:1023 1029:2045 2051:2570" s="4" customFormat="1" ht="30" customHeight="1" x14ac:dyDescent="0.2">
      <c r="A258" s="17" t="s">
        <v>28</v>
      </c>
      <c r="B258" s="18" t="s">
        <v>407</v>
      </c>
      <c r="C258" s="19" t="s">
        <v>408</v>
      </c>
      <c r="D258" s="18" t="s">
        <v>27</v>
      </c>
      <c r="E258" s="18">
        <v>2</v>
      </c>
      <c r="F258" s="28"/>
      <c r="G258" s="20">
        <f t="shared" si="4"/>
        <v>0</v>
      </c>
      <c r="H258" s="18"/>
      <c r="I258" s="5"/>
      <c r="J258" s="5"/>
    </row>
    <row r="259" spans="1:1023 1029:2045 2051:2570" s="4" customFormat="1" ht="116.1" customHeight="1" x14ac:dyDescent="0.2">
      <c r="A259" s="18" t="s">
        <v>409</v>
      </c>
      <c r="B259" s="18" t="s">
        <v>410</v>
      </c>
      <c r="C259" s="19" t="s">
        <v>411</v>
      </c>
      <c r="D259" s="18" t="s">
        <v>27</v>
      </c>
      <c r="E259" s="18">
        <v>2</v>
      </c>
      <c r="F259" s="28"/>
      <c r="G259" s="20">
        <f t="shared" si="4"/>
        <v>0</v>
      </c>
      <c r="H259" s="18" t="s">
        <v>412</v>
      </c>
      <c r="I259" s="5"/>
      <c r="J259" s="5"/>
    </row>
    <row r="260" spans="1:1023 1029:2045 2051:2570" s="4" customFormat="1" ht="30" customHeight="1" x14ac:dyDescent="0.2">
      <c r="A260" s="18" t="s">
        <v>413</v>
      </c>
      <c r="B260" s="18" t="s">
        <v>414</v>
      </c>
      <c r="C260" s="19"/>
      <c r="D260" s="18"/>
      <c r="E260" s="18"/>
      <c r="F260" s="28"/>
      <c r="G260" s="20"/>
      <c r="H260" s="18"/>
      <c r="I260" s="5"/>
      <c r="J260" s="5"/>
    </row>
    <row r="261" spans="1:1023 1029:2045 2051:2570" s="3" customFormat="1" ht="30" customHeight="1" x14ac:dyDescent="0.2">
      <c r="A261" s="18" t="s">
        <v>415</v>
      </c>
      <c r="B261" s="18" t="s">
        <v>416</v>
      </c>
      <c r="C261" s="19" t="s">
        <v>417</v>
      </c>
      <c r="D261" s="18"/>
      <c r="E261" s="18"/>
      <c r="F261" s="28"/>
      <c r="G261" s="20"/>
      <c r="H261" s="18" t="s">
        <v>418</v>
      </c>
    </row>
    <row r="262" spans="1:1023 1029:2045 2051:2570" s="6" customFormat="1" ht="408.95" customHeight="1" x14ac:dyDescent="0.2">
      <c r="A262" s="17" t="s">
        <v>351</v>
      </c>
      <c r="B262" s="33" t="s">
        <v>419</v>
      </c>
      <c r="C262" s="19" t="s">
        <v>420</v>
      </c>
      <c r="D262" s="26" t="s">
        <v>248</v>
      </c>
      <c r="E262" s="33">
        <v>5</v>
      </c>
      <c r="F262" s="36"/>
      <c r="G262" s="20">
        <f t="shared" si="4"/>
        <v>0</v>
      </c>
      <c r="H262" s="20"/>
      <c r="N262" s="43"/>
      <c r="O262" s="44"/>
      <c r="U262" s="43"/>
      <c r="V262" s="44"/>
      <c r="AB262" s="43"/>
      <c r="AC262" s="44"/>
      <c r="AI262" s="43"/>
      <c r="AJ262" s="44"/>
      <c r="AP262" s="43"/>
      <c r="AQ262" s="44"/>
      <c r="AW262" s="43"/>
      <c r="AX262" s="44"/>
      <c r="BD262" s="43"/>
      <c r="BE262" s="44"/>
      <c r="BK262" s="43"/>
      <c r="BL262" s="44"/>
      <c r="BR262" s="43"/>
      <c r="BS262" s="44"/>
      <c r="BY262" s="43"/>
      <c r="BZ262" s="44"/>
      <c r="CF262" s="43"/>
      <c r="CG262" s="44"/>
      <c r="CM262" s="43"/>
      <c r="CN262" s="44"/>
      <c r="CT262" s="43"/>
      <c r="CU262" s="44"/>
      <c r="DA262" s="43"/>
      <c r="DB262" s="44"/>
      <c r="DH262" s="43"/>
      <c r="DI262" s="44"/>
      <c r="DO262" s="43"/>
      <c r="DP262" s="44"/>
      <c r="DV262" s="43"/>
      <c r="DW262" s="44"/>
      <c r="EC262" s="43"/>
      <c r="ED262" s="44"/>
      <c r="EJ262" s="43"/>
      <c r="EK262" s="44"/>
      <c r="EQ262" s="43"/>
      <c r="ER262" s="44"/>
      <c r="EX262" s="43"/>
      <c r="EY262" s="44"/>
      <c r="FE262" s="43"/>
      <c r="FF262" s="44"/>
      <c r="FL262" s="43"/>
      <c r="FM262" s="44"/>
      <c r="FS262" s="43"/>
      <c r="FT262" s="44"/>
      <c r="FZ262" s="43"/>
      <c r="GA262" s="44"/>
      <c r="GG262" s="43"/>
      <c r="GH262" s="44"/>
      <c r="GN262" s="43"/>
      <c r="GO262" s="44"/>
      <c r="GU262" s="43"/>
      <c r="GV262" s="44"/>
      <c r="HB262" s="43"/>
      <c r="HC262" s="44"/>
      <c r="HI262" s="43"/>
      <c r="HJ262" s="44"/>
      <c r="HP262" s="43"/>
      <c r="HQ262" s="44"/>
      <c r="HW262" s="43"/>
      <c r="HX262" s="44"/>
      <c r="ID262" s="43"/>
      <c r="IE262" s="44"/>
      <c r="IK262" s="43"/>
      <c r="IL262" s="44"/>
      <c r="IR262" s="43"/>
      <c r="IS262" s="44"/>
      <c r="IY262" s="43"/>
      <c r="IZ262" s="44"/>
      <c r="JF262" s="43"/>
      <c r="JG262" s="44"/>
      <c r="JM262" s="43"/>
      <c r="JN262" s="44"/>
      <c r="JT262" s="43"/>
      <c r="JU262" s="44"/>
      <c r="KA262" s="43"/>
      <c r="KB262" s="44"/>
      <c r="KH262" s="43"/>
      <c r="KI262" s="44"/>
      <c r="KO262" s="43"/>
      <c r="KP262" s="44"/>
      <c r="KV262" s="43"/>
      <c r="KW262" s="44"/>
      <c r="LC262" s="43"/>
      <c r="LD262" s="44"/>
      <c r="LJ262" s="43"/>
      <c r="LK262" s="44"/>
      <c r="LQ262" s="43"/>
      <c r="LR262" s="44"/>
      <c r="LX262" s="43"/>
      <c r="LY262" s="44"/>
      <c r="ME262" s="43"/>
      <c r="MF262" s="44"/>
      <c r="ML262" s="43"/>
      <c r="MM262" s="44"/>
      <c r="MS262" s="43"/>
      <c r="MT262" s="44"/>
      <c r="MZ262" s="43"/>
      <c r="NA262" s="44"/>
      <c r="NG262" s="43"/>
      <c r="NH262" s="44"/>
      <c r="NN262" s="43"/>
      <c r="NO262" s="44"/>
      <c r="NU262" s="43"/>
      <c r="NV262" s="44"/>
      <c r="OB262" s="43"/>
      <c r="OC262" s="44"/>
      <c r="OI262" s="43"/>
      <c r="OJ262" s="44"/>
      <c r="OP262" s="43"/>
      <c r="OQ262" s="44"/>
      <c r="OW262" s="43"/>
      <c r="OX262" s="44"/>
      <c r="PD262" s="43"/>
      <c r="PE262" s="44"/>
      <c r="PK262" s="43"/>
      <c r="PL262" s="44"/>
      <c r="PR262" s="43"/>
      <c r="PS262" s="44"/>
      <c r="PY262" s="43"/>
      <c r="PZ262" s="44"/>
      <c r="QF262" s="43"/>
      <c r="QG262" s="44"/>
      <c r="QM262" s="43"/>
      <c r="QN262" s="44"/>
      <c r="QT262" s="43"/>
      <c r="QU262" s="44"/>
      <c r="RA262" s="43"/>
      <c r="RB262" s="44"/>
      <c r="RH262" s="43"/>
      <c r="RI262" s="44"/>
      <c r="RO262" s="43"/>
      <c r="RP262" s="44"/>
      <c r="RV262" s="43"/>
      <c r="RW262" s="44"/>
      <c r="SC262" s="43"/>
      <c r="SD262" s="44"/>
      <c r="SJ262" s="43"/>
      <c r="SK262" s="44"/>
      <c r="SQ262" s="43"/>
      <c r="SR262" s="44"/>
      <c r="SX262" s="43"/>
      <c r="SY262" s="44"/>
      <c r="TE262" s="43"/>
      <c r="TF262" s="44"/>
      <c r="TL262" s="43"/>
      <c r="TM262" s="44"/>
      <c r="TS262" s="43"/>
      <c r="TT262" s="44"/>
      <c r="TZ262" s="43"/>
      <c r="UA262" s="44"/>
      <c r="UG262" s="43"/>
      <c r="UH262" s="44"/>
      <c r="UN262" s="43"/>
      <c r="UO262" s="44"/>
      <c r="UU262" s="43"/>
      <c r="UV262" s="44"/>
      <c r="VB262" s="43"/>
      <c r="VC262" s="44"/>
      <c r="VI262" s="43"/>
      <c r="VJ262" s="44"/>
      <c r="VP262" s="43"/>
      <c r="VQ262" s="44"/>
      <c r="VW262" s="43"/>
      <c r="VX262" s="44"/>
      <c r="WD262" s="43"/>
      <c r="WE262" s="44"/>
      <c r="WK262" s="43"/>
      <c r="WL262" s="44"/>
      <c r="WR262" s="43"/>
      <c r="WS262" s="44"/>
      <c r="WY262" s="43"/>
      <c r="WZ262" s="44"/>
      <c r="XF262" s="43"/>
      <c r="XG262" s="44"/>
      <c r="XM262" s="43"/>
      <c r="XN262" s="44"/>
      <c r="XT262" s="43"/>
      <c r="XU262" s="44"/>
      <c r="YA262" s="43"/>
      <c r="YB262" s="44"/>
      <c r="YH262" s="43"/>
      <c r="YI262" s="44"/>
      <c r="YO262" s="43"/>
      <c r="YP262" s="44"/>
      <c r="YV262" s="43"/>
      <c r="YW262" s="44"/>
      <c r="ZC262" s="43"/>
      <c r="ZD262" s="44"/>
      <c r="ZJ262" s="43"/>
      <c r="ZK262" s="44"/>
      <c r="ZQ262" s="43"/>
      <c r="ZR262" s="44"/>
      <c r="ZX262" s="43"/>
      <c r="ZY262" s="44"/>
      <c r="AAE262" s="43"/>
      <c r="AAF262" s="44"/>
      <c r="AAL262" s="43"/>
      <c r="AAM262" s="44"/>
      <c r="AAS262" s="43"/>
      <c r="AAT262" s="44"/>
      <c r="AAZ262" s="43"/>
      <c r="ABA262" s="44"/>
      <c r="ABG262" s="43"/>
      <c r="ABH262" s="44"/>
      <c r="ABN262" s="43"/>
      <c r="ABO262" s="44"/>
      <c r="ABU262" s="43"/>
      <c r="ABV262" s="44"/>
      <c r="ACB262" s="43"/>
      <c r="ACC262" s="44"/>
      <c r="ACI262" s="43"/>
      <c r="ACJ262" s="44"/>
      <c r="ACP262" s="43"/>
      <c r="ACQ262" s="44"/>
      <c r="ACW262" s="43"/>
      <c r="ACX262" s="44"/>
      <c r="ADD262" s="43"/>
      <c r="ADE262" s="44"/>
      <c r="ADK262" s="43"/>
      <c r="ADL262" s="44"/>
      <c r="ADR262" s="43"/>
      <c r="ADS262" s="44"/>
      <c r="ADY262" s="43"/>
      <c r="ADZ262" s="44"/>
      <c r="AEF262" s="43"/>
      <c r="AEG262" s="44"/>
      <c r="AEM262" s="43"/>
      <c r="AEN262" s="44"/>
      <c r="AET262" s="43"/>
      <c r="AEU262" s="44"/>
      <c r="AFA262" s="43"/>
      <c r="AFB262" s="44"/>
      <c r="AFH262" s="43"/>
      <c r="AFI262" s="44"/>
      <c r="AFO262" s="43"/>
      <c r="AFP262" s="44"/>
      <c r="AFV262" s="43"/>
      <c r="AFW262" s="44"/>
      <c r="AGC262" s="43"/>
      <c r="AGD262" s="44"/>
      <c r="AGJ262" s="43"/>
      <c r="AGK262" s="44"/>
      <c r="AGQ262" s="43"/>
      <c r="AGR262" s="44"/>
      <c r="AGX262" s="43"/>
      <c r="AGY262" s="44"/>
      <c r="AHE262" s="43"/>
      <c r="AHF262" s="44"/>
      <c r="AHL262" s="43"/>
      <c r="AHM262" s="44"/>
      <c r="AHS262" s="43"/>
      <c r="AHT262" s="44"/>
      <c r="AHZ262" s="43"/>
      <c r="AIA262" s="44"/>
      <c r="AIG262" s="43"/>
      <c r="AIH262" s="44"/>
      <c r="AIN262" s="43"/>
      <c r="AIO262" s="44"/>
      <c r="AIU262" s="43"/>
      <c r="AIV262" s="44"/>
      <c r="AJB262" s="43"/>
      <c r="AJC262" s="44"/>
      <c r="AJI262" s="43"/>
      <c r="AJJ262" s="44"/>
      <c r="AJP262" s="43"/>
      <c r="AJQ262" s="44"/>
      <c r="AJW262" s="43"/>
      <c r="AJX262" s="44"/>
      <c r="AKD262" s="43"/>
      <c r="AKE262" s="44"/>
      <c r="AKK262" s="43"/>
      <c r="AKL262" s="44"/>
      <c r="AKR262" s="43"/>
      <c r="AKS262" s="44"/>
      <c r="AKY262" s="43"/>
      <c r="AKZ262" s="44"/>
      <c r="ALF262" s="43"/>
      <c r="ALG262" s="44"/>
      <c r="ALM262" s="43"/>
      <c r="ALN262" s="44"/>
      <c r="ALT262" s="43"/>
      <c r="ALU262" s="44"/>
      <c r="AMA262" s="43"/>
      <c r="AMB262" s="44"/>
      <c r="AMH262" s="43"/>
      <c r="AMI262" s="44"/>
      <c r="AMO262" s="43"/>
      <c r="AMP262" s="44"/>
      <c r="AMV262" s="43"/>
      <c r="AMW262" s="44"/>
      <c r="ANC262" s="43"/>
      <c r="AND262" s="44"/>
      <c r="ANJ262" s="43"/>
      <c r="ANK262" s="44"/>
      <c r="ANQ262" s="43"/>
      <c r="ANR262" s="44"/>
      <c r="ANX262" s="43"/>
      <c r="ANY262" s="44"/>
      <c r="AOE262" s="43"/>
      <c r="AOF262" s="44"/>
      <c r="AOL262" s="43"/>
      <c r="AOM262" s="44"/>
      <c r="AOS262" s="43"/>
      <c r="AOT262" s="44"/>
      <c r="AOZ262" s="43"/>
      <c r="APA262" s="44"/>
      <c r="APG262" s="43"/>
      <c r="APH262" s="44"/>
      <c r="APN262" s="43"/>
      <c r="APO262" s="44"/>
      <c r="APU262" s="43"/>
      <c r="APV262" s="44"/>
      <c r="AQB262" s="43"/>
      <c r="AQC262" s="44"/>
      <c r="AQI262" s="43"/>
      <c r="AQJ262" s="44"/>
      <c r="AQP262" s="43"/>
      <c r="AQQ262" s="44"/>
      <c r="AQW262" s="43"/>
      <c r="AQX262" s="44"/>
      <c r="ARD262" s="43"/>
      <c r="ARE262" s="44"/>
      <c r="ARK262" s="43"/>
      <c r="ARL262" s="44"/>
      <c r="ARR262" s="43"/>
      <c r="ARS262" s="44"/>
      <c r="ARY262" s="43"/>
      <c r="ARZ262" s="44"/>
      <c r="ASF262" s="43"/>
      <c r="ASG262" s="44"/>
      <c r="ASM262" s="43"/>
      <c r="ASN262" s="44"/>
      <c r="AST262" s="43"/>
      <c r="ASU262" s="44"/>
      <c r="ATA262" s="43"/>
      <c r="ATB262" s="44"/>
      <c r="ATH262" s="43"/>
      <c r="ATI262" s="44"/>
      <c r="ATO262" s="43"/>
      <c r="ATP262" s="44"/>
      <c r="ATV262" s="43"/>
      <c r="ATW262" s="44"/>
      <c r="AUC262" s="43"/>
      <c r="AUD262" s="44"/>
      <c r="AUJ262" s="43"/>
      <c r="AUK262" s="44"/>
      <c r="AUQ262" s="43"/>
      <c r="AUR262" s="44"/>
      <c r="AUX262" s="43"/>
      <c r="AUY262" s="44"/>
      <c r="AVE262" s="43"/>
      <c r="AVF262" s="44"/>
      <c r="AVL262" s="43"/>
      <c r="AVM262" s="44"/>
      <c r="AVS262" s="43"/>
      <c r="AVT262" s="44"/>
      <c r="AVZ262" s="43"/>
      <c r="AWA262" s="44"/>
      <c r="AWG262" s="43"/>
      <c r="AWH262" s="44"/>
      <c r="AWN262" s="43"/>
      <c r="AWO262" s="44"/>
      <c r="AWU262" s="43"/>
      <c r="AWV262" s="44"/>
      <c r="AXB262" s="43"/>
      <c r="AXC262" s="44"/>
      <c r="AXI262" s="43"/>
      <c r="AXJ262" s="44"/>
      <c r="AXP262" s="43"/>
      <c r="AXQ262" s="44"/>
      <c r="AXW262" s="43"/>
      <c r="AXX262" s="44"/>
      <c r="AYD262" s="43"/>
      <c r="AYE262" s="44"/>
      <c r="AYK262" s="43"/>
      <c r="AYL262" s="44"/>
      <c r="AYR262" s="43"/>
      <c r="AYS262" s="44"/>
      <c r="AYY262" s="43"/>
      <c r="AYZ262" s="44"/>
      <c r="AZF262" s="43"/>
      <c r="AZG262" s="44"/>
      <c r="AZM262" s="43"/>
      <c r="AZN262" s="44"/>
      <c r="AZT262" s="43"/>
      <c r="AZU262" s="44"/>
      <c r="BAA262" s="43"/>
      <c r="BAB262" s="44"/>
      <c r="BAH262" s="43"/>
      <c r="BAI262" s="44"/>
      <c r="BAO262" s="43"/>
      <c r="BAP262" s="44"/>
      <c r="BAV262" s="43"/>
      <c r="BAW262" s="44"/>
      <c r="BBC262" s="43"/>
      <c r="BBD262" s="44"/>
      <c r="BBJ262" s="43"/>
      <c r="BBK262" s="44"/>
      <c r="BBQ262" s="43"/>
      <c r="BBR262" s="44"/>
      <c r="BBX262" s="43"/>
      <c r="BBY262" s="44"/>
      <c r="BCE262" s="43"/>
      <c r="BCF262" s="44"/>
      <c r="BCL262" s="43"/>
      <c r="BCM262" s="44"/>
      <c r="BCS262" s="43"/>
      <c r="BCT262" s="44"/>
      <c r="BCZ262" s="43"/>
      <c r="BDA262" s="44"/>
      <c r="BDG262" s="43"/>
      <c r="BDH262" s="44"/>
      <c r="BDN262" s="43"/>
      <c r="BDO262" s="44"/>
      <c r="BDU262" s="43"/>
      <c r="BDV262" s="44"/>
      <c r="BEB262" s="43"/>
      <c r="BEC262" s="44"/>
      <c r="BEI262" s="43"/>
      <c r="BEJ262" s="44"/>
      <c r="BEP262" s="43"/>
      <c r="BEQ262" s="44"/>
      <c r="BEW262" s="43"/>
      <c r="BEX262" s="44"/>
      <c r="BFD262" s="43"/>
      <c r="BFE262" s="44"/>
      <c r="BFK262" s="43"/>
      <c r="BFL262" s="44"/>
      <c r="BFR262" s="43"/>
      <c r="BFS262" s="44"/>
      <c r="BFY262" s="43"/>
      <c r="BFZ262" s="44"/>
      <c r="BGF262" s="43"/>
      <c r="BGG262" s="44"/>
      <c r="BGM262" s="43"/>
      <c r="BGN262" s="44"/>
      <c r="BGT262" s="43"/>
      <c r="BGU262" s="44"/>
      <c r="BHA262" s="43"/>
      <c r="BHB262" s="44"/>
      <c r="BHH262" s="43"/>
      <c r="BHI262" s="44"/>
      <c r="BHO262" s="43"/>
      <c r="BHP262" s="44"/>
      <c r="BHV262" s="43"/>
      <c r="BHW262" s="44"/>
      <c r="BIC262" s="43"/>
      <c r="BID262" s="44"/>
      <c r="BIJ262" s="43"/>
      <c r="BIK262" s="44"/>
      <c r="BIQ262" s="43"/>
      <c r="BIR262" s="44"/>
      <c r="BIX262" s="43"/>
      <c r="BIY262" s="44"/>
      <c r="BJE262" s="43"/>
      <c r="BJF262" s="44"/>
      <c r="BJL262" s="43"/>
      <c r="BJM262" s="44"/>
      <c r="BJS262" s="43"/>
      <c r="BJT262" s="44"/>
      <c r="BJZ262" s="43"/>
      <c r="BKA262" s="44"/>
      <c r="BKG262" s="43"/>
      <c r="BKH262" s="44"/>
      <c r="BKN262" s="43"/>
      <c r="BKO262" s="44"/>
      <c r="BKU262" s="43"/>
      <c r="BKV262" s="44"/>
      <c r="BLB262" s="43"/>
      <c r="BLC262" s="44"/>
      <c r="BLI262" s="43"/>
      <c r="BLJ262" s="44"/>
      <c r="BLP262" s="43"/>
      <c r="BLQ262" s="44"/>
      <c r="BLW262" s="43"/>
      <c r="BLX262" s="44"/>
      <c r="BMD262" s="43"/>
      <c r="BME262" s="44"/>
      <c r="BMK262" s="43"/>
      <c r="BML262" s="44"/>
      <c r="BMR262" s="43"/>
      <c r="BMS262" s="44"/>
      <c r="BMY262" s="43"/>
      <c r="BMZ262" s="44"/>
      <c r="BNF262" s="43"/>
      <c r="BNG262" s="44"/>
      <c r="BNM262" s="43"/>
      <c r="BNN262" s="44"/>
      <c r="BNT262" s="43"/>
      <c r="BNU262" s="44"/>
      <c r="BOA262" s="43"/>
      <c r="BOB262" s="44"/>
      <c r="BOH262" s="43"/>
      <c r="BOI262" s="44"/>
      <c r="BOO262" s="43"/>
      <c r="BOP262" s="44"/>
      <c r="BOV262" s="43"/>
      <c r="BOW262" s="44"/>
      <c r="BPC262" s="43"/>
      <c r="BPD262" s="44"/>
      <c r="BPJ262" s="43"/>
      <c r="BPK262" s="44"/>
      <c r="BPQ262" s="43"/>
      <c r="BPR262" s="44"/>
      <c r="BPX262" s="43"/>
      <c r="BPY262" s="44"/>
      <c r="BQE262" s="43"/>
      <c r="BQF262" s="44"/>
      <c r="BQL262" s="43"/>
      <c r="BQM262" s="44"/>
      <c r="BQS262" s="43"/>
      <c r="BQT262" s="44"/>
      <c r="BQZ262" s="43"/>
      <c r="BRA262" s="44"/>
      <c r="BRG262" s="43"/>
      <c r="BRH262" s="44"/>
      <c r="BRN262" s="43"/>
      <c r="BRO262" s="44"/>
      <c r="BRU262" s="43"/>
      <c r="BRV262" s="44"/>
      <c r="BSB262" s="43"/>
      <c r="BSC262" s="44"/>
      <c r="BSI262" s="43"/>
      <c r="BSJ262" s="44"/>
      <c r="BSP262" s="43"/>
      <c r="BSQ262" s="44"/>
      <c r="BSW262" s="43"/>
      <c r="BSX262" s="44"/>
      <c r="BTD262" s="43"/>
      <c r="BTE262" s="44"/>
      <c r="BTK262" s="43"/>
      <c r="BTL262" s="44"/>
      <c r="BTR262" s="43"/>
      <c r="BTS262" s="44"/>
      <c r="BTY262" s="43"/>
      <c r="BTZ262" s="44"/>
      <c r="BUF262" s="43"/>
      <c r="BUG262" s="44"/>
      <c r="BUM262" s="43"/>
      <c r="BUN262" s="44"/>
      <c r="BUT262" s="43"/>
      <c r="BUU262" s="44"/>
      <c r="BVA262" s="43"/>
      <c r="BVB262" s="44"/>
      <c r="BVH262" s="43"/>
      <c r="BVI262" s="44"/>
      <c r="BVO262" s="43"/>
      <c r="BVP262" s="44"/>
      <c r="BVV262" s="43"/>
      <c r="BVW262" s="44"/>
      <c r="BWC262" s="43"/>
      <c r="BWD262" s="44"/>
      <c r="BWJ262" s="43"/>
      <c r="BWK262" s="44"/>
      <c r="BWQ262" s="43"/>
      <c r="BWR262" s="44"/>
      <c r="BWX262" s="43"/>
      <c r="BWY262" s="44"/>
      <c r="BXE262" s="43"/>
      <c r="BXF262" s="44"/>
      <c r="BXL262" s="43"/>
      <c r="BXM262" s="44"/>
      <c r="BXS262" s="43"/>
      <c r="BXT262" s="44"/>
      <c r="BXZ262" s="43"/>
      <c r="BYA262" s="44"/>
      <c r="BYG262" s="43"/>
      <c r="BYH262" s="44"/>
      <c r="BYN262" s="43"/>
      <c r="BYO262" s="44"/>
      <c r="BYU262" s="43"/>
      <c r="BYV262" s="44"/>
      <c r="BZB262" s="43"/>
      <c r="BZC262" s="44"/>
      <c r="BZI262" s="43"/>
      <c r="BZJ262" s="44"/>
      <c r="BZP262" s="43"/>
      <c r="BZQ262" s="44"/>
      <c r="BZW262" s="43"/>
      <c r="BZX262" s="44"/>
      <c r="CAD262" s="43"/>
      <c r="CAE262" s="44"/>
      <c r="CAK262" s="43"/>
      <c r="CAL262" s="44"/>
      <c r="CAR262" s="43"/>
      <c r="CAS262" s="44"/>
      <c r="CAY262" s="43"/>
      <c r="CAZ262" s="44"/>
      <c r="CBF262" s="43"/>
      <c r="CBG262" s="44"/>
      <c r="CBM262" s="43"/>
      <c r="CBN262" s="44"/>
      <c r="CBT262" s="43"/>
      <c r="CBU262" s="44"/>
      <c r="CCA262" s="43"/>
      <c r="CCB262" s="44"/>
      <c r="CCH262" s="43"/>
      <c r="CCI262" s="44"/>
      <c r="CCO262" s="43"/>
      <c r="CCP262" s="44"/>
      <c r="CCV262" s="43"/>
      <c r="CCW262" s="44"/>
      <c r="CDC262" s="43"/>
      <c r="CDD262" s="44"/>
      <c r="CDJ262" s="43"/>
      <c r="CDK262" s="44"/>
      <c r="CDQ262" s="43"/>
      <c r="CDR262" s="44"/>
      <c r="CDX262" s="43"/>
      <c r="CDY262" s="44"/>
      <c r="CEE262" s="43"/>
      <c r="CEF262" s="44"/>
      <c r="CEL262" s="43"/>
      <c r="CEM262" s="44"/>
      <c r="CES262" s="43"/>
      <c r="CET262" s="44"/>
      <c r="CEZ262" s="43"/>
      <c r="CFA262" s="44"/>
      <c r="CFG262" s="43"/>
      <c r="CFH262" s="44"/>
      <c r="CFN262" s="43"/>
      <c r="CFO262" s="44"/>
      <c r="CFU262" s="43"/>
      <c r="CFV262" s="44"/>
      <c r="CGB262" s="43"/>
      <c r="CGC262" s="44"/>
      <c r="CGI262" s="43"/>
      <c r="CGJ262" s="44"/>
      <c r="CGP262" s="43"/>
      <c r="CGQ262" s="44"/>
      <c r="CGW262" s="43"/>
      <c r="CGX262" s="44"/>
      <c r="CHD262" s="43"/>
      <c r="CHE262" s="44"/>
      <c r="CHK262" s="43"/>
      <c r="CHL262" s="44"/>
      <c r="CHR262" s="43"/>
      <c r="CHS262" s="44"/>
      <c r="CHY262" s="43"/>
      <c r="CHZ262" s="44"/>
      <c r="CIF262" s="43"/>
      <c r="CIG262" s="44"/>
      <c r="CIM262" s="43"/>
      <c r="CIN262" s="44"/>
      <c r="CIT262" s="43"/>
      <c r="CIU262" s="44"/>
      <c r="CJA262" s="43"/>
      <c r="CJB262" s="44"/>
      <c r="CJH262" s="43"/>
      <c r="CJI262" s="44"/>
      <c r="CJO262" s="43"/>
      <c r="CJP262" s="44"/>
      <c r="CJV262" s="43"/>
      <c r="CJW262" s="44"/>
      <c r="CKC262" s="43"/>
      <c r="CKD262" s="44"/>
      <c r="CKJ262" s="43"/>
      <c r="CKK262" s="44"/>
      <c r="CKQ262" s="43"/>
      <c r="CKR262" s="44"/>
      <c r="CKX262" s="43"/>
      <c r="CKY262" s="44"/>
      <c r="CLE262" s="43"/>
      <c r="CLF262" s="44"/>
      <c r="CLL262" s="43"/>
      <c r="CLM262" s="44"/>
      <c r="CLS262" s="43"/>
      <c r="CLT262" s="44"/>
      <c r="CLZ262" s="43"/>
      <c r="CMA262" s="44"/>
      <c r="CMG262" s="43"/>
      <c r="CMH262" s="44"/>
      <c r="CMN262" s="43"/>
      <c r="CMO262" s="44"/>
      <c r="CMU262" s="43"/>
      <c r="CMV262" s="44"/>
      <c r="CNB262" s="43"/>
      <c r="CNC262" s="44"/>
      <c r="CNI262" s="43"/>
      <c r="CNJ262" s="44"/>
      <c r="CNP262" s="43"/>
      <c r="CNQ262" s="44"/>
      <c r="CNW262" s="43"/>
      <c r="CNX262" s="44"/>
      <c r="COD262" s="43"/>
      <c r="COE262" s="44"/>
      <c r="COK262" s="43"/>
      <c r="COL262" s="44"/>
      <c r="COR262" s="43"/>
      <c r="COS262" s="44"/>
      <c r="COY262" s="43"/>
      <c r="COZ262" s="44"/>
      <c r="CPF262" s="43"/>
      <c r="CPG262" s="44"/>
      <c r="CPM262" s="43"/>
      <c r="CPN262" s="44"/>
      <c r="CPT262" s="43"/>
      <c r="CPU262" s="44"/>
      <c r="CQA262" s="43"/>
      <c r="CQB262" s="44"/>
      <c r="CQH262" s="43"/>
      <c r="CQI262" s="44"/>
      <c r="CQO262" s="43"/>
      <c r="CQP262" s="44"/>
      <c r="CQV262" s="43"/>
      <c r="CQW262" s="44"/>
      <c r="CRC262" s="43"/>
      <c r="CRD262" s="44"/>
      <c r="CRJ262" s="43"/>
      <c r="CRK262" s="44"/>
      <c r="CRQ262" s="43"/>
      <c r="CRR262" s="44"/>
      <c r="CRX262" s="43"/>
      <c r="CRY262" s="44"/>
      <c r="CSE262" s="43"/>
      <c r="CSF262" s="44"/>
      <c r="CSL262" s="43"/>
      <c r="CSM262" s="44"/>
      <c r="CSS262" s="43"/>
      <c r="CST262" s="44"/>
      <c r="CSZ262" s="43"/>
      <c r="CTA262" s="44"/>
      <c r="CTG262" s="43"/>
      <c r="CTH262" s="44"/>
      <c r="CTN262" s="43"/>
      <c r="CTO262" s="44"/>
      <c r="CTU262" s="43"/>
      <c r="CTV262" s="44"/>
    </row>
    <row r="263" spans="1:1023 1029:2045 2051:2570" s="6" customFormat="1" ht="344.1" customHeight="1" x14ac:dyDescent="0.2">
      <c r="A263" s="17" t="s">
        <v>354</v>
      </c>
      <c r="B263" s="33" t="s">
        <v>280</v>
      </c>
      <c r="C263" s="19" t="s">
        <v>281</v>
      </c>
      <c r="D263" s="26" t="s">
        <v>248</v>
      </c>
      <c r="E263" s="33">
        <v>5</v>
      </c>
      <c r="F263" s="36"/>
      <c r="G263" s="20">
        <f t="shared" si="4"/>
        <v>0</v>
      </c>
      <c r="H263" s="20"/>
      <c r="N263" s="43"/>
      <c r="O263" s="44"/>
      <c r="U263" s="43"/>
      <c r="V263" s="44"/>
      <c r="AB263" s="43"/>
      <c r="AC263" s="44"/>
      <c r="AI263" s="43"/>
      <c r="AJ263" s="44"/>
      <c r="AP263" s="43"/>
      <c r="AQ263" s="44"/>
      <c r="AW263" s="43"/>
      <c r="AX263" s="44"/>
      <c r="BD263" s="43"/>
      <c r="BE263" s="44"/>
      <c r="BK263" s="43"/>
      <c r="BL263" s="44"/>
      <c r="BR263" s="43"/>
      <c r="BS263" s="44"/>
      <c r="BY263" s="43"/>
      <c r="BZ263" s="44"/>
      <c r="CF263" s="43"/>
      <c r="CG263" s="44"/>
      <c r="CM263" s="43"/>
      <c r="CN263" s="44"/>
      <c r="CT263" s="43"/>
      <c r="CU263" s="44"/>
      <c r="DA263" s="43"/>
      <c r="DB263" s="44"/>
      <c r="DH263" s="43"/>
      <c r="DI263" s="44"/>
      <c r="DO263" s="43"/>
      <c r="DP263" s="44"/>
      <c r="DV263" s="43"/>
      <c r="DW263" s="44"/>
      <c r="EC263" s="43"/>
      <c r="ED263" s="44"/>
      <c r="EJ263" s="43"/>
      <c r="EK263" s="44"/>
      <c r="EQ263" s="43"/>
      <c r="ER263" s="44"/>
      <c r="EX263" s="43"/>
      <c r="EY263" s="44"/>
      <c r="FE263" s="43"/>
      <c r="FF263" s="44"/>
      <c r="FL263" s="43"/>
      <c r="FM263" s="44"/>
      <c r="FS263" s="43"/>
      <c r="FT263" s="44"/>
      <c r="FZ263" s="43"/>
      <c r="GA263" s="44"/>
      <c r="GG263" s="43"/>
      <c r="GH263" s="44"/>
      <c r="GN263" s="43"/>
      <c r="GO263" s="44"/>
      <c r="GU263" s="43"/>
      <c r="GV263" s="44"/>
      <c r="HB263" s="43"/>
      <c r="HC263" s="44"/>
      <c r="HI263" s="43"/>
      <c r="HJ263" s="44"/>
      <c r="HP263" s="43"/>
      <c r="HQ263" s="44"/>
      <c r="HW263" s="43"/>
      <c r="HX263" s="44"/>
      <c r="ID263" s="43"/>
      <c r="IE263" s="44"/>
      <c r="IK263" s="43"/>
      <c r="IL263" s="44"/>
      <c r="IR263" s="43"/>
      <c r="IS263" s="44"/>
      <c r="IY263" s="43"/>
      <c r="IZ263" s="44"/>
      <c r="JF263" s="43"/>
      <c r="JG263" s="44"/>
      <c r="JM263" s="43"/>
      <c r="JN263" s="44"/>
      <c r="JT263" s="43"/>
      <c r="JU263" s="44"/>
      <c r="KA263" s="43"/>
      <c r="KB263" s="44"/>
      <c r="KH263" s="43"/>
      <c r="KI263" s="44"/>
      <c r="KO263" s="43"/>
      <c r="KP263" s="44"/>
      <c r="KV263" s="43"/>
      <c r="KW263" s="44"/>
      <c r="LC263" s="43"/>
      <c r="LD263" s="44"/>
      <c r="LJ263" s="43"/>
      <c r="LK263" s="44"/>
      <c r="LQ263" s="43"/>
      <c r="LR263" s="44"/>
      <c r="LX263" s="43"/>
      <c r="LY263" s="44"/>
      <c r="ME263" s="43"/>
      <c r="MF263" s="44"/>
      <c r="ML263" s="43"/>
      <c r="MM263" s="44"/>
      <c r="MS263" s="43"/>
      <c r="MT263" s="44"/>
      <c r="MZ263" s="43"/>
      <c r="NA263" s="44"/>
      <c r="NG263" s="43"/>
      <c r="NH263" s="44"/>
      <c r="NN263" s="43"/>
      <c r="NO263" s="44"/>
      <c r="NU263" s="43"/>
      <c r="NV263" s="44"/>
      <c r="OB263" s="43"/>
      <c r="OC263" s="44"/>
      <c r="OI263" s="43"/>
      <c r="OJ263" s="44"/>
      <c r="OP263" s="43"/>
      <c r="OQ263" s="44"/>
      <c r="OW263" s="43"/>
      <c r="OX263" s="44"/>
      <c r="PD263" s="43"/>
      <c r="PE263" s="44"/>
      <c r="PK263" s="43"/>
      <c r="PL263" s="44"/>
      <c r="PR263" s="43"/>
      <c r="PS263" s="44"/>
      <c r="PY263" s="43"/>
      <c r="PZ263" s="44"/>
      <c r="QF263" s="43"/>
      <c r="QG263" s="44"/>
      <c r="QM263" s="43"/>
      <c r="QN263" s="44"/>
      <c r="QT263" s="43"/>
      <c r="QU263" s="44"/>
      <c r="RA263" s="43"/>
      <c r="RB263" s="44"/>
      <c r="RH263" s="43"/>
      <c r="RI263" s="44"/>
      <c r="RO263" s="43"/>
      <c r="RP263" s="44"/>
      <c r="RV263" s="43"/>
      <c r="RW263" s="44"/>
      <c r="SC263" s="43"/>
      <c r="SD263" s="44"/>
      <c r="SJ263" s="43"/>
      <c r="SK263" s="44"/>
      <c r="SQ263" s="43"/>
      <c r="SR263" s="44"/>
      <c r="SX263" s="43"/>
      <c r="SY263" s="44"/>
      <c r="TE263" s="43"/>
      <c r="TF263" s="44"/>
      <c r="TL263" s="43"/>
      <c r="TM263" s="44"/>
      <c r="TS263" s="43"/>
      <c r="TT263" s="44"/>
      <c r="TZ263" s="43"/>
      <c r="UA263" s="44"/>
      <c r="UG263" s="43"/>
      <c r="UH263" s="44"/>
      <c r="UN263" s="43"/>
      <c r="UO263" s="44"/>
      <c r="UU263" s="43"/>
      <c r="UV263" s="44"/>
      <c r="VB263" s="43"/>
      <c r="VC263" s="44"/>
      <c r="VI263" s="43"/>
      <c r="VJ263" s="44"/>
      <c r="VP263" s="43"/>
      <c r="VQ263" s="44"/>
      <c r="VW263" s="43"/>
      <c r="VX263" s="44"/>
      <c r="WD263" s="43"/>
      <c r="WE263" s="44"/>
      <c r="WK263" s="43"/>
      <c r="WL263" s="44"/>
      <c r="WR263" s="43"/>
      <c r="WS263" s="44"/>
      <c r="WY263" s="43"/>
      <c r="WZ263" s="44"/>
      <c r="XF263" s="43"/>
      <c r="XG263" s="44"/>
      <c r="XM263" s="43"/>
      <c r="XN263" s="44"/>
      <c r="XT263" s="43"/>
      <c r="XU263" s="44"/>
      <c r="YA263" s="43"/>
      <c r="YB263" s="44"/>
      <c r="YH263" s="43"/>
      <c r="YI263" s="44"/>
      <c r="YO263" s="43"/>
      <c r="YP263" s="44"/>
      <c r="YV263" s="43"/>
      <c r="YW263" s="44"/>
      <c r="ZC263" s="43"/>
      <c r="ZD263" s="44"/>
      <c r="ZJ263" s="43"/>
      <c r="ZK263" s="44"/>
      <c r="ZQ263" s="43"/>
      <c r="ZR263" s="44"/>
      <c r="ZX263" s="43"/>
      <c r="ZY263" s="44"/>
      <c r="AAE263" s="43"/>
      <c r="AAF263" s="44"/>
      <c r="AAL263" s="43"/>
      <c r="AAM263" s="44"/>
      <c r="AAS263" s="43"/>
      <c r="AAT263" s="44"/>
      <c r="AAZ263" s="43"/>
      <c r="ABA263" s="44"/>
      <c r="ABG263" s="43"/>
      <c r="ABH263" s="44"/>
      <c r="ABN263" s="43"/>
      <c r="ABO263" s="44"/>
      <c r="ABU263" s="43"/>
      <c r="ABV263" s="44"/>
      <c r="ACB263" s="43"/>
      <c r="ACC263" s="44"/>
      <c r="ACI263" s="43"/>
      <c r="ACJ263" s="44"/>
      <c r="ACP263" s="43"/>
      <c r="ACQ263" s="44"/>
      <c r="ACW263" s="43"/>
      <c r="ACX263" s="44"/>
      <c r="ADD263" s="43"/>
      <c r="ADE263" s="44"/>
      <c r="ADK263" s="43"/>
      <c r="ADL263" s="44"/>
      <c r="ADR263" s="43"/>
      <c r="ADS263" s="44"/>
      <c r="ADY263" s="43"/>
      <c r="ADZ263" s="44"/>
      <c r="AEF263" s="43"/>
      <c r="AEG263" s="44"/>
      <c r="AEM263" s="43"/>
      <c r="AEN263" s="44"/>
      <c r="AET263" s="43"/>
      <c r="AEU263" s="44"/>
      <c r="AFA263" s="43"/>
      <c r="AFB263" s="44"/>
      <c r="AFH263" s="43"/>
      <c r="AFI263" s="44"/>
      <c r="AFO263" s="43"/>
      <c r="AFP263" s="44"/>
      <c r="AFV263" s="43"/>
      <c r="AFW263" s="44"/>
      <c r="AGC263" s="43"/>
      <c r="AGD263" s="44"/>
      <c r="AGJ263" s="43"/>
      <c r="AGK263" s="44"/>
      <c r="AGQ263" s="43"/>
      <c r="AGR263" s="44"/>
      <c r="AGX263" s="43"/>
      <c r="AGY263" s="44"/>
      <c r="AHE263" s="43"/>
      <c r="AHF263" s="44"/>
      <c r="AHL263" s="43"/>
      <c r="AHM263" s="44"/>
      <c r="AHS263" s="43"/>
      <c r="AHT263" s="44"/>
      <c r="AHZ263" s="43"/>
      <c r="AIA263" s="44"/>
      <c r="AIG263" s="43"/>
      <c r="AIH263" s="44"/>
      <c r="AIN263" s="43"/>
      <c r="AIO263" s="44"/>
      <c r="AIU263" s="43"/>
      <c r="AIV263" s="44"/>
      <c r="AJB263" s="43"/>
      <c r="AJC263" s="44"/>
      <c r="AJI263" s="43"/>
      <c r="AJJ263" s="44"/>
      <c r="AJP263" s="43"/>
      <c r="AJQ263" s="44"/>
      <c r="AJW263" s="43"/>
      <c r="AJX263" s="44"/>
      <c r="AKD263" s="43"/>
      <c r="AKE263" s="44"/>
      <c r="AKK263" s="43"/>
      <c r="AKL263" s="44"/>
      <c r="AKR263" s="43"/>
      <c r="AKS263" s="44"/>
      <c r="AKY263" s="43"/>
      <c r="AKZ263" s="44"/>
      <c r="ALF263" s="43"/>
      <c r="ALG263" s="44"/>
      <c r="ALM263" s="43"/>
      <c r="ALN263" s="44"/>
      <c r="ALT263" s="43"/>
      <c r="ALU263" s="44"/>
      <c r="AMA263" s="43"/>
      <c r="AMB263" s="44"/>
      <c r="AMH263" s="43"/>
      <c r="AMI263" s="44"/>
      <c r="AMO263" s="43"/>
      <c r="AMP263" s="44"/>
      <c r="AMV263" s="43"/>
      <c r="AMW263" s="44"/>
      <c r="ANC263" s="43"/>
      <c r="AND263" s="44"/>
      <c r="ANJ263" s="43"/>
      <c r="ANK263" s="44"/>
      <c r="ANQ263" s="43"/>
      <c r="ANR263" s="44"/>
      <c r="ANX263" s="43"/>
      <c r="ANY263" s="44"/>
      <c r="AOE263" s="43"/>
      <c r="AOF263" s="44"/>
      <c r="AOL263" s="43"/>
      <c r="AOM263" s="44"/>
      <c r="AOS263" s="43"/>
      <c r="AOT263" s="44"/>
      <c r="AOZ263" s="43"/>
      <c r="APA263" s="44"/>
      <c r="APG263" s="43"/>
      <c r="APH263" s="44"/>
      <c r="APN263" s="43"/>
      <c r="APO263" s="44"/>
      <c r="APU263" s="43"/>
      <c r="APV263" s="44"/>
      <c r="AQB263" s="43"/>
      <c r="AQC263" s="44"/>
      <c r="AQI263" s="43"/>
      <c r="AQJ263" s="44"/>
      <c r="AQP263" s="43"/>
      <c r="AQQ263" s="44"/>
      <c r="AQW263" s="43"/>
      <c r="AQX263" s="44"/>
      <c r="ARD263" s="43"/>
      <c r="ARE263" s="44"/>
      <c r="ARK263" s="43"/>
      <c r="ARL263" s="44"/>
      <c r="ARR263" s="43"/>
      <c r="ARS263" s="44"/>
      <c r="ARY263" s="43"/>
      <c r="ARZ263" s="44"/>
      <c r="ASF263" s="43"/>
      <c r="ASG263" s="44"/>
      <c r="ASM263" s="43"/>
      <c r="ASN263" s="44"/>
      <c r="AST263" s="43"/>
      <c r="ASU263" s="44"/>
      <c r="ATA263" s="43"/>
      <c r="ATB263" s="44"/>
      <c r="ATH263" s="43"/>
      <c r="ATI263" s="44"/>
      <c r="ATO263" s="43"/>
      <c r="ATP263" s="44"/>
      <c r="ATV263" s="43"/>
      <c r="ATW263" s="44"/>
      <c r="AUC263" s="43"/>
      <c r="AUD263" s="44"/>
      <c r="AUJ263" s="43"/>
      <c r="AUK263" s="44"/>
      <c r="AUQ263" s="43"/>
      <c r="AUR263" s="44"/>
      <c r="AUX263" s="43"/>
      <c r="AUY263" s="44"/>
      <c r="AVE263" s="43"/>
      <c r="AVF263" s="44"/>
      <c r="AVL263" s="43"/>
      <c r="AVM263" s="44"/>
      <c r="AVS263" s="43"/>
      <c r="AVT263" s="44"/>
      <c r="AVZ263" s="43"/>
      <c r="AWA263" s="44"/>
      <c r="AWG263" s="43"/>
      <c r="AWH263" s="44"/>
      <c r="AWN263" s="43"/>
      <c r="AWO263" s="44"/>
      <c r="AWU263" s="43"/>
      <c r="AWV263" s="44"/>
      <c r="AXB263" s="43"/>
      <c r="AXC263" s="44"/>
      <c r="AXI263" s="43"/>
      <c r="AXJ263" s="44"/>
      <c r="AXP263" s="43"/>
      <c r="AXQ263" s="44"/>
      <c r="AXW263" s="43"/>
      <c r="AXX263" s="44"/>
      <c r="AYD263" s="43"/>
      <c r="AYE263" s="44"/>
      <c r="AYK263" s="43"/>
      <c r="AYL263" s="44"/>
      <c r="AYR263" s="43"/>
      <c r="AYS263" s="44"/>
      <c r="AYY263" s="43"/>
      <c r="AYZ263" s="44"/>
      <c r="AZF263" s="43"/>
      <c r="AZG263" s="44"/>
      <c r="AZM263" s="43"/>
      <c r="AZN263" s="44"/>
      <c r="AZT263" s="43"/>
      <c r="AZU263" s="44"/>
      <c r="BAA263" s="43"/>
      <c r="BAB263" s="44"/>
      <c r="BAH263" s="43"/>
      <c r="BAI263" s="44"/>
      <c r="BAO263" s="43"/>
      <c r="BAP263" s="44"/>
      <c r="BAV263" s="43"/>
      <c r="BAW263" s="44"/>
      <c r="BBC263" s="43"/>
      <c r="BBD263" s="44"/>
      <c r="BBJ263" s="43"/>
      <c r="BBK263" s="44"/>
      <c r="BBQ263" s="43"/>
      <c r="BBR263" s="44"/>
      <c r="BBX263" s="43"/>
      <c r="BBY263" s="44"/>
      <c r="BCE263" s="43"/>
      <c r="BCF263" s="44"/>
      <c r="BCL263" s="43"/>
      <c r="BCM263" s="44"/>
      <c r="BCS263" s="43"/>
      <c r="BCT263" s="44"/>
      <c r="BCZ263" s="43"/>
      <c r="BDA263" s="44"/>
      <c r="BDG263" s="43"/>
      <c r="BDH263" s="44"/>
      <c r="BDN263" s="43"/>
      <c r="BDO263" s="44"/>
      <c r="BDU263" s="43"/>
      <c r="BDV263" s="44"/>
      <c r="BEB263" s="43"/>
      <c r="BEC263" s="44"/>
      <c r="BEI263" s="43"/>
      <c r="BEJ263" s="44"/>
      <c r="BEP263" s="43"/>
      <c r="BEQ263" s="44"/>
      <c r="BEW263" s="43"/>
      <c r="BEX263" s="44"/>
      <c r="BFD263" s="43"/>
      <c r="BFE263" s="44"/>
      <c r="BFK263" s="43"/>
      <c r="BFL263" s="44"/>
      <c r="BFR263" s="43"/>
      <c r="BFS263" s="44"/>
      <c r="BFY263" s="43"/>
      <c r="BFZ263" s="44"/>
      <c r="BGF263" s="43"/>
      <c r="BGG263" s="44"/>
      <c r="BGM263" s="43"/>
      <c r="BGN263" s="44"/>
      <c r="BGT263" s="43"/>
      <c r="BGU263" s="44"/>
      <c r="BHA263" s="43"/>
      <c r="BHB263" s="44"/>
      <c r="BHH263" s="43"/>
      <c r="BHI263" s="44"/>
      <c r="BHO263" s="43"/>
      <c r="BHP263" s="44"/>
      <c r="BHV263" s="43"/>
      <c r="BHW263" s="44"/>
      <c r="BIC263" s="43"/>
      <c r="BID263" s="44"/>
      <c r="BIJ263" s="43"/>
      <c r="BIK263" s="44"/>
      <c r="BIQ263" s="43"/>
      <c r="BIR263" s="44"/>
      <c r="BIX263" s="43"/>
      <c r="BIY263" s="44"/>
      <c r="BJE263" s="43"/>
      <c r="BJF263" s="44"/>
      <c r="BJL263" s="43"/>
      <c r="BJM263" s="44"/>
      <c r="BJS263" s="43"/>
      <c r="BJT263" s="44"/>
      <c r="BJZ263" s="43"/>
      <c r="BKA263" s="44"/>
      <c r="BKG263" s="43"/>
      <c r="BKH263" s="44"/>
      <c r="BKN263" s="43"/>
      <c r="BKO263" s="44"/>
      <c r="BKU263" s="43"/>
      <c r="BKV263" s="44"/>
      <c r="BLB263" s="43"/>
      <c r="BLC263" s="44"/>
      <c r="BLI263" s="43"/>
      <c r="BLJ263" s="44"/>
      <c r="BLP263" s="43"/>
      <c r="BLQ263" s="44"/>
      <c r="BLW263" s="43"/>
      <c r="BLX263" s="44"/>
      <c r="BMD263" s="43"/>
      <c r="BME263" s="44"/>
      <c r="BMK263" s="43"/>
      <c r="BML263" s="44"/>
      <c r="BMR263" s="43"/>
      <c r="BMS263" s="44"/>
      <c r="BMY263" s="43"/>
      <c r="BMZ263" s="44"/>
      <c r="BNF263" s="43"/>
      <c r="BNG263" s="44"/>
      <c r="BNM263" s="43"/>
      <c r="BNN263" s="44"/>
      <c r="BNT263" s="43"/>
      <c r="BNU263" s="44"/>
      <c r="BOA263" s="43"/>
      <c r="BOB263" s="44"/>
      <c r="BOH263" s="43"/>
      <c r="BOI263" s="44"/>
      <c r="BOO263" s="43"/>
      <c r="BOP263" s="44"/>
      <c r="BOV263" s="43"/>
      <c r="BOW263" s="44"/>
      <c r="BPC263" s="43"/>
      <c r="BPD263" s="44"/>
      <c r="BPJ263" s="43"/>
      <c r="BPK263" s="44"/>
      <c r="BPQ263" s="43"/>
      <c r="BPR263" s="44"/>
      <c r="BPX263" s="43"/>
      <c r="BPY263" s="44"/>
      <c r="BQE263" s="43"/>
      <c r="BQF263" s="44"/>
      <c r="BQL263" s="43"/>
      <c r="BQM263" s="44"/>
      <c r="BQS263" s="43"/>
      <c r="BQT263" s="44"/>
      <c r="BQZ263" s="43"/>
      <c r="BRA263" s="44"/>
      <c r="BRG263" s="43"/>
      <c r="BRH263" s="44"/>
      <c r="BRN263" s="43"/>
      <c r="BRO263" s="44"/>
      <c r="BRU263" s="43"/>
      <c r="BRV263" s="44"/>
      <c r="BSB263" s="43"/>
      <c r="BSC263" s="44"/>
      <c r="BSI263" s="43"/>
      <c r="BSJ263" s="44"/>
      <c r="BSP263" s="43"/>
      <c r="BSQ263" s="44"/>
      <c r="BSW263" s="43"/>
      <c r="BSX263" s="44"/>
      <c r="BTD263" s="43"/>
      <c r="BTE263" s="44"/>
      <c r="BTK263" s="43"/>
      <c r="BTL263" s="44"/>
      <c r="BTR263" s="43"/>
      <c r="BTS263" s="44"/>
      <c r="BTY263" s="43"/>
      <c r="BTZ263" s="44"/>
      <c r="BUF263" s="43"/>
      <c r="BUG263" s="44"/>
      <c r="BUM263" s="43"/>
      <c r="BUN263" s="44"/>
      <c r="BUT263" s="43"/>
      <c r="BUU263" s="44"/>
      <c r="BVA263" s="43"/>
      <c r="BVB263" s="44"/>
      <c r="BVH263" s="43"/>
      <c r="BVI263" s="44"/>
      <c r="BVO263" s="43"/>
      <c r="BVP263" s="44"/>
      <c r="BVV263" s="43"/>
      <c r="BVW263" s="44"/>
      <c r="BWC263" s="43"/>
      <c r="BWD263" s="44"/>
      <c r="BWJ263" s="43"/>
      <c r="BWK263" s="44"/>
      <c r="BWQ263" s="43"/>
      <c r="BWR263" s="44"/>
      <c r="BWX263" s="43"/>
      <c r="BWY263" s="44"/>
      <c r="BXE263" s="43"/>
      <c r="BXF263" s="44"/>
      <c r="BXL263" s="43"/>
      <c r="BXM263" s="44"/>
      <c r="BXS263" s="43"/>
      <c r="BXT263" s="44"/>
      <c r="BXZ263" s="43"/>
      <c r="BYA263" s="44"/>
      <c r="BYG263" s="43"/>
      <c r="BYH263" s="44"/>
      <c r="BYN263" s="43"/>
      <c r="BYO263" s="44"/>
      <c r="BYU263" s="43"/>
      <c r="BYV263" s="44"/>
      <c r="BZB263" s="43"/>
      <c r="BZC263" s="44"/>
      <c r="BZI263" s="43"/>
      <c r="BZJ263" s="44"/>
      <c r="BZP263" s="43"/>
      <c r="BZQ263" s="44"/>
      <c r="BZW263" s="43"/>
      <c r="BZX263" s="44"/>
      <c r="CAD263" s="43"/>
      <c r="CAE263" s="44"/>
      <c r="CAK263" s="43"/>
      <c r="CAL263" s="44"/>
      <c r="CAR263" s="43"/>
      <c r="CAS263" s="44"/>
      <c r="CAY263" s="43"/>
      <c r="CAZ263" s="44"/>
      <c r="CBF263" s="43"/>
      <c r="CBG263" s="44"/>
      <c r="CBM263" s="43"/>
      <c r="CBN263" s="44"/>
      <c r="CBT263" s="43"/>
      <c r="CBU263" s="44"/>
      <c r="CCA263" s="43"/>
      <c r="CCB263" s="44"/>
      <c r="CCH263" s="43"/>
      <c r="CCI263" s="44"/>
      <c r="CCO263" s="43"/>
      <c r="CCP263" s="44"/>
      <c r="CCV263" s="43"/>
      <c r="CCW263" s="44"/>
      <c r="CDC263" s="43"/>
      <c r="CDD263" s="44"/>
      <c r="CDJ263" s="43"/>
      <c r="CDK263" s="44"/>
      <c r="CDQ263" s="43"/>
      <c r="CDR263" s="44"/>
      <c r="CDX263" s="43"/>
      <c r="CDY263" s="44"/>
      <c r="CEE263" s="43"/>
      <c r="CEF263" s="44"/>
      <c r="CEL263" s="43"/>
      <c r="CEM263" s="44"/>
      <c r="CES263" s="43"/>
      <c r="CET263" s="44"/>
      <c r="CEZ263" s="43"/>
      <c r="CFA263" s="44"/>
      <c r="CFG263" s="43"/>
      <c r="CFH263" s="44"/>
      <c r="CFN263" s="43"/>
      <c r="CFO263" s="44"/>
      <c r="CFU263" s="43"/>
      <c r="CFV263" s="44"/>
      <c r="CGB263" s="43"/>
      <c r="CGC263" s="44"/>
      <c r="CGI263" s="43"/>
      <c r="CGJ263" s="44"/>
      <c r="CGP263" s="43"/>
      <c r="CGQ263" s="44"/>
      <c r="CGW263" s="43"/>
      <c r="CGX263" s="44"/>
      <c r="CHD263" s="43"/>
      <c r="CHE263" s="44"/>
      <c r="CHK263" s="43"/>
      <c r="CHL263" s="44"/>
      <c r="CHR263" s="43"/>
      <c r="CHS263" s="44"/>
      <c r="CHY263" s="43"/>
      <c r="CHZ263" s="44"/>
      <c r="CIF263" s="43"/>
      <c r="CIG263" s="44"/>
      <c r="CIM263" s="43"/>
      <c r="CIN263" s="44"/>
      <c r="CIT263" s="43"/>
      <c r="CIU263" s="44"/>
      <c r="CJA263" s="43"/>
      <c r="CJB263" s="44"/>
      <c r="CJH263" s="43"/>
      <c r="CJI263" s="44"/>
      <c r="CJO263" s="43"/>
      <c r="CJP263" s="44"/>
      <c r="CJV263" s="43"/>
      <c r="CJW263" s="44"/>
      <c r="CKC263" s="43"/>
      <c r="CKD263" s="44"/>
      <c r="CKJ263" s="43"/>
      <c r="CKK263" s="44"/>
      <c r="CKQ263" s="43"/>
      <c r="CKR263" s="44"/>
      <c r="CKX263" s="43"/>
      <c r="CKY263" s="44"/>
      <c r="CLE263" s="43"/>
      <c r="CLF263" s="44"/>
      <c r="CLL263" s="43"/>
      <c r="CLM263" s="44"/>
      <c r="CLS263" s="43"/>
      <c r="CLT263" s="44"/>
      <c r="CLZ263" s="43"/>
      <c r="CMA263" s="44"/>
      <c r="CMG263" s="43"/>
      <c r="CMH263" s="44"/>
      <c r="CMN263" s="43"/>
      <c r="CMO263" s="44"/>
      <c r="CMU263" s="43"/>
      <c r="CMV263" s="44"/>
      <c r="CNB263" s="43"/>
      <c r="CNC263" s="44"/>
      <c r="CNI263" s="43"/>
      <c r="CNJ263" s="44"/>
      <c r="CNP263" s="43"/>
      <c r="CNQ263" s="44"/>
      <c r="CNW263" s="43"/>
      <c r="CNX263" s="44"/>
      <c r="COD263" s="43"/>
      <c r="COE263" s="44"/>
      <c r="COK263" s="43"/>
      <c r="COL263" s="44"/>
      <c r="COR263" s="43"/>
      <c r="COS263" s="44"/>
      <c r="COY263" s="43"/>
      <c r="COZ263" s="44"/>
      <c r="CPF263" s="43"/>
      <c r="CPG263" s="44"/>
      <c r="CPM263" s="43"/>
      <c r="CPN263" s="44"/>
      <c r="CPT263" s="43"/>
      <c r="CPU263" s="44"/>
      <c r="CQA263" s="43"/>
      <c r="CQB263" s="44"/>
      <c r="CQH263" s="43"/>
      <c r="CQI263" s="44"/>
      <c r="CQO263" s="43"/>
      <c r="CQP263" s="44"/>
      <c r="CQV263" s="43"/>
      <c r="CQW263" s="44"/>
      <c r="CRC263" s="43"/>
      <c r="CRD263" s="44"/>
      <c r="CRJ263" s="43"/>
      <c r="CRK263" s="44"/>
      <c r="CRQ263" s="43"/>
      <c r="CRR263" s="44"/>
      <c r="CRX263" s="43"/>
      <c r="CRY263" s="44"/>
      <c r="CSE263" s="43"/>
      <c r="CSF263" s="44"/>
      <c r="CSL263" s="43"/>
      <c r="CSM263" s="44"/>
      <c r="CSS263" s="43"/>
      <c r="CST263" s="44"/>
      <c r="CSZ263" s="43"/>
      <c r="CTA263" s="44"/>
      <c r="CTG263" s="43"/>
      <c r="CTH263" s="44"/>
      <c r="CTN263" s="43"/>
      <c r="CTO263" s="44"/>
      <c r="CTU263" s="43"/>
      <c r="CTV263" s="44"/>
    </row>
    <row r="264" spans="1:1023 1029:2045 2051:2570" s="6" customFormat="1" ht="332.1" customHeight="1" x14ac:dyDescent="0.2">
      <c r="A264" s="17" t="s">
        <v>357</v>
      </c>
      <c r="B264" s="33" t="s">
        <v>255</v>
      </c>
      <c r="C264" s="19" t="s">
        <v>256</v>
      </c>
      <c r="D264" s="33" t="s">
        <v>248</v>
      </c>
      <c r="E264" s="33">
        <v>3</v>
      </c>
      <c r="F264" s="36"/>
      <c r="G264" s="20">
        <f t="shared" si="4"/>
        <v>0</v>
      </c>
      <c r="H264" s="20"/>
      <c r="N264" s="43"/>
      <c r="O264" s="44"/>
      <c r="U264" s="43"/>
      <c r="V264" s="44"/>
      <c r="AB264" s="43"/>
      <c r="AC264" s="44"/>
      <c r="AI264" s="43"/>
      <c r="AJ264" s="44"/>
      <c r="AP264" s="43"/>
      <c r="AQ264" s="44"/>
      <c r="AW264" s="43"/>
      <c r="AX264" s="44"/>
      <c r="BD264" s="43"/>
      <c r="BE264" s="44"/>
      <c r="BK264" s="43"/>
      <c r="BL264" s="44"/>
      <c r="BR264" s="43"/>
      <c r="BS264" s="44"/>
      <c r="BY264" s="43"/>
      <c r="BZ264" s="44"/>
      <c r="CF264" s="43"/>
      <c r="CG264" s="44"/>
      <c r="CM264" s="43"/>
      <c r="CN264" s="44"/>
      <c r="CT264" s="43"/>
      <c r="CU264" s="44"/>
      <c r="DA264" s="43"/>
      <c r="DB264" s="44"/>
      <c r="DH264" s="43"/>
      <c r="DI264" s="44"/>
      <c r="DO264" s="43"/>
      <c r="DP264" s="44"/>
      <c r="DV264" s="43"/>
      <c r="DW264" s="44"/>
      <c r="EC264" s="43"/>
      <c r="ED264" s="44"/>
      <c r="EJ264" s="43"/>
      <c r="EK264" s="44"/>
      <c r="EQ264" s="43"/>
      <c r="ER264" s="44"/>
      <c r="EX264" s="43"/>
      <c r="EY264" s="44"/>
      <c r="FE264" s="43"/>
      <c r="FF264" s="44"/>
      <c r="FL264" s="43"/>
      <c r="FM264" s="44"/>
      <c r="FS264" s="43"/>
      <c r="FT264" s="44"/>
      <c r="FZ264" s="43"/>
      <c r="GA264" s="44"/>
      <c r="GG264" s="43"/>
      <c r="GH264" s="44"/>
      <c r="GN264" s="43"/>
      <c r="GO264" s="44"/>
      <c r="GU264" s="43"/>
      <c r="GV264" s="44"/>
      <c r="HB264" s="43"/>
      <c r="HC264" s="44"/>
      <c r="HI264" s="43"/>
      <c r="HJ264" s="44"/>
      <c r="HP264" s="43"/>
      <c r="HQ264" s="44"/>
      <c r="HW264" s="43"/>
      <c r="HX264" s="44"/>
      <c r="ID264" s="43"/>
      <c r="IE264" s="44"/>
      <c r="IK264" s="43"/>
      <c r="IL264" s="44"/>
      <c r="IR264" s="43"/>
      <c r="IS264" s="44"/>
      <c r="IY264" s="43"/>
      <c r="IZ264" s="44"/>
      <c r="JF264" s="43"/>
      <c r="JG264" s="44"/>
      <c r="JM264" s="43"/>
      <c r="JN264" s="44"/>
      <c r="JT264" s="43"/>
      <c r="JU264" s="44"/>
      <c r="KA264" s="43"/>
      <c r="KB264" s="44"/>
      <c r="KH264" s="43"/>
      <c r="KI264" s="44"/>
      <c r="KO264" s="43"/>
      <c r="KP264" s="44"/>
      <c r="KV264" s="43"/>
      <c r="KW264" s="44"/>
      <c r="LC264" s="43"/>
      <c r="LD264" s="44"/>
      <c r="LJ264" s="43"/>
      <c r="LK264" s="44"/>
      <c r="LQ264" s="43"/>
      <c r="LR264" s="44"/>
      <c r="LX264" s="43"/>
      <c r="LY264" s="44"/>
      <c r="ME264" s="43"/>
      <c r="MF264" s="44"/>
      <c r="ML264" s="43"/>
      <c r="MM264" s="44"/>
      <c r="MS264" s="43"/>
      <c r="MT264" s="44"/>
      <c r="MZ264" s="43"/>
      <c r="NA264" s="44"/>
      <c r="NG264" s="43"/>
      <c r="NH264" s="44"/>
      <c r="NN264" s="43"/>
      <c r="NO264" s="44"/>
      <c r="NU264" s="43"/>
      <c r="NV264" s="44"/>
      <c r="OB264" s="43"/>
      <c r="OC264" s="44"/>
      <c r="OI264" s="43"/>
      <c r="OJ264" s="44"/>
      <c r="OP264" s="43"/>
      <c r="OQ264" s="44"/>
      <c r="OW264" s="43"/>
      <c r="OX264" s="44"/>
      <c r="PD264" s="43"/>
      <c r="PE264" s="44"/>
      <c r="PK264" s="43"/>
      <c r="PL264" s="44"/>
      <c r="PR264" s="43"/>
      <c r="PS264" s="44"/>
      <c r="PY264" s="43"/>
      <c r="PZ264" s="44"/>
      <c r="QF264" s="43"/>
      <c r="QG264" s="44"/>
      <c r="QM264" s="43"/>
      <c r="QN264" s="44"/>
      <c r="QT264" s="43"/>
      <c r="QU264" s="44"/>
      <c r="RA264" s="43"/>
      <c r="RB264" s="44"/>
      <c r="RH264" s="43"/>
      <c r="RI264" s="44"/>
      <c r="RO264" s="43"/>
      <c r="RP264" s="44"/>
      <c r="RV264" s="43"/>
      <c r="RW264" s="44"/>
      <c r="SC264" s="43"/>
      <c r="SD264" s="44"/>
      <c r="SJ264" s="43"/>
      <c r="SK264" s="44"/>
      <c r="SQ264" s="43"/>
      <c r="SR264" s="44"/>
      <c r="SX264" s="43"/>
      <c r="SY264" s="44"/>
      <c r="TE264" s="43"/>
      <c r="TF264" s="44"/>
      <c r="TL264" s="43"/>
      <c r="TM264" s="44"/>
      <c r="TS264" s="43"/>
      <c r="TT264" s="44"/>
      <c r="TZ264" s="43"/>
      <c r="UA264" s="44"/>
      <c r="UG264" s="43"/>
      <c r="UH264" s="44"/>
      <c r="UN264" s="43"/>
      <c r="UO264" s="44"/>
      <c r="UU264" s="43"/>
      <c r="UV264" s="44"/>
      <c r="VB264" s="43"/>
      <c r="VC264" s="44"/>
      <c r="VI264" s="43"/>
      <c r="VJ264" s="44"/>
      <c r="VP264" s="43"/>
      <c r="VQ264" s="44"/>
      <c r="VW264" s="43"/>
      <c r="VX264" s="44"/>
      <c r="WD264" s="43"/>
      <c r="WE264" s="44"/>
      <c r="WK264" s="43"/>
      <c r="WL264" s="44"/>
      <c r="WR264" s="43"/>
      <c r="WS264" s="44"/>
      <c r="WY264" s="43"/>
      <c r="WZ264" s="44"/>
      <c r="XF264" s="43"/>
      <c r="XG264" s="44"/>
      <c r="XM264" s="43"/>
      <c r="XN264" s="44"/>
      <c r="XT264" s="43"/>
      <c r="XU264" s="44"/>
      <c r="YA264" s="43"/>
      <c r="YB264" s="44"/>
      <c r="YH264" s="43"/>
      <c r="YI264" s="44"/>
      <c r="YO264" s="43"/>
      <c r="YP264" s="44"/>
      <c r="YV264" s="43"/>
      <c r="YW264" s="44"/>
      <c r="ZC264" s="43"/>
      <c r="ZD264" s="44"/>
      <c r="ZJ264" s="43"/>
      <c r="ZK264" s="44"/>
      <c r="ZQ264" s="43"/>
      <c r="ZR264" s="44"/>
      <c r="ZX264" s="43"/>
      <c r="ZY264" s="44"/>
      <c r="AAE264" s="43"/>
      <c r="AAF264" s="44"/>
      <c r="AAL264" s="43"/>
      <c r="AAM264" s="44"/>
      <c r="AAS264" s="43"/>
      <c r="AAT264" s="44"/>
      <c r="AAZ264" s="43"/>
      <c r="ABA264" s="44"/>
      <c r="ABG264" s="43"/>
      <c r="ABH264" s="44"/>
      <c r="ABN264" s="43"/>
      <c r="ABO264" s="44"/>
      <c r="ABU264" s="43"/>
      <c r="ABV264" s="44"/>
      <c r="ACB264" s="43"/>
      <c r="ACC264" s="44"/>
      <c r="ACI264" s="43"/>
      <c r="ACJ264" s="44"/>
      <c r="ACP264" s="43"/>
      <c r="ACQ264" s="44"/>
      <c r="ACW264" s="43"/>
      <c r="ACX264" s="44"/>
      <c r="ADD264" s="43"/>
      <c r="ADE264" s="44"/>
      <c r="ADK264" s="43"/>
      <c r="ADL264" s="44"/>
      <c r="ADR264" s="43"/>
      <c r="ADS264" s="44"/>
      <c r="ADY264" s="43"/>
      <c r="ADZ264" s="44"/>
      <c r="AEF264" s="43"/>
      <c r="AEG264" s="44"/>
      <c r="AEM264" s="43"/>
      <c r="AEN264" s="44"/>
      <c r="AET264" s="43"/>
      <c r="AEU264" s="44"/>
      <c r="AFA264" s="43"/>
      <c r="AFB264" s="44"/>
      <c r="AFH264" s="43"/>
      <c r="AFI264" s="44"/>
      <c r="AFO264" s="43"/>
      <c r="AFP264" s="44"/>
      <c r="AFV264" s="43"/>
      <c r="AFW264" s="44"/>
      <c r="AGC264" s="43"/>
      <c r="AGD264" s="44"/>
      <c r="AGJ264" s="43"/>
      <c r="AGK264" s="44"/>
      <c r="AGQ264" s="43"/>
      <c r="AGR264" s="44"/>
      <c r="AGX264" s="43"/>
      <c r="AGY264" s="44"/>
      <c r="AHE264" s="43"/>
      <c r="AHF264" s="44"/>
      <c r="AHL264" s="43"/>
      <c r="AHM264" s="44"/>
      <c r="AHS264" s="43"/>
      <c r="AHT264" s="44"/>
      <c r="AHZ264" s="43"/>
      <c r="AIA264" s="44"/>
      <c r="AIG264" s="43"/>
      <c r="AIH264" s="44"/>
      <c r="AIN264" s="43"/>
      <c r="AIO264" s="44"/>
      <c r="AIU264" s="43"/>
      <c r="AIV264" s="44"/>
      <c r="AJB264" s="43"/>
      <c r="AJC264" s="44"/>
      <c r="AJI264" s="43"/>
      <c r="AJJ264" s="44"/>
      <c r="AJP264" s="43"/>
      <c r="AJQ264" s="44"/>
      <c r="AJW264" s="43"/>
      <c r="AJX264" s="44"/>
      <c r="AKD264" s="43"/>
      <c r="AKE264" s="44"/>
      <c r="AKK264" s="43"/>
      <c r="AKL264" s="44"/>
      <c r="AKR264" s="43"/>
      <c r="AKS264" s="44"/>
      <c r="AKY264" s="43"/>
      <c r="AKZ264" s="44"/>
      <c r="ALF264" s="43"/>
      <c r="ALG264" s="44"/>
      <c r="ALM264" s="43"/>
      <c r="ALN264" s="44"/>
      <c r="ALT264" s="43"/>
      <c r="ALU264" s="44"/>
      <c r="AMA264" s="43"/>
      <c r="AMB264" s="44"/>
      <c r="AMH264" s="43"/>
      <c r="AMI264" s="44"/>
      <c r="AMO264" s="43"/>
      <c r="AMP264" s="44"/>
      <c r="AMV264" s="43"/>
      <c r="AMW264" s="44"/>
      <c r="ANC264" s="43"/>
      <c r="AND264" s="44"/>
      <c r="ANJ264" s="43"/>
      <c r="ANK264" s="44"/>
      <c r="ANQ264" s="43"/>
      <c r="ANR264" s="44"/>
      <c r="ANX264" s="43"/>
      <c r="ANY264" s="44"/>
      <c r="AOE264" s="43"/>
      <c r="AOF264" s="44"/>
      <c r="AOL264" s="43"/>
      <c r="AOM264" s="44"/>
      <c r="AOS264" s="43"/>
      <c r="AOT264" s="44"/>
      <c r="AOZ264" s="43"/>
      <c r="APA264" s="44"/>
      <c r="APG264" s="43"/>
      <c r="APH264" s="44"/>
      <c r="APN264" s="43"/>
      <c r="APO264" s="44"/>
      <c r="APU264" s="43"/>
      <c r="APV264" s="44"/>
      <c r="AQB264" s="43"/>
      <c r="AQC264" s="44"/>
      <c r="AQI264" s="43"/>
      <c r="AQJ264" s="44"/>
      <c r="AQP264" s="43"/>
      <c r="AQQ264" s="44"/>
      <c r="AQW264" s="43"/>
      <c r="AQX264" s="44"/>
      <c r="ARD264" s="43"/>
      <c r="ARE264" s="44"/>
      <c r="ARK264" s="43"/>
      <c r="ARL264" s="44"/>
      <c r="ARR264" s="43"/>
      <c r="ARS264" s="44"/>
      <c r="ARY264" s="43"/>
      <c r="ARZ264" s="44"/>
      <c r="ASF264" s="43"/>
      <c r="ASG264" s="44"/>
      <c r="ASM264" s="43"/>
      <c r="ASN264" s="44"/>
      <c r="AST264" s="43"/>
      <c r="ASU264" s="44"/>
      <c r="ATA264" s="43"/>
      <c r="ATB264" s="44"/>
      <c r="ATH264" s="43"/>
      <c r="ATI264" s="44"/>
      <c r="ATO264" s="43"/>
      <c r="ATP264" s="44"/>
      <c r="ATV264" s="43"/>
      <c r="ATW264" s="44"/>
      <c r="AUC264" s="43"/>
      <c r="AUD264" s="44"/>
      <c r="AUJ264" s="43"/>
      <c r="AUK264" s="44"/>
      <c r="AUQ264" s="43"/>
      <c r="AUR264" s="44"/>
      <c r="AUX264" s="43"/>
      <c r="AUY264" s="44"/>
      <c r="AVE264" s="43"/>
      <c r="AVF264" s="44"/>
      <c r="AVL264" s="43"/>
      <c r="AVM264" s="44"/>
      <c r="AVS264" s="43"/>
      <c r="AVT264" s="44"/>
      <c r="AVZ264" s="43"/>
      <c r="AWA264" s="44"/>
      <c r="AWG264" s="43"/>
      <c r="AWH264" s="44"/>
      <c r="AWN264" s="43"/>
      <c r="AWO264" s="44"/>
      <c r="AWU264" s="43"/>
      <c r="AWV264" s="44"/>
      <c r="AXB264" s="43"/>
      <c r="AXC264" s="44"/>
      <c r="AXI264" s="43"/>
      <c r="AXJ264" s="44"/>
      <c r="AXP264" s="43"/>
      <c r="AXQ264" s="44"/>
      <c r="AXW264" s="43"/>
      <c r="AXX264" s="44"/>
      <c r="AYD264" s="43"/>
      <c r="AYE264" s="44"/>
      <c r="AYK264" s="43"/>
      <c r="AYL264" s="44"/>
      <c r="AYR264" s="43"/>
      <c r="AYS264" s="44"/>
      <c r="AYY264" s="43"/>
      <c r="AYZ264" s="44"/>
      <c r="AZF264" s="43"/>
      <c r="AZG264" s="44"/>
      <c r="AZM264" s="43"/>
      <c r="AZN264" s="44"/>
      <c r="AZT264" s="43"/>
      <c r="AZU264" s="44"/>
      <c r="BAA264" s="43"/>
      <c r="BAB264" s="44"/>
      <c r="BAH264" s="43"/>
      <c r="BAI264" s="44"/>
      <c r="BAO264" s="43"/>
      <c r="BAP264" s="44"/>
      <c r="BAV264" s="43"/>
      <c r="BAW264" s="44"/>
      <c r="BBC264" s="43"/>
      <c r="BBD264" s="44"/>
      <c r="BBJ264" s="43"/>
      <c r="BBK264" s="44"/>
      <c r="BBQ264" s="43"/>
      <c r="BBR264" s="44"/>
      <c r="BBX264" s="43"/>
      <c r="BBY264" s="44"/>
      <c r="BCE264" s="43"/>
      <c r="BCF264" s="44"/>
      <c r="BCL264" s="43"/>
      <c r="BCM264" s="44"/>
      <c r="BCS264" s="43"/>
      <c r="BCT264" s="44"/>
      <c r="BCZ264" s="43"/>
      <c r="BDA264" s="44"/>
      <c r="BDG264" s="43"/>
      <c r="BDH264" s="44"/>
      <c r="BDN264" s="43"/>
      <c r="BDO264" s="44"/>
      <c r="BDU264" s="43"/>
      <c r="BDV264" s="44"/>
      <c r="BEB264" s="43"/>
      <c r="BEC264" s="44"/>
      <c r="BEI264" s="43"/>
      <c r="BEJ264" s="44"/>
      <c r="BEP264" s="43"/>
      <c r="BEQ264" s="44"/>
      <c r="BEW264" s="43"/>
      <c r="BEX264" s="44"/>
      <c r="BFD264" s="43"/>
      <c r="BFE264" s="44"/>
      <c r="BFK264" s="43"/>
      <c r="BFL264" s="44"/>
      <c r="BFR264" s="43"/>
      <c r="BFS264" s="44"/>
      <c r="BFY264" s="43"/>
      <c r="BFZ264" s="44"/>
      <c r="BGF264" s="43"/>
      <c r="BGG264" s="44"/>
      <c r="BGM264" s="43"/>
      <c r="BGN264" s="44"/>
      <c r="BGT264" s="43"/>
      <c r="BGU264" s="44"/>
      <c r="BHA264" s="43"/>
      <c r="BHB264" s="44"/>
      <c r="BHH264" s="43"/>
      <c r="BHI264" s="44"/>
      <c r="BHO264" s="43"/>
      <c r="BHP264" s="44"/>
      <c r="BHV264" s="43"/>
      <c r="BHW264" s="44"/>
      <c r="BIC264" s="43"/>
      <c r="BID264" s="44"/>
      <c r="BIJ264" s="43"/>
      <c r="BIK264" s="44"/>
      <c r="BIQ264" s="43"/>
      <c r="BIR264" s="44"/>
      <c r="BIX264" s="43"/>
      <c r="BIY264" s="44"/>
      <c r="BJE264" s="43"/>
      <c r="BJF264" s="44"/>
      <c r="BJL264" s="43"/>
      <c r="BJM264" s="44"/>
      <c r="BJS264" s="43"/>
      <c r="BJT264" s="44"/>
      <c r="BJZ264" s="43"/>
      <c r="BKA264" s="44"/>
      <c r="BKG264" s="43"/>
      <c r="BKH264" s="44"/>
      <c r="BKN264" s="43"/>
      <c r="BKO264" s="44"/>
      <c r="BKU264" s="43"/>
      <c r="BKV264" s="44"/>
      <c r="BLB264" s="43"/>
      <c r="BLC264" s="44"/>
      <c r="BLI264" s="43"/>
      <c r="BLJ264" s="44"/>
      <c r="BLP264" s="43"/>
      <c r="BLQ264" s="44"/>
      <c r="BLW264" s="43"/>
      <c r="BLX264" s="44"/>
      <c r="BMD264" s="43"/>
      <c r="BME264" s="44"/>
      <c r="BMK264" s="43"/>
      <c r="BML264" s="44"/>
      <c r="BMR264" s="43"/>
      <c r="BMS264" s="44"/>
      <c r="BMY264" s="43"/>
      <c r="BMZ264" s="44"/>
      <c r="BNF264" s="43"/>
      <c r="BNG264" s="44"/>
      <c r="BNM264" s="43"/>
      <c r="BNN264" s="44"/>
      <c r="BNT264" s="43"/>
      <c r="BNU264" s="44"/>
      <c r="BOA264" s="43"/>
      <c r="BOB264" s="44"/>
      <c r="BOH264" s="43"/>
      <c r="BOI264" s="44"/>
      <c r="BOO264" s="43"/>
      <c r="BOP264" s="44"/>
      <c r="BOV264" s="43"/>
      <c r="BOW264" s="44"/>
      <c r="BPC264" s="43"/>
      <c r="BPD264" s="44"/>
      <c r="BPJ264" s="43"/>
      <c r="BPK264" s="44"/>
      <c r="BPQ264" s="43"/>
      <c r="BPR264" s="44"/>
      <c r="BPX264" s="43"/>
      <c r="BPY264" s="44"/>
      <c r="BQE264" s="43"/>
      <c r="BQF264" s="44"/>
      <c r="BQL264" s="43"/>
      <c r="BQM264" s="44"/>
      <c r="BQS264" s="43"/>
      <c r="BQT264" s="44"/>
      <c r="BQZ264" s="43"/>
      <c r="BRA264" s="44"/>
      <c r="BRG264" s="43"/>
      <c r="BRH264" s="44"/>
      <c r="BRN264" s="43"/>
      <c r="BRO264" s="44"/>
      <c r="BRU264" s="43"/>
      <c r="BRV264" s="44"/>
      <c r="BSB264" s="43"/>
      <c r="BSC264" s="44"/>
      <c r="BSI264" s="43"/>
      <c r="BSJ264" s="44"/>
      <c r="BSP264" s="43"/>
      <c r="BSQ264" s="44"/>
      <c r="BSW264" s="43"/>
      <c r="BSX264" s="44"/>
      <c r="BTD264" s="43"/>
      <c r="BTE264" s="44"/>
      <c r="BTK264" s="43"/>
      <c r="BTL264" s="44"/>
      <c r="BTR264" s="43"/>
      <c r="BTS264" s="44"/>
      <c r="BTY264" s="43"/>
      <c r="BTZ264" s="44"/>
      <c r="BUF264" s="43"/>
      <c r="BUG264" s="44"/>
      <c r="BUM264" s="43"/>
      <c r="BUN264" s="44"/>
      <c r="BUT264" s="43"/>
      <c r="BUU264" s="44"/>
      <c r="BVA264" s="43"/>
      <c r="BVB264" s="44"/>
      <c r="BVH264" s="43"/>
      <c r="BVI264" s="44"/>
      <c r="BVO264" s="43"/>
      <c r="BVP264" s="44"/>
      <c r="BVV264" s="43"/>
      <c r="BVW264" s="44"/>
      <c r="BWC264" s="43"/>
      <c r="BWD264" s="44"/>
      <c r="BWJ264" s="43"/>
      <c r="BWK264" s="44"/>
      <c r="BWQ264" s="43"/>
      <c r="BWR264" s="44"/>
      <c r="BWX264" s="43"/>
      <c r="BWY264" s="44"/>
      <c r="BXE264" s="43"/>
      <c r="BXF264" s="44"/>
      <c r="BXL264" s="43"/>
      <c r="BXM264" s="44"/>
      <c r="BXS264" s="43"/>
      <c r="BXT264" s="44"/>
      <c r="BXZ264" s="43"/>
      <c r="BYA264" s="44"/>
      <c r="BYG264" s="43"/>
      <c r="BYH264" s="44"/>
      <c r="BYN264" s="43"/>
      <c r="BYO264" s="44"/>
      <c r="BYU264" s="43"/>
      <c r="BYV264" s="44"/>
      <c r="BZB264" s="43"/>
      <c r="BZC264" s="44"/>
      <c r="BZI264" s="43"/>
      <c r="BZJ264" s="44"/>
      <c r="BZP264" s="43"/>
      <c r="BZQ264" s="44"/>
      <c r="BZW264" s="43"/>
      <c r="BZX264" s="44"/>
      <c r="CAD264" s="43"/>
      <c r="CAE264" s="44"/>
      <c r="CAK264" s="43"/>
      <c r="CAL264" s="44"/>
      <c r="CAR264" s="43"/>
      <c r="CAS264" s="44"/>
      <c r="CAY264" s="43"/>
      <c r="CAZ264" s="44"/>
      <c r="CBF264" s="43"/>
      <c r="CBG264" s="44"/>
      <c r="CBM264" s="43"/>
      <c r="CBN264" s="44"/>
      <c r="CBT264" s="43"/>
      <c r="CBU264" s="44"/>
      <c r="CCA264" s="43"/>
      <c r="CCB264" s="44"/>
      <c r="CCH264" s="43"/>
      <c r="CCI264" s="44"/>
      <c r="CCO264" s="43"/>
      <c r="CCP264" s="44"/>
      <c r="CCV264" s="43"/>
      <c r="CCW264" s="44"/>
      <c r="CDC264" s="43"/>
      <c r="CDD264" s="44"/>
      <c r="CDJ264" s="43"/>
      <c r="CDK264" s="44"/>
      <c r="CDQ264" s="43"/>
      <c r="CDR264" s="44"/>
      <c r="CDX264" s="43"/>
      <c r="CDY264" s="44"/>
      <c r="CEE264" s="43"/>
      <c r="CEF264" s="44"/>
      <c r="CEL264" s="43"/>
      <c r="CEM264" s="44"/>
      <c r="CES264" s="43"/>
      <c r="CET264" s="44"/>
      <c r="CEZ264" s="43"/>
      <c r="CFA264" s="44"/>
      <c r="CFG264" s="43"/>
      <c r="CFH264" s="44"/>
      <c r="CFN264" s="43"/>
      <c r="CFO264" s="44"/>
      <c r="CFU264" s="43"/>
      <c r="CFV264" s="44"/>
      <c r="CGB264" s="43"/>
      <c r="CGC264" s="44"/>
      <c r="CGI264" s="43"/>
      <c r="CGJ264" s="44"/>
      <c r="CGP264" s="43"/>
      <c r="CGQ264" s="44"/>
      <c r="CGW264" s="43"/>
      <c r="CGX264" s="44"/>
      <c r="CHD264" s="43"/>
      <c r="CHE264" s="44"/>
      <c r="CHK264" s="43"/>
      <c r="CHL264" s="44"/>
      <c r="CHR264" s="43"/>
      <c r="CHS264" s="44"/>
      <c r="CHY264" s="43"/>
      <c r="CHZ264" s="44"/>
      <c r="CIF264" s="43"/>
      <c r="CIG264" s="44"/>
      <c r="CIM264" s="43"/>
      <c r="CIN264" s="44"/>
      <c r="CIT264" s="43"/>
      <c r="CIU264" s="44"/>
      <c r="CJA264" s="43"/>
      <c r="CJB264" s="44"/>
      <c r="CJH264" s="43"/>
      <c r="CJI264" s="44"/>
      <c r="CJO264" s="43"/>
      <c r="CJP264" s="44"/>
      <c r="CJV264" s="43"/>
      <c r="CJW264" s="44"/>
      <c r="CKC264" s="43"/>
      <c r="CKD264" s="44"/>
      <c r="CKJ264" s="43"/>
      <c r="CKK264" s="44"/>
      <c r="CKQ264" s="43"/>
      <c r="CKR264" s="44"/>
      <c r="CKX264" s="43"/>
      <c r="CKY264" s="44"/>
      <c r="CLE264" s="43"/>
      <c r="CLF264" s="44"/>
      <c r="CLL264" s="43"/>
      <c r="CLM264" s="44"/>
      <c r="CLS264" s="43"/>
      <c r="CLT264" s="44"/>
      <c r="CLZ264" s="43"/>
      <c r="CMA264" s="44"/>
      <c r="CMG264" s="43"/>
      <c r="CMH264" s="44"/>
      <c r="CMN264" s="43"/>
      <c r="CMO264" s="44"/>
      <c r="CMU264" s="43"/>
      <c r="CMV264" s="44"/>
      <c r="CNB264" s="43"/>
      <c r="CNC264" s="44"/>
      <c r="CNI264" s="43"/>
      <c r="CNJ264" s="44"/>
      <c r="CNP264" s="43"/>
      <c r="CNQ264" s="44"/>
      <c r="CNW264" s="43"/>
      <c r="CNX264" s="44"/>
      <c r="COD264" s="43"/>
      <c r="COE264" s="44"/>
      <c r="COK264" s="43"/>
      <c r="COL264" s="44"/>
      <c r="COR264" s="43"/>
      <c r="COS264" s="44"/>
      <c r="COY264" s="43"/>
      <c r="COZ264" s="44"/>
      <c r="CPF264" s="43"/>
      <c r="CPG264" s="44"/>
      <c r="CPM264" s="43"/>
      <c r="CPN264" s="44"/>
      <c r="CPT264" s="43"/>
      <c r="CPU264" s="44"/>
      <c r="CQA264" s="43"/>
      <c r="CQB264" s="44"/>
      <c r="CQH264" s="43"/>
      <c r="CQI264" s="44"/>
      <c r="CQO264" s="43"/>
      <c r="CQP264" s="44"/>
      <c r="CQV264" s="43"/>
      <c r="CQW264" s="44"/>
      <c r="CRC264" s="43"/>
      <c r="CRD264" s="44"/>
      <c r="CRJ264" s="43"/>
      <c r="CRK264" s="44"/>
      <c r="CRQ264" s="43"/>
      <c r="CRR264" s="44"/>
      <c r="CRX264" s="43"/>
      <c r="CRY264" s="44"/>
      <c r="CSE264" s="43"/>
      <c r="CSF264" s="44"/>
      <c r="CSL264" s="43"/>
      <c r="CSM264" s="44"/>
      <c r="CSS264" s="43"/>
      <c r="CST264" s="44"/>
      <c r="CSZ264" s="43"/>
      <c r="CTA264" s="44"/>
      <c r="CTG264" s="43"/>
      <c r="CTH264" s="44"/>
      <c r="CTN264" s="43"/>
      <c r="CTO264" s="44"/>
      <c r="CTU264" s="43"/>
      <c r="CTV264" s="44"/>
    </row>
    <row r="265" spans="1:1023 1029:2045 2051:2570" s="6" customFormat="1" ht="30" customHeight="1" x14ac:dyDescent="0.2">
      <c r="A265" s="17" t="s">
        <v>421</v>
      </c>
      <c r="B265" s="33" t="s">
        <v>283</v>
      </c>
      <c r="C265" s="19" t="s">
        <v>422</v>
      </c>
      <c r="D265" s="33" t="s">
        <v>259</v>
      </c>
      <c r="E265" s="33">
        <v>3</v>
      </c>
      <c r="F265" s="36"/>
      <c r="G265" s="20">
        <f t="shared" si="4"/>
        <v>0</v>
      </c>
      <c r="H265" s="20"/>
      <c r="N265" s="43"/>
      <c r="O265" s="44"/>
      <c r="U265" s="43"/>
      <c r="V265" s="44"/>
      <c r="AB265" s="43"/>
      <c r="AC265" s="44"/>
      <c r="AI265" s="43"/>
      <c r="AJ265" s="44"/>
      <c r="AP265" s="43"/>
      <c r="AQ265" s="44"/>
      <c r="AW265" s="43"/>
      <c r="AX265" s="44"/>
      <c r="BD265" s="43"/>
      <c r="BE265" s="44"/>
      <c r="BK265" s="43"/>
      <c r="BL265" s="44"/>
      <c r="BR265" s="43"/>
      <c r="BS265" s="44"/>
      <c r="BY265" s="43"/>
      <c r="BZ265" s="44"/>
      <c r="CF265" s="43"/>
      <c r="CG265" s="44"/>
      <c r="CM265" s="43"/>
      <c r="CN265" s="44"/>
      <c r="CT265" s="43"/>
      <c r="CU265" s="44"/>
      <c r="DA265" s="43"/>
      <c r="DB265" s="44"/>
      <c r="DH265" s="43"/>
      <c r="DI265" s="44"/>
      <c r="DO265" s="43"/>
      <c r="DP265" s="44"/>
      <c r="DV265" s="43"/>
      <c r="DW265" s="44"/>
      <c r="EC265" s="43"/>
      <c r="ED265" s="44"/>
      <c r="EJ265" s="43"/>
      <c r="EK265" s="44"/>
      <c r="EQ265" s="43"/>
      <c r="ER265" s="44"/>
      <c r="EX265" s="43"/>
      <c r="EY265" s="44"/>
      <c r="FE265" s="43"/>
      <c r="FF265" s="44"/>
      <c r="FL265" s="43"/>
      <c r="FM265" s="44"/>
      <c r="FS265" s="43"/>
      <c r="FT265" s="44"/>
      <c r="FZ265" s="43"/>
      <c r="GA265" s="44"/>
      <c r="GG265" s="43"/>
      <c r="GH265" s="44"/>
      <c r="GN265" s="43"/>
      <c r="GO265" s="44"/>
      <c r="GU265" s="43"/>
      <c r="GV265" s="44"/>
      <c r="HB265" s="43"/>
      <c r="HC265" s="44"/>
      <c r="HI265" s="43"/>
      <c r="HJ265" s="44"/>
      <c r="HP265" s="43"/>
      <c r="HQ265" s="44"/>
      <c r="HW265" s="43"/>
      <c r="HX265" s="44"/>
      <c r="ID265" s="43"/>
      <c r="IE265" s="44"/>
      <c r="IK265" s="43"/>
      <c r="IL265" s="44"/>
      <c r="IR265" s="43"/>
      <c r="IS265" s="44"/>
      <c r="IY265" s="43"/>
      <c r="IZ265" s="44"/>
      <c r="JF265" s="43"/>
      <c r="JG265" s="44"/>
      <c r="JM265" s="43"/>
      <c r="JN265" s="44"/>
      <c r="JT265" s="43"/>
      <c r="JU265" s="44"/>
      <c r="KA265" s="43"/>
      <c r="KB265" s="44"/>
      <c r="KH265" s="43"/>
      <c r="KI265" s="44"/>
      <c r="KO265" s="43"/>
      <c r="KP265" s="44"/>
      <c r="KV265" s="43"/>
      <c r="KW265" s="44"/>
      <c r="LC265" s="43"/>
      <c r="LD265" s="44"/>
      <c r="LJ265" s="43"/>
      <c r="LK265" s="44"/>
      <c r="LQ265" s="43"/>
      <c r="LR265" s="44"/>
      <c r="LX265" s="43"/>
      <c r="LY265" s="44"/>
      <c r="ME265" s="43"/>
      <c r="MF265" s="44"/>
      <c r="ML265" s="43"/>
      <c r="MM265" s="44"/>
      <c r="MS265" s="43"/>
      <c r="MT265" s="44"/>
      <c r="MZ265" s="43"/>
      <c r="NA265" s="44"/>
      <c r="NG265" s="43"/>
      <c r="NH265" s="44"/>
      <c r="NN265" s="43"/>
      <c r="NO265" s="44"/>
      <c r="NU265" s="43"/>
      <c r="NV265" s="44"/>
      <c r="OB265" s="43"/>
      <c r="OC265" s="44"/>
      <c r="OI265" s="43"/>
      <c r="OJ265" s="44"/>
      <c r="OP265" s="43"/>
      <c r="OQ265" s="44"/>
      <c r="OW265" s="43"/>
      <c r="OX265" s="44"/>
      <c r="PD265" s="43"/>
      <c r="PE265" s="44"/>
      <c r="PK265" s="43"/>
      <c r="PL265" s="44"/>
      <c r="PR265" s="43"/>
      <c r="PS265" s="44"/>
      <c r="PY265" s="43"/>
      <c r="PZ265" s="44"/>
      <c r="QF265" s="43"/>
      <c r="QG265" s="44"/>
      <c r="QM265" s="43"/>
      <c r="QN265" s="44"/>
      <c r="QT265" s="43"/>
      <c r="QU265" s="44"/>
      <c r="RA265" s="43"/>
      <c r="RB265" s="44"/>
      <c r="RH265" s="43"/>
      <c r="RI265" s="44"/>
      <c r="RO265" s="43"/>
      <c r="RP265" s="44"/>
      <c r="RV265" s="43"/>
      <c r="RW265" s="44"/>
      <c r="SC265" s="43"/>
      <c r="SD265" s="44"/>
      <c r="SJ265" s="43"/>
      <c r="SK265" s="44"/>
      <c r="SQ265" s="43"/>
      <c r="SR265" s="44"/>
      <c r="SX265" s="43"/>
      <c r="SY265" s="44"/>
      <c r="TE265" s="43"/>
      <c r="TF265" s="44"/>
      <c r="TL265" s="43"/>
      <c r="TM265" s="44"/>
      <c r="TS265" s="43"/>
      <c r="TT265" s="44"/>
      <c r="TZ265" s="43"/>
      <c r="UA265" s="44"/>
      <c r="UG265" s="43"/>
      <c r="UH265" s="44"/>
      <c r="UN265" s="43"/>
      <c r="UO265" s="44"/>
      <c r="UU265" s="43"/>
      <c r="UV265" s="44"/>
      <c r="VB265" s="43"/>
      <c r="VC265" s="44"/>
      <c r="VI265" s="43"/>
      <c r="VJ265" s="44"/>
      <c r="VP265" s="43"/>
      <c r="VQ265" s="44"/>
      <c r="VW265" s="43"/>
      <c r="VX265" s="44"/>
      <c r="WD265" s="43"/>
      <c r="WE265" s="44"/>
      <c r="WK265" s="43"/>
      <c r="WL265" s="44"/>
      <c r="WR265" s="43"/>
      <c r="WS265" s="44"/>
      <c r="WY265" s="43"/>
      <c r="WZ265" s="44"/>
      <c r="XF265" s="43"/>
      <c r="XG265" s="44"/>
      <c r="XM265" s="43"/>
      <c r="XN265" s="44"/>
      <c r="XT265" s="43"/>
      <c r="XU265" s="44"/>
      <c r="YA265" s="43"/>
      <c r="YB265" s="44"/>
      <c r="YH265" s="43"/>
      <c r="YI265" s="44"/>
      <c r="YO265" s="43"/>
      <c r="YP265" s="44"/>
      <c r="YV265" s="43"/>
      <c r="YW265" s="44"/>
      <c r="ZC265" s="43"/>
      <c r="ZD265" s="44"/>
      <c r="ZJ265" s="43"/>
      <c r="ZK265" s="44"/>
      <c r="ZQ265" s="43"/>
      <c r="ZR265" s="44"/>
      <c r="ZX265" s="43"/>
      <c r="ZY265" s="44"/>
      <c r="AAE265" s="43"/>
      <c r="AAF265" s="44"/>
      <c r="AAL265" s="43"/>
      <c r="AAM265" s="44"/>
      <c r="AAS265" s="43"/>
      <c r="AAT265" s="44"/>
      <c r="AAZ265" s="43"/>
      <c r="ABA265" s="44"/>
      <c r="ABG265" s="43"/>
      <c r="ABH265" s="44"/>
      <c r="ABN265" s="43"/>
      <c r="ABO265" s="44"/>
      <c r="ABU265" s="43"/>
      <c r="ABV265" s="44"/>
      <c r="ACB265" s="43"/>
      <c r="ACC265" s="44"/>
      <c r="ACI265" s="43"/>
      <c r="ACJ265" s="44"/>
      <c r="ACP265" s="43"/>
      <c r="ACQ265" s="44"/>
      <c r="ACW265" s="43"/>
      <c r="ACX265" s="44"/>
      <c r="ADD265" s="43"/>
      <c r="ADE265" s="44"/>
      <c r="ADK265" s="43"/>
      <c r="ADL265" s="44"/>
      <c r="ADR265" s="43"/>
      <c r="ADS265" s="44"/>
      <c r="ADY265" s="43"/>
      <c r="ADZ265" s="44"/>
      <c r="AEF265" s="43"/>
      <c r="AEG265" s="44"/>
      <c r="AEM265" s="43"/>
      <c r="AEN265" s="44"/>
      <c r="AET265" s="43"/>
      <c r="AEU265" s="44"/>
      <c r="AFA265" s="43"/>
      <c r="AFB265" s="44"/>
      <c r="AFH265" s="43"/>
      <c r="AFI265" s="44"/>
      <c r="AFO265" s="43"/>
      <c r="AFP265" s="44"/>
      <c r="AFV265" s="43"/>
      <c r="AFW265" s="44"/>
      <c r="AGC265" s="43"/>
      <c r="AGD265" s="44"/>
      <c r="AGJ265" s="43"/>
      <c r="AGK265" s="44"/>
      <c r="AGQ265" s="43"/>
      <c r="AGR265" s="44"/>
      <c r="AGX265" s="43"/>
      <c r="AGY265" s="44"/>
      <c r="AHE265" s="43"/>
      <c r="AHF265" s="44"/>
      <c r="AHL265" s="43"/>
      <c r="AHM265" s="44"/>
      <c r="AHS265" s="43"/>
      <c r="AHT265" s="44"/>
      <c r="AHZ265" s="43"/>
      <c r="AIA265" s="44"/>
      <c r="AIG265" s="43"/>
      <c r="AIH265" s="44"/>
      <c r="AIN265" s="43"/>
      <c r="AIO265" s="44"/>
      <c r="AIU265" s="43"/>
      <c r="AIV265" s="44"/>
      <c r="AJB265" s="43"/>
      <c r="AJC265" s="44"/>
      <c r="AJI265" s="43"/>
      <c r="AJJ265" s="44"/>
      <c r="AJP265" s="43"/>
      <c r="AJQ265" s="44"/>
      <c r="AJW265" s="43"/>
      <c r="AJX265" s="44"/>
      <c r="AKD265" s="43"/>
      <c r="AKE265" s="44"/>
      <c r="AKK265" s="43"/>
      <c r="AKL265" s="44"/>
      <c r="AKR265" s="43"/>
      <c r="AKS265" s="44"/>
      <c r="AKY265" s="43"/>
      <c r="AKZ265" s="44"/>
      <c r="ALF265" s="43"/>
      <c r="ALG265" s="44"/>
      <c r="ALM265" s="43"/>
      <c r="ALN265" s="44"/>
      <c r="ALT265" s="43"/>
      <c r="ALU265" s="44"/>
      <c r="AMA265" s="43"/>
      <c r="AMB265" s="44"/>
      <c r="AMH265" s="43"/>
      <c r="AMI265" s="44"/>
      <c r="AMO265" s="43"/>
      <c r="AMP265" s="44"/>
      <c r="AMV265" s="43"/>
      <c r="AMW265" s="44"/>
      <c r="ANC265" s="43"/>
      <c r="AND265" s="44"/>
      <c r="ANJ265" s="43"/>
      <c r="ANK265" s="44"/>
      <c r="ANQ265" s="43"/>
      <c r="ANR265" s="44"/>
      <c r="ANX265" s="43"/>
      <c r="ANY265" s="44"/>
      <c r="AOE265" s="43"/>
      <c r="AOF265" s="44"/>
      <c r="AOL265" s="43"/>
      <c r="AOM265" s="44"/>
      <c r="AOS265" s="43"/>
      <c r="AOT265" s="44"/>
      <c r="AOZ265" s="43"/>
      <c r="APA265" s="44"/>
      <c r="APG265" s="43"/>
      <c r="APH265" s="44"/>
      <c r="APN265" s="43"/>
      <c r="APO265" s="44"/>
      <c r="APU265" s="43"/>
      <c r="APV265" s="44"/>
      <c r="AQB265" s="43"/>
      <c r="AQC265" s="44"/>
      <c r="AQI265" s="43"/>
      <c r="AQJ265" s="44"/>
      <c r="AQP265" s="43"/>
      <c r="AQQ265" s="44"/>
      <c r="AQW265" s="43"/>
      <c r="AQX265" s="44"/>
      <c r="ARD265" s="43"/>
      <c r="ARE265" s="44"/>
      <c r="ARK265" s="43"/>
      <c r="ARL265" s="44"/>
      <c r="ARR265" s="43"/>
      <c r="ARS265" s="44"/>
      <c r="ARY265" s="43"/>
      <c r="ARZ265" s="44"/>
      <c r="ASF265" s="43"/>
      <c r="ASG265" s="44"/>
      <c r="ASM265" s="43"/>
      <c r="ASN265" s="44"/>
      <c r="AST265" s="43"/>
      <c r="ASU265" s="44"/>
      <c r="ATA265" s="43"/>
      <c r="ATB265" s="44"/>
      <c r="ATH265" s="43"/>
      <c r="ATI265" s="44"/>
      <c r="ATO265" s="43"/>
      <c r="ATP265" s="44"/>
      <c r="ATV265" s="43"/>
      <c r="ATW265" s="44"/>
      <c r="AUC265" s="43"/>
      <c r="AUD265" s="44"/>
      <c r="AUJ265" s="43"/>
      <c r="AUK265" s="44"/>
      <c r="AUQ265" s="43"/>
      <c r="AUR265" s="44"/>
      <c r="AUX265" s="43"/>
      <c r="AUY265" s="44"/>
      <c r="AVE265" s="43"/>
      <c r="AVF265" s="44"/>
      <c r="AVL265" s="43"/>
      <c r="AVM265" s="44"/>
      <c r="AVS265" s="43"/>
      <c r="AVT265" s="44"/>
      <c r="AVZ265" s="43"/>
      <c r="AWA265" s="44"/>
      <c r="AWG265" s="43"/>
      <c r="AWH265" s="44"/>
      <c r="AWN265" s="43"/>
      <c r="AWO265" s="44"/>
      <c r="AWU265" s="43"/>
      <c r="AWV265" s="44"/>
      <c r="AXB265" s="43"/>
      <c r="AXC265" s="44"/>
      <c r="AXI265" s="43"/>
      <c r="AXJ265" s="44"/>
      <c r="AXP265" s="43"/>
      <c r="AXQ265" s="44"/>
      <c r="AXW265" s="43"/>
      <c r="AXX265" s="44"/>
      <c r="AYD265" s="43"/>
      <c r="AYE265" s="44"/>
      <c r="AYK265" s="43"/>
      <c r="AYL265" s="44"/>
      <c r="AYR265" s="43"/>
      <c r="AYS265" s="44"/>
      <c r="AYY265" s="43"/>
      <c r="AYZ265" s="44"/>
      <c r="AZF265" s="43"/>
      <c r="AZG265" s="44"/>
      <c r="AZM265" s="43"/>
      <c r="AZN265" s="44"/>
      <c r="AZT265" s="43"/>
      <c r="AZU265" s="44"/>
      <c r="BAA265" s="43"/>
      <c r="BAB265" s="44"/>
      <c r="BAH265" s="43"/>
      <c r="BAI265" s="44"/>
      <c r="BAO265" s="43"/>
      <c r="BAP265" s="44"/>
      <c r="BAV265" s="43"/>
      <c r="BAW265" s="44"/>
      <c r="BBC265" s="43"/>
      <c r="BBD265" s="44"/>
      <c r="BBJ265" s="43"/>
      <c r="BBK265" s="44"/>
      <c r="BBQ265" s="43"/>
      <c r="BBR265" s="44"/>
      <c r="BBX265" s="43"/>
      <c r="BBY265" s="44"/>
      <c r="BCE265" s="43"/>
      <c r="BCF265" s="44"/>
      <c r="BCL265" s="43"/>
      <c r="BCM265" s="44"/>
      <c r="BCS265" s="43"/>
      <c r="BCT265" s="44"/>
      <c r="BCZ265" s="43"/>
      <c r="BDA265" s="44"/>
      <c r="BDG265" s="43"/>
      <c r="BDH265" s="44"/>
      <c r="BDN265" s="43"/>
      <c r="BDO265" s="44"/>
      <c r="BDU265" s="43"/>
      <c r="BDV265" s="44"/>
      <c r="BEB265" s="43"/>
      <c r="BEC265" s="44"/>
      <c r="BEI265" s="43"/>
      <c r="BEJ265" s="44"/>
      <c r="BEP265" s="43"/>
      <c r="BEQ265" s="44"/>
      <c r="BEW265" s="43"/>
      <c r="BEX265" s="44"/>
      <c r="BFD265" s="43"/>
      <c r="BFE265" s="44"/>
      <c r="BFK265" s="43"/>
      <c r="BFL265" s="44"/>
      <c r="BFR265" s="43"/>
      <c r="BFS265" s="44"/>
      <c r="BFY265" s="43"/>
      <c r="BFZ265" s="44"/>
      <c r="BGF265" s="43"/>
      <c r="BGG265" s="44"/>
      <c r="BGM265" s="43"/>
      <c r="BGN265" s="44"/>
      <c r="BGT265" s="43"/>
      <c r="BGU265" s="44"/>
      <c r="BHA265" s="43"/>
      <c r="BHB265" s="44"/>
      <c r="BHH265" s="43"/>
      <c r="BHI265" s="44"/>
      <c r="BHO265" s="43"/>
      <c r="BHP265" s="44"/>
      <c r="BHV265" s="43"/>
      <c r="BHW265" s="44"/>
      <c r="BIC265" s="43"/>
      <c r="BID265" s="44"/>
      <c r="BIJ265" s="43"/>
      <c r="BIK265" s="44"/>
      <c r="BIQ265" s="43"/>
      <c r="BIR265" s="44"/>
      <c r="BIX265" s="43"/>
      <c r="BIY265" s="44"/>
      <c r="BJE265" s="43"/>
      <c r="BJF265" s="44"/>
      <c r="BJL265" s="43"/>
      <c r="BJM265" s="44"/>
      <c r="BJS265" s="43"/>
      <c r="BJT265" s="44"/>
      <c r="BJZ265" s="43"/>
      <c r="BKA265" s="44"/>
      <c r="BKG265" s="43"/>
      <c r="BKH265" s="44"/>
      <c r="BKN265" s="43"/>
      <c r="BKO265" s="44"/>
      <c r="BKU265" s="43"/>
      <c r="BKV265" s="44"/>
      <c r="BLB265" s="43"/>
      <c r="BLC265" s="44"/>
      <c r="BLI265" s="43"/>
      <c r="BLJ265" s="44"/>
      <c r="BLP265" s="43"/>
      <c r="BLQ265" s="44"/>
      <c r="BLW265" s="43"/>
      <c r="BLX265" s="44"/>
      <c r="BMD265" s="43"/>
      <c r="BME265" s="44"/>
      <c r="BMK265" s="43"/>
      <c r="BML265" s="44"/>
      <c r="BMR265" s="43"/>
      <c r="BMS265" s="44"/>
      <c r="BMY265" s="43"/>
      <c r="BMZ265" s="44"/>
      <c r="BNF265" s="43"/>
      <c r="BNG265" s="44"/>
      <c r="BNM265" s="43"/>
      <c r="BNN265" s="44"/>
      <c r="BNT265" s="43"/>
      <c r="BNU265" s="44"/>
      <c r="BOA265" s="43"/>
      <c r="BOB265" s="44"/>
      <c r="BOH265" s="43"/>
      <c r="BOI265" s="44"/>
      <c r="BOO265" s="43"/>
      <c r="BOP265" s="44"/>
      <c r="BOV265" s="43"/>
      <c r="BOW265" s="44"/>
      <c r="BPC265" s="43"/>
      <c r="BPD265" s="44"/>
      <c r="BPJ265" s="43"/>
      <c r="BPK265" s="44"/>
      <c r="BPQ265" s="43"/>
      <c r="BPR265" s="44"/>
      <c r="BPX265" s="43"/>
      <c r="BPY265" s="44"/>
      <c r="BQE265" s="43"/>
      <c r="BQF265" s="44"/>
      <c r="BQL265" s="43"/>
      <c r="BQM265" s="44"/>
      <c r="BQS265" s="43"/>
      <c r="BQT265" s="44"/>
      <c r="BQZ265" s="43"/>
      <c r="BRA265" s="44"/>
      <c r="BRG265" s="43"/>
      <c r="BRH265" s="44"/>
      <c r="BRN265" s="43"/>
      <c r="BRO265" s="44"/>
      <c r="BRU265" s="43"/>
      <c r="BRV265" s="44"/>
      <c r="BSB265" s="43"/>
      <c r="BSC265" s="44"/>
      <c r="BSI265" s="43"/>
      <c r="BSJ265" s="44"/>
      <c r="BSP265" s="43"/>
      <c r="BSQ265" s="44"/>
      <c r="BSW265" s="43"/>
      <c r="BSX265" s="44"/>
      <c r="BTD265" s="43"/>
      <c r="BTE265" s="44"/>
      <c r="BTK265" s="43"/>
      <c r="BTL265" s="44"/>
      <c r="BTR265" s="43"/>
      <c r="BTS265" s="44"/>
      <c r="BTY265" s="43"/>
      <c r="BTZ265" s="44"/>
      <c r="BUF265" s="43"/>
      <c r="BUG265" s="44"/>
      <c r="BUM265" s="43"/>
      <c r="BUN265" s="44"/>
      <c r="BUT265" s="43"/>
      <c r="BUU265" s="44"/>
      <c r="BVA265" s="43"/>
      <c r="BVB265" s="44"/>
      <c r="BVH265" s="43"/>
      <c r="BVI265" s="44"/>
      <c r="BVO265" s="43"/>
      <c r="BVP265" s="44"/>
      <c r="BVV265" s="43"/>
      <c r="BVW265" s="44"/>
      <c r="BWC265" s="43"/>
      <c r="BWD265" s="44"/>
      <c r="BWJ265" s="43"/>
      <c r="BWK265" s="44"/>
      <c r="BWQ265" s="43"/>
      <c r="BWR265" s="44"/>
      <c r="BWX265" s="43"/>
      <c r="BWY265" s="44"/>
      <c r="BXE265" s="43"/>
      <c r="BXF265" s="44"/>
      <c r="BXL265" s="43"/>
      <c r="BXM265" s="44"/>
      <c r="BXS265" s="43"/>
      <c r="BXT265" s="44"/>
      <c r="BXZ265" s="43"/>
      <c r="BYA265" s="44"/>
      <c r="BYG265" s="43"/>
      <c r="BYH265" s="44"/>
      <c r="BYN265" s="43"/>
      <c r="BYO265" s="44"/>
      <c r="BYU265" s="43"/>
      <c r="BYV265" s="44"/>
      <c r="BZB265" s="43"/>
      <c r="BZC265" s="44"/>
      <c r="BZI265" s="43"/>
      <c r="BZJ265" s="44"/>
      <c r="BZP265" s="43"/>
      <c r="BZQ265" s="44"/>
      <c r="BZW265" s="43"/>
      <c r="BZX265" s="44"/>
      <c r="CAD265" s="43"/>
      <c r="CAE265" s="44"/>
      <c r="CAK265" s="43"/>
      <c r="CAL265" s="44"/>
      <c r="CAR265" s="43"/>
      <c r="CAS265" s="44"/>
      <c r="CAY265" s="43"/>
      <c r="CAZ265" s="44"/>
      <c r="CBF265" s="43"/>
      <c r="CBG265" s="44"/>
      <c r="CBM265" s="43"/>
      <c r="CBN265" s="44"/>
      <c r="CBT265" s="43"/>
      <c r="CBU265" s="44"/>
      <c r="CCA265" s="43"/>
      <c r="CCB265" s="44"/>
      <c r="CCH265" s="43"/>
      <c r="CCI265" s="44"/>
      <c r="CCO265" s="43"/>
      <c r="CCP265" s="44"/>
      <c r="CCV265" s="43"/>
      <c r="CCW265" s="44"/>
      <c r="CDC265" s="43"/>
      <c r="CDD265" s="44"/>
      <c r="CDJ265" s="43"/>
      <c r="CDK265" s="44"/>
      <c r="CDQ265" s="43"/>
      <c r="CDR265" s="44"/>
      <c r="CDX265" s="43"/>
      <c r="CDY265" s="44"/>
      <c r="CEE265" s="43"/>
      <c r="CEF265" s="44"/>
      <c r="CEL265" s="43"/>
      <c r="CEM265" s="44"/>
      <c r="CES265" s="43"/>
      <c r="CET265" s="44"/>
      <c r="CEZ265" s="43"/>
      <c r="CFA265" s="44"/>
      <c r="CFG265" s="43"/>
      <c r="CFH265" s="44"/>
      <c r="CFN265" s="43"/>
      <c r="CFO265" s="44"/>
      <c r="CFU265" s="43"/>
      <c r="CFV265" s="44"/>
      <c r="CGB265" s="43"/>
      <c r="CGC265" s="44"/>
      <c r="CGI265" s="43"/>
      <c r="CGJ265" s="44"/>
      <c r="CGP265" s="43"/>
      <c r="CGQ265" s="44"/>
      <c r="CGW265" s="43"/>
      <c r="CGX265" s="44"/>
      <c r="CHD265" s="43"/>
      <c r="CHE265" s="44"/>
      <c r="CHK265" s="43"/>
      <c r="CHL265" s="44"/>
      <c r="CHR265" s="43"/>
      <c r="CHS265" s="44"/>
      <c r="CHY265" s="43"/>
      <c r="CHZ265" s="44"/>
      <c r="CIF265" s="43"/>
      <c r="CIG265" s="44"/>
      <c r="CIM265" s="43"/>
      <c r="CIN265" s="44"/>
      <c r="CIT265" s="43"/>
      <c r="CIU265" s="44"/>
      <c r="CJA265" s="43"/>
      <c r="CJB265" s="44"/>
      <c r="CJH265" s="43"/>
      <c r="CJI265" s="44"/>
      <c r="CJO265" s="43"/>
      <c r="CJP265" s="44"/>
      <c r="CJV265" s="43"/>
      <c r="CJW265" s="44"/>
      <c r="CKC265" s="43"/>
      <c r="CKD265" s="44"/>
      <c r="CKJ265" s="43"/>
      <c r="CKK265" s="44"/>
      <c r="CKQ265" s="43"/>
      <c r="CKR265" s="44"/>
      <c r="CKX265" s="43"/>
      <c r="CKY265" s="44"/>
      <c r="CLE265" s="43"/>
      <c r="CLF265" s="44"/>
      <c r="CLL265" s="43"/>
      <c r="CLM265" s="44"/>
      <c r="CLS265" s="43"/>
      <c r="CLT265" s="44"/>
      <c r="CLZ265" s="43"/>
      <c r="CMA265" s="44"/>
      <c r="CMG265" s="43"/>
      <c r="CMH265" s="44"/>
      <c r="CMN265" s="43"/>
      <c r="CMO265" s="44"/>
      <c r="CMU265" s="43"/>
      <c r="CMV265" s="44"/>
      <c r="CNB265" s="43"/>
      <c r="CNC265" s="44"/>
      <c r="CNI265" s="43"/>
      <c r="CNJ265" s="44"/>
      <c r="CNP265" s="43"/>
      <c r="CNQ265" s="44"/>
      <c r="CNW265" s="43"/>
      <c r="CNX265" s="44"/>
      <c r="COD265" s="43"/>
      <c r="COE265" s="44"/>
      <c r="COK265" s="43"/>
      <c r="COL265" s="44"/>
      <c r="COR265" s="43"/>
      <c r="COS265" s="44"/>
      <c r="COY265" s="43"/>
      <c r="COZ265" s="44"/>
      <c r="CPF265" s="43"/>
      <c r="CPG265" s="44"/>
      <c r="CPM265" s="43"/>
      <c r="CPN265" s="44"/>
      <c r="CPT265" s="43"/>
      <c r="CPU265" s="44"/>
      <c r="CQA265" s="43"/>
      <c r="CQB265" s="44"/>
      <c r="CQH265" s="43"/>
      <c r="CQI265" s="44"/>
      <c r="CQO265" s="43"/>
      <c r="CQP265" s="44"/>
      <c r="CQV265" s="43"/>
      <c r="CQW265" s="44"/>
      <c r="CRC265" s="43"/>
      <c r="CRD265" s="44"/>
      <c r="CRJ265" s="43"/>
      <c r="CRK265" s="44"/>
      <c r="CRQ265" s="43"/>
      <c r="CRR265" s="44"/>
      <c r="CRX265" s="43"/>
      <c r="CRY265" s="44"/>
      <c r="CSE265" s="43"/>
      <c r="CSF265" s="44"/>
      <c r="CSL265" s="43"/>
      <c r="CSM265" s="44"/>
      <c r="CSS265" s="43"/>
      <c r="CST265" s="44"/>
      <c r="CSZ265" s="43"/>
      <c r="CTA265" s="44"/>
      <c r="CTG265" s="43"/>
      <c r="CTH265" s="44"/>
      <c r="CTN265" s="43"/>
      <c r="CTO265" s="44"/>
      <c r="CTU265" s="43"/>
      <c r="CTV265" s="44"/>
    </row>
    <row r="266" spans="1:1023 1029:2045 2051:2570" s="6" customFormat="1" ht="30" customHeight="1" x14ac:dyDescent="0.2">
      <c r="A266" s="17" t="s">
        <v>423</v>
      </c>
      <c r="B266" s="33" t="s">
        <v>424</v>
      </c>
      <c r="C266" s="19" t="s">
        <v>425</v>
      </c>
      <c r="D266" s="33" t="s">
        <v>426</v>
      </c>
      <c r="E266" s="33">
        <v>600</v>
      </c>
      <c r="F266" s="36"/>
      <c r="G266" s="20">
        <f t="shared" si="4"/>
        <v>0</v>
      </c>
      <c r="H266" s="20"/>
      <c r="N266" s="43"/>
      <c r="O266" s="44"/>
      <c r="U266" s="43"/>
      <c r="V266" s="44"/>
      <c r="AB266" s="43"/>
      <c r="AC266" s="44"/>
      <c r="AI266" s="43"/>
      <c r="AJ266" s="44"/>
      <c r="AP266" s="43"/>
      <c r="AQ266" s="44"/>
      <c r="AW266" s="43"/>
      <c r="AX266" s="44"/>
      <c r="BD266" s="43"/>
      <c r="BE266" s="44"/>
      <c r="BK266" s="43"/>
      <c r="BL266" s="44"/>
      <c r="BR266" s="43"/>
      <c r="BS266" s="44"/>
      <c r="BY266" s="43"/>
      <c r="BZ266" s="44"/>
      <c r="CF266" s="43"/>
      <c r="CG266" s="44"/>
      <c r="CM266" s="43"/>
      <c r="CN266" s="44"/>
      <c r="CT266" s="43"/>
      <c r="CU266" s="44"/>
      <c r="DA266" s="43"/>
      <c r="DB266" s="44"/>
      <c r="DH266" s="43"/>
      <c r="DI266" s="44"/>
      <c r="DO266" s="43"/>
      <c r="DP266" s="44"/>
      <c r="DV266" s="43"/>
      <c r="DW266" s="44"/>
      <c r="EC266" s="43"/>
      <c r="ED266" s="44"/>
      <c r="EJ266" s="43"/>
      <c r="EK266" s="44"/>
      <c r="EQ266" s="43"/>
      <c r="ER266" s="44"/>
      <c r="EX266" s="43"/>
      <c r="EY266" s="44"/>
      <c r="FE266" s="43"/>
      <c r="FF266" s="44"/>
      <c r="FL266" s="43"/>
      <c r="FM266" s="44"/>
      <c r="FS266" s="43"/>
      <c r="FT266" s="44"/>
      <c r="FZ266" s="43"/>
      <c r="GA266" s="44"/>
      <c r="GG266" s="43"/>
      <c r="GH266" s="44"/>
      <c r="GN266" s="43"/>
      <c r="GO266" s="44"/>
      <c r="GU266" s="43"/>
      <c r="GV266" s="44"/>
      <c r="HB266" s="43"/>
      <c r="HC266" s="44"/>
      <c r="HI266" s="43"/>
      <c r="HJ266" s="44"/>
      <c r="HP266" s="43"/>
      <c r="HQ266" s="44"/>
      <c r="HW266" s="43"/>
      <c r="HX266" s="44"/>
      <c r="ID266" s="43"/>
      <c r="IE266" s="44"/>
      <c r="IK266" s="43"/>
      <c r="IL266" s="44"/>
      <c r="IR266" s="43"/>
      <c r="IS266" s="44"/>
      <c r="IY266" s="43"/>
      <c r="IZ266" s="44"/>
      <c r="JF266" s="43"/>
      <c r="JG266" s="44"/>
      <c r="JM266" s="43"/>
      <c r="JN266" s="44"/>
      <c r="JT266" s="43"/>
      <c r="JU266" s="44"/>
      <c r="KA266" s="43"/>
      <c r="KB266" s="44"/>
      <c r="KH266" s="43"/>
      <c r="KI266" s="44"/>
      <c r="KO266" s="43"/>
      <c r="KP266" s="44"/>
      <c r="KV266" s="43"/>
      <c r="KW266" s="44"/>
      <c r="LC266" s="43"/>
      <c r="LD266" s="44"/>
      <c r="LJ266" s="43"/>
      <c r="LK266" s="44"/>
      <c r="LQ266" s="43"/>
      <c r="LR266" s="44"/>
      <c r="LX266" s="43"/>
      <c r="LY266" s="44"/>
      <c r="ME266" s="43"/>
      <c r="MF266" s="44"/>
      <c r="ML266" s="43"/>
      <c r="MM266" s="44"/>
      <c r="MS266" s="43"/>
      <c r="MT266" s="44"/>
      <c r="MZ266" s="43"/>
      <c r="NA266" s="44"/>
      <c r="NG266" s="43"/>
      <c r="NH266" s="44"/>
      <c r="NN266" s="43"/>
      <c r="NO266" s="44"/>
      <c r="NU266" s="43"/>
      <c r="NV266" s="44"/>
      <c r="OB266" s="43"/>
      <c r="OC266" s="44"/>
      <c r="OI266" s="43"/>
      <c r="OJ266" s="44"/>
      <c r="OP266" s="43"/>
      <c r="OQ266" s="44"/>
      <c r="OW266" s="43"/>
      <c r="OX266" s="44"/>
      <c r="PD266" s="43"/>
      <c r="PE266" s="44"/>
      <c r="PK266" s="43"/>
      <c r="PL266" s="44"/>
      <c r="PR266" s="43"/>
      <c r="PS266" s="44"/>
      <c r="PY266" s="43"/>
      <c r="PZ266" s="44"/>
      <c r="QF266" s="43"/>
      <c r="QG266" s="44"/>
      <c r="QM266" s="43"/>
      <c r="QN266" s="44"/>
      <c r="QT266" s="43"/>
      <c r="QU266" s="44"/>
      <c r="RA266" s="43"/>
      <c r="RB266" s="44"/>
      <c r="RH266" s="43"/>
      <c r="RI266" s="44"/>
      <c r="RO266" s="43"/>
      <c r="RP266" s="44"/>
      <c r="RV266" s="43"/>
      <c r="RW266" s="44"/>
      <c r="SC266" s="43"/>
      <c r="SD266" s="44"/>
      <c r="SJ266" s="43"/>
      <c r="SK266" s="44"/>
      <c r="SQ266" s="43"/>
      <c r="SR266" s="44"/>
      <c r="SX266" s="43"/>
      <c r="SY266" s="44"/>
      <c r="TE266" s="43"/>
      <c r="TF266" s="44"/>
      <c r="TL266" s="43"/>
      <c r="TM266" s="44"/>
      <c r="TS266" s="43"/>
      <c r="TT266" s="44"/>
      <c r="TZ266" s="43"/>
      <c r="UA266" s="44"/>
      <c r="UG266" s="43"/>
      <c r="UH266" s="44"/>
      <c r="UN266" s="43"/>
      <c r="UO266" s="44"/>
      <c r="UU266" s="43"/>
      <c r="UV266" s="44"/>
      <c r="VB266" s="43"/>
      <c r="VC266" s="44"/>
      <c r="VI266" s="43"/>
      <c r="VJ266" s="44"/>
      <c r="VP266" s="43"/>
      <c r="VQ266" s="44"/>
      <c r="VW266" s="43"/>
      <c r="VX266" s="44"/>
      <c r="WD266" s="43"/>
      <c r="WE266" s="44"/>
      <c r="WK266" s="43"/>
      <c r="WL266" s="44"/>
      <c r="WR266" s="43"/>
      <c r="WS266" s="44"/>
      <c r="WY266" s="43"/>
      <c r="WZ266" s="44"/>
      <c r="XF266" s="43"/>
      <c r="XG266" s="44"/>
      <c r="XM266" s="43"/>
      <c r="XN266" s="44"/>
      <c r="XT266" s="43"/>
      <c r="XU266" s="44"/>
      <c r="YA266" s="43"/>
      <c r="YB266" s="44"/>
      <c r="YH266" s="43"/>
      <c r="YI266" s="44"/>
      <c r="YO266" s="43"/>
      <c r="YP266" s="44"/>
      <c r="YV266" s="43"/>
      <c r="YW266" s="44"/>
      <c r="ZC266" s="43"/>
      <c r="ZD266" s="44"/>
      <c r="ZJ266" s="43"/>
      <c r="ZK266" s="44"/>
      <c r="ZQ266" s="43"/>
      <c r="ZR266" s="44"/>
      <c r="ZX266" s="43"/>
      <c r="ZY266" s="44"/>
      <c r="AAE266" s="43"/>
      <c r="AAF266" s="44"/>
      <c r="AAL266" s="43"/>
      <c r="AAM266" s="44"/>
      <c r="AAS266" s="43"/>
      <c r="AAT266" s="44"/>
      <c r="AAZ266" s="43"/>
      <c r="ABA266" s="44"/>
      <c r="ABG266" s="43"/>
      <c r="ABH266" s="44"/>
      <c r="ABN266" s="43"/>
      <c r="ABO266" s="44"/>
      <c r="ABU266" s="43"/>
      <c r="ABV266" s="44"/>
      <c r="ACB266" s="43"/>
      <c r="ACC266" s="44"/>
      <c r="ACI266" s="43"/>
      <c r="ACJ266" s="44"/>
      <c r="ACP266" s="43"/>
      <c r="ACQ266" s="44"/>
      <c r="ACW266" s="43"/>
      <c r="ACX266" s="44"/>
      <c r="ADD266" s="43"/>
      <c r="ADE266" s="44"/>
      <c r="ADK266" s="43"/>
      <c r="ADL266" s="44"/>
      <c r="ADR266" s="43"/>
      <c r="ADS266" s="44"/>
      <c r="ADY266" s="43"/>
      <c r="ADZ266" s="44"/>
      <c r="AEF266" s="43"/>
      <c r="AEG266" s="44"/>
      <c r="AEM266" s="43"/>
      <c r="AEN266" s="44"/>
      <c r="AET266" s="43"/>
      <c r="AEU266" s="44"/>
      <c r="AFA266" s="43"/>
      <c r="AFB266" s="44"/>
      <c r="AFH266" s="43"/>
      <c r="AFI266" s="44"/>
      <c r="AFO266" s="43"/>
      <c r="AFP266" s="44"/>
      <c r="AFV266" s="43"/>
      <c r="AFW266" s="44"/>
      <c r="AGC266" s="43"/>
      <c r="AGD266" s="44"/>
      <c r="AGJ266" s="43"/>
      <c r="AGK266" s="44"/>
      <c r="AGQ266" s="43"/>
      <c r="AGR266" s="44"/>
      <c r="AGX266" s="43"/>
      <c r="AGY266" s="44"/>
      <c r="AHE266" s="43"/>
      <c r="AHF266" s="44"/>
      <c r="AHL266" s="43"/>
      <c r="AHM266" s="44"/>
      <c r="AHS266" s="43"/>
      <c r="AHT266" s="44"/>
      <c r="AHZ266" s="43"/>
      <c r="AIA266" s="44"/>
      <c r="AIG266" s="43"/>
      <c r="AIH266" s="44"/>
      <c r="AIN266" s="43"/>
      <c r="AIO266" s="44"/>
      <c r="AIU266" s="43"/>
      <c r="AIV266" s="44"/>
      <c r="AJB266" s="43"/>
      <c r="AJC266" s="44"/>
      <c r="AJI266" s="43"/>
      <c r="AJJ266" s="44"/>
      <c r="AJP266" s="43"/>
      <c r="AJQ266" s="44"/>
      <c r="AJW266" s="43"/>
      <c r="AJX266" s="44"/>
      <c r="AKD266" s="43"/>
      <c r="AKE266" s="44"/>
      <c r="AKK266" s="43"/>
      <c r="AKL266" s="44"/>
      <c r="AKR266" s="43"/>
      <c r="AKS266" s="44"/>
      <c r="AKY266" s="43"/>
      <c r="AKZ266" s="44"/>
      <c r="ALF266" s="43"/>
      <c r="ALG266" s="44"/>
      <c r="ALM266" s="43"/>
      <c r="ALN266" s="44"/>
      <c r="ALT266" s="43"/>
      <c r="ALU266" s="44"/>
      <c r="AMA266" s="43"/>
      <c r="AMB266" s="44"/>
      <c r="AMH266" s="43"/>
      <c r="AMI266" s="44"/>
      <c r="AMO266" s="43"/>
      <c r="AMP266" s="44"/>
      <c r="AMV266" s="43"/>
      <c r="AMW266" s="44"/>
      <c r="ANC266" s="43"/>
      <c r="AND266" s="44"/>
      <c r="ANJ266" s="43"/>
      <c r="ANK266" s="44"/>
      <c r="ANQ266" s="43"/>
      <c r="ANR266" s="44"/>
      <c r="ANX266" s="43"/>
      <c r="ANY266" s="44"/>
      <c r="AOE266" s="43"/>
      <c r="AOF266" s="44"/>
      <c r="AOL266" s="43"/>
      <c r="AOM266" s="44"/>
      <c r="AOS266" s="43"/>
      <c r="AOT266" s="44"/>
      <c r="AOZ266" s="43"/>
      <c r="APA266" s="44"/>
      <c r="APG266" s="43"/>
      <c r="APH266" s="44"/>
      <c r="APN266" s="43"/>
      <c r="APO266" s="44"/>
      <c r="APU266" s="43"/>
      <c r="APV266" s="44"/>
      <c r="AQB266" s="43"/>
      <c r="AQC266" s="44"/>
      <c r="AQI266" s="43"/>
      <c r="AQJ266" s="44"/>
      <c r="AQP266" s="43"/>
      <c r="AQQ266" s="44"/>
      <c r="AQW266" s="43"/>
      <c r="AQX266" s="44"/>
      <c r="ARD266" s="43"/>
      <c r="ARE266" s="44"/>
      <c r="ARK266" s="43"/>
      <c r="ARL266" s="44"/>
      <c r="ARR266" s="43"/>
      <c r="ARS266" s="44"/>
      <c r="ARY266" s="43"/>
      <c r="ARZ266" s="44"/>
      <c r="ASF266" s="43"/>
      <c r="ASG266" s="44"/>
      <c r="ASM266" s="43"/>
      <c r="ASN266" s="44"/>
      <c r="AST266" s="43"/>
      <c r="ASU266" s="44"/>
      <c r="ATA266" s="43"/>
      <c r="ATB266" s="44"/>
      <c r="ATH266" s="43"/>
      <c r="ATI266" s="44"/>
      <c r="ATO266" s="43"/>
      <c r="ATP266" s="44"/>
      <c r="ATV266" s="43"/>
      <c r="ATW266" s="44"/>
      <c r="AUC266" s="43"/>
      <c r="AUD266" s="44"/>
      <c r="AUJ266" s="43"/>
      <c r="AUK266" s="44"/>
      <c r="AUQ266" s="43"/>
      <c r="AUR266" s="44"/>
      <c r="AUX266" s="43"/>
      <c r="AUY266" s="44"/>
      <c r="AVE266" s="43"/>
      <c r="AVF266" s="44"/>
      <c r="AVL266" s="43"/>
      <c r="AVM266" s="44"/>
      <c r="AVS266" s="43"/>
      <c r="AVT266" s="44"/>
      <c r="AVZ266" s="43"/>
      <c r="AWA266" s="44"/>
      <c r="AWG266" s="43"/>
      <c r="AWH266" s="44"/>
      <c r="AWN266" s="43"/>
      <c r="AWO266" s="44"/>
      <c r="AWU266" s="43"/>
      <c r="AWV266" s="44"/>
      <c r="AXB266" s="43"/>
      <c r="AXC266" s="44"/>
      <c r="AXI266" s="43"/>
      <c r="AXJ266" s="44"/>
      <c r="AXP266" s="43"/>
      <c r="AXQ266" s="44"/>
      <c r="AXW266" s="43"/>
      <c r="AXX266" s="44"/>
      <c r="AYD266" s="43"/>
      <c r="AYE266" s="44"/>
      <c r="AYK266" s="43"/>
      <c r="AYL266" s="44"/>
      <c r="AYR266" s="43"/>
      <c r="AYS266" s="44"/>
      <c r="AYY266" s="43"/>
      <c r="AYZ266" s="44"/>
      <c r="AZF266" s="43"/>
      <c r="AZG266" s="44"/>
      <c r="AZM266" s="43"/>
      <c r="AZN266" s="44"/>
      <c r="AZT266" s="43"/>
      <c r="AZU266" s="44"/>
      <c r="BAA266" s="43"/>
      <c r="BAB266" s="44"/>
      <c r="BAH266" s="43"/>
      <c r="BAI266" s="44"/>
      <c r="BAO266" s="43"/>
      <c r="BAP266" s="44"/>
      <c r="BAV266" s="43"/>
      <c r="BAW266" s="44"/>
      <c r="BBC266" s="43"/>
      <c r="BBD266" s="44"/>
      <c r="BBJ266" s="43"/>
      <c r="BBK266" s="44"/>
      <c r="BBQ266" s="43"/>
      <c r="BBR266" s="44"/>
      <c r="BBX266" s="43"/>
      <c r="BBY266" s="44"/>
      <c r="BCE266" s="43"/>
      <c r="BCF266" s="44"/>
      <c r="BCL266" s="43"/>
      <c r="BCM266" s="44"/>
      <c r="BCS266" s="43"/>
      <c r="BCT266" s="44"/>
      <c r="BCZ266" s="43"/>
      <c r="BDA266" s="44"/>
      <c r="BDG266" s="43"/>
      <c r="BDH266" s="44"/>
      <c r="BDN266" s="43"/>
      <c r="BDO266" s="44"/>
      <c r="BDU266" s="43"/>
      <c r="BDV266" s="44"/>
      <c r="BEB266" s="43"/>
      <c r="BEC266" s="44"/>
      <c r="BEI266" s="43"/>
      <c r="BEJ266" s="44"/>
      <c r="BEP266" s="43"/>
      <c r="BEQ266" s="44"/>
      <c r="BEW266" s="43"/>
      <c r="BEX266" s="44"/>
      <c r="BFD266" s="43"/>
      <c r="BFE266" s="44"/>
      <c r="BFK266" s="43"/>
      <c r="BFL266" s="44"/>
      <c r="BFR266" s="43"/>
      <c r="BFS266" s="44"/>
      <c r="BFY266" s="43"/>
      <c r="BFZ266" s="44"/>
      <c r="BGF266" s="43"/>
      <c r="BGG266" s="44"/>
      <c r="BGM266" s="43"/>
      <c r="BGN266" s="44"/>
      <c r="BGT266" s="43"/>
      <c r="BGU266" s="44"/>
      <c r="BHA266" s="43"/>
      <c r="BHB266" s="44"/>
      <c r="BHH266" s="43"/>
      <c r="BHI266" s="44"/>
      <c r="BHO266" s="43"/>
      <c r="BHP266" s="44"/>
      <c r="BHV266" s="43"/>
      <c r="BHW266" s="44"/>
      <c r="BIC266" s="43"/>
      <c r="BID266" s="44"/>
      <c r="BIJ266" s="43"/>
      <c r="BIK266" s="44"/>
      <c r="BIQ266" s="43"/>
      <c r="BIR266" s="44"/>
      <c r="BIX266" s="43"/>
      <c r="BIY266" s="44"/>
      <c r="BJE266" s="43"/>
      <c r="BJF266" s="44"/>
      <c r="BJL266" s="43"/>
      <c r="BJM266" s="44"/>
      <c r="BJS266" s="43"/>
      <c r="BJT266" s="44"/>
      <c r="BJZ266" s="43"/>
      <c r="BKA266" s="44"/>
      <c r="BKG266" s="43"/>
      <c r="BKH266" s="44"/>
      <c r="BKN266" s="43"/>
      <c r="BKO266" s="44"/>
      <c r="BKU266" s="43"/>
      <c r="BKV266" s="44"/>
      <c r="BLB266" s="43"/>
      <c r="BLC266" s="44"/>
      <c r="BLI266" s="43"/>
      <c r="BLJ266" s="44"/>
      <c r="BLP266" s="43"/>
      <c r="BLQ266" s="44"/>
      <c r="BLW266" s="43"/>
      <c r="BLX266" s="44"/>
      <c r="BMD266" s="43"/>
      <c r="BME266" s="44"/>
      <c r="BMK266" s="43"/>
      <c r="BML266" s="44"/>
      <c r="BMR266" s="43"/>
      <c r="BMS266" s="44"/>
      <c r="BMY266" s="43"/>
      <c r="BMZ266" s="44"/>
      <c r="BNF266" s="43"/>
      <c r="BNG266" s="44"/>
      <c r="BNM266" s="43"/>
      <c r="BNN266" s="44"/>
      <c r="BNT266" s="43"/>
      <c r="BNU266" s="44"/>
      <c r="BOA266" s="43"/>
      <c r="BOB266" s="44"/>
      <c r="BOH266" s="43"/>
      <c r="BOI266" s="44"/>
      <c r="BOO266" s="43"/>
      <c r="BOP266" s="44"/>
      <c r="BOV266" s="43"/>
      <c r="BOW266" s="44"/>
      <c r="BPC266" s="43"/>
      <c r="BPD266" s="44"/>
      <c r="BPJ266" s="43"/>
      <c r="BPK266" s="44"/>
      <c r="BPQ266" s="43"/>
      <c r="BPR266" s="44"/>
      <c r="BPX266" s="43"/>
      <c r="BPY266" s="44"/>
      <c r="BQE266" s="43"/>
      <c r="BQF266" s="44"/>
      <c r="BQL266" s="43"/>
      <c r="BQM266" s="44"/>
      <c r="BQS266" s="43"/>
      <c r="BQT266" s="44"/>
      <c r="BQZ266" s="43"/>
      <c r="BRA266" s="44"/>
      <c r="BRG266" s="43"/>
      <c r="BRH266" s="44"/>
      <c r="BRN266" s="43"/>
      <c r="BRO266" s="44"/>
      <c r="BRU266" s="43"/>
      <c r="BRV266" s="44"/>
      <c r="BSB266" s="43"/>
      <c r="BSC266" s="44"/>
      <c r="BSI266" s="43"/>
      <c r="BSJ266" s="44"/>
      <c r="BSP266" s="43"/>
      <c r="BSQ266" s="44"/>
      <c r="BSW266" s="43"/>
      <c r="BSX266" s="44"/>
      <c r="BTD266" s="43"/>
      <c r="BTE266" s="44"/>
      <c r="BTK266" s="43"/>
      <c r="BTL266" s="44"/>
      <c r="BTR266" s="43"/>
      <c r="BTS266" s="44"/>
      <c r="BTY266" s="43"/>
      <c r="BTZ266" s="44"/>
      <c r="BUF266" s="43"/>
      <c r="BUG266" s="44"/>
      <c r="BUM266" s="43"/>
      <c r="BUN266" s="44"/>
      <c r="BUT266" s="43"/>
      <c r="BUU266" s="44"/>
      <c r="BVA266" s="43"/>
      <c r="BVB266" s="44"/>
      <c r="BVH266" s="43"/>
      <c r="BVI266" s="44"/>
      <c r="BVO266" s="43"/>
      <c r="BVP266" s="44"/>
      <c r="BVV266" s="43"/>
      <c r="BVW266" s="44"/>
      <c r="BWC266" s="43"/>
      <c r="BWD266" s="44"/>
      <c r="BWJ266" s="43"/>
      <c r="BWK266" s="44"/>
      <c r="BWQ266" s="43"/>
      <c r="BWR266" s="44"/>
      <c r="BWX266" s="43"/>
      <c r="BWY266" s="44"/>
      <c r="BXE266" s="43"/>
      <c r="BXF266" s="44"/>
      <c r="BXL266" s="43"/>
      <c r="BXM266" s="44"/>
      <c r="BXS266" s="43"/>
      <c r="BXT266" s="44"/>
      <c r="BXZ266" s="43"/>
      <c r="BYA266" s="44"/>
      <c r="BYG266" s="43"/>
      <c r="BYH266" s="44"/>
      <c r="BYN266" s="43"/>
      <c r="BYO266" s="44"/>
      <c r="BYU266" s="43"/>
      <c r="BYV266" s="44"/>
      <c r="BZB266" s="43"/>
      <c r="BZC266" s="44"/>
      <c r="BZI266" s="43"/>
      <c r="BZJ266" s="44"/>
      <c r="BZP266" s="43"/>
      <c r="BZQ266" s="44"/>
      <c r="BZW266" s="43"/>
      <c r="BZX266" s="44"/>
      <c r="CAD266" s="43"/>
      <c r="CAE266" s="44"/>
      <c r="CAK266" s="43"/>
      <c r="CAL266" s="44"/>
      <c r="CAR266" s="43"/>
      <c r="CAS266" s="44"/>
      <c r="CAY266" s="43"/>
      <c r="CAZ266" s="44"/>
      <c r="CBF266" s="43"/>
      <c r="CBG266" s="44"/>
      <c r="CBM266" s="43"/>
      <c r="CBN266" s="44"/>
      <c r="CBT266" s="43"/>
      <c r="CBU266" s="44"/>
      <c r="CCA266" s="43"/>
      <c r="CCB266" s="44"/>
      <c r="CCH266" s="43"/>
      <c r="CCI266" s="44"/>
      <c r="CCO266" s="43"/>
      <c r="CCP266" s="44"/>
      <c r="CCV266" s="43"/>
      <c r="CCW266" s="44"/>
      <c r="CDC266" s="43"/>
      <c r="CDD266" s="44"/>
      <c r="CDJ266" s="43"/>
      <c r="CDK266" s="44"/>
      <c r="CDQ266" s="43"/>
      <c r="CDR266" s="44"/>
      <c r="CDX266" s="43"/>
      <c r="CDY266" s="44"/>
      <c r="CEE266" s="43"/>
      <c r="CEF266" s="44"/>
      <c r="CEL266" s="43"/>
      <c r="CEM266" s="44"/>
      <c r="CES266" s="43"/>
      <c r="CET266" s="44"/>
      <c r="CEZ266" s="43"/>
      <c r="CFA266" s="44"/>
      <c r="CFG266" s="43"/>
      <c r="CFH266" s="44"/>
      <c r="CFN266" s="43"/>
      <c r="CFO266" s="44"/>
      <c r="CFU266" s="43"/>
      <c r="CFV266" s="44"/>
      <c r="CGB266" s="43"/>
      <c r="CGC266" s="44"/>
      <c r="CGI266" s="43"/>
      <c r="CGJ266" s="44"/>
      <c r="CGP266" s="43"/>
      <c r="CGQ266" s="44"/>
      <c r="CGW266" s="43"/>
      <c r="CGX266" s="44"/>
      <c r="CHD266" s="43"/>
      <c r="CHE266" s="44"/>
      <c r="CHK266" s="43"/>
      <c r="CHL266" s="44"/>
      <c r="CHR266" s="43"/>
      <c r="CHS266" s="44"/>
      <c r="CHY266" s="43"/>
      <c r="CHZ266" s="44"/>
      <c r="CIF266" s="43"/>
      <c r="CIG266" s="44"/>
      <c r="CIM266" s="43"/>
      <c r="CIN266" s="44"/>
      <c r="CIT266" s="43"/>
      <c r="CIU266" s="44"/>
      <c r="CJA266" s="43"/>
      <c r="CJB266" s="44"/>
      <c r="CJH266" s="43"/>
      <c r="CJI266" s="44"/>
      <c r="CJO266" s="43"/>
      <c r="CJP266" s="44"/>
      <c r="CJV266" s="43"/>
      <c r="CJW266" s="44"/>
      <c r="CKC266" s="43"/>
      <c r="CKD266" s="44"/>
      <c r="CKJ266" s="43"/>
      <c r="CKK266" s="44"/>
      <c r="CKQ266" s="43"/>
      <c r="CKR266" s="44"/>
      <c r="CKX266" s="43"/>
      <c r="CKY266" s="44"/>
      <c r="CLE266" s="43"/>
      <c r="CLF266" s="44"/>
      <c r="CLL266" s="43"/>
      <c r="CLM266" s="44"/>
      <c r="CLS266" s="43"/>
      <c r="CLT266" s="44"/>
      <c r="CLZ266" s="43"/>
      <c r="CMA266" s="44"/>
      <c r="CMG266" s="43"/>
      <c r="CMH266" s="44"/>
      <c r="CMN266" s="43"/>
      <c r="CMO266" s="44"/>
      <c r="CMU266" s="43"/>
      <c r="CMV266" s="44"/>
      <c r="CNB266" s="43"/>
      <c r="CNC266" s="44"/>
      <c r="CNI266" s="43"/>
      <c r="CNJ266" s="44"/>
      <c r="CNP266" s="43"/>
      <c r="CNQ266" s="44"/>
      <c r="CNW266" s="43"/>
      <c r="CNX266" s="44"/>
      <c r="COD266" s="43"/>
      <c r="COE266" s="44"/>
      <c r="COK266" s="43"/>
      <c r="COL266" s="44"/>
      <c r="COR266" s="43"/>
      <c r="COS266" s="44"/>
      <c r="COY266" s="43"/>
      <c r="COZ266" s="44"/>
      <c r="CPF266" s="43"/>
      <c r="CPG266" s="44"/>
      <c r="CPM266" s="43"/>
      <c r="CPN266" s="44"/>
      <c r="CPT266" s="43"/>
      <c r="CPU266" s="44"/>
      <c r="CQA266" s="43"/>
      <c r="CQB266" s="44"/>
      <c r="CQH266" s="43"/>
      <c r="CQI266" s="44"/>
      <c r="CQO266" s="43"/>
      <c r="CQP266" s="44"/>
      <c r="CQV266" s="43"/>
      <c r="CQW266" s="44"/>
      <c r="CRC266" s="43"/>
      <c r="CRD266" s="44"/>
      <c r="CRJ266" s="43"/>
      <c r="CRK266" s="44"/>
      <c r="CRQ266" s="43"/>
      <c r="CRR266" s="44"/>
      <c r="CRX266" s="43"/>
      <c r="CRY266" s="44"/>
      <c r="CSE266" s="43"/>
      <c r="CSF266" s="44"/>
      <c r="CSL266" s="43"/>
      <c r="CSM266" s="44"/>
      <c r="CSS266" s="43"/>
      <c r="CST266" s="44"/>
      <c r="CSZ266" s="43"/>
      <c r="CTA266" s="44"/>
      <c r="CTG266" s="43"/>
      <c r="CTH266" s="44"/>
      <c r="CTN266" s="43"/>
      <c r="CTO266" s="44"/>
      <c r="CTU266" s="43"/>
      <c r="CTV266" s="44"/>
    </row>
    <row r="267" spans="1:1023 1029:2045 2051:2570" s="6" customFormat="1" ht="30" customHeight="1" x14ac:dyDescent="0.2">
      <c r="A267" s="17" t="s">
        <v>427</v>
      </c>
      <c r="B267" s="33" t="s">
        <v>428</v>
      </c>
      <c r="C267" s="19"/>
      <c r="D267" s="33" t="s">
        <v>426</v>
      </c>
      <c r="E267" s="33">
        <v>600</v>
      </c>
      <c r="F267" s="36"/>
      <c r="G267" s="20">
        <f t="shared" si="4"/>
        <v>0</v>
      </c>
      <c r="H267" s="20"/>
      <c r="N267" s="43"/>
      <c r="O267" s="44"/>
      <c r="U267" s="43"/>
      <c r="V267" s="44"/>
      <c r="AB267" s="43"/>
      <c r="AC267" s="44"/>
      <c r="AI267" s="43"/>
      <c r="AJ267" s="44"/>
      <c r="AP267" s="43"/>
      <c r="AQ267" s="44"/>
      <c r="AW267" s="43"/>
      <c r="AX267" s="44"/>
      <c r="BD267" s="43"/>
      <c r="BE267" s="44"/>
      <c r="BK267" s="43"/>
      <c r="BL267" s="44"/>
      <c r="BR267" s="43"/>
      <c r="BS267" s="44"/>
      <c r="BY267" s="43"/>
      <c r="BZ267" s="44"/>
      <c r="CF267" s="43"/>
      <c r="CG267" s="44"/>
      <c r="CM267" s="43"/>
      <c r="CN267" s="44"/>
      <c r="CT267" s="43"/>
      <c r="CU267" s="44"/>
      <c r="DA267" s="43"/>
      <c r="DB267" s="44"/>
      <c r="DH267" s="43"/>
      <c r="DI267" s="44"/>
      <c r="DO267" s="43"/>
      <c r="DP267" s="44"/>
      <c r="DV267" s="43"/>
      <c r="DW267" s="44"/>
      <c r="EC267" s="43"/>
      <c r="ED267" s="44"/>
      <c r="EJ267" s="43"/>
      <c r="EK267" s="44"/>
      <c r="EQ267" s="43"/>
      <c r="ER267" s="44"/>
      <c r="EX267" s="43"/>
      <c r="EY267" s="44"/>
      <c r="FE267" s="43"/>
      <c r="FF267" s="44"/>
      <c r="FL267" s="43"/>
      <c r="FM267" s="44"/>
      <c r="FS267" s="43"/>
      <c r="FT267" s="44"/>
      <c r="FZ267" s="43"/>
      <c r="GA267" s="44"/>
      <c r="GG267" s="43"/>
      <c r="GH267" s="44"/>
      <c r="GN267" s="43"/>
      <c r="GO267" s="44"/>
      <c r="GU267" s="43"/>
      <c r="GV267" s="44"/>
      <c r="HB267" s="43"/>
      <c r="HC267" s="44"/>
      <c r="HI267" s="43"/>
      <c r="HJ267" s="44"/>
      <c r="HP267" s="43"/>
      <c r="HQ267" s="44"/>
      <c r="HW267" s="43"/>
      <c r="HX267" s="44"/>
      <c r="ID267" s="43"/>
      <c r="IE267" s="44"/>
      <c r="IK267" s="43"/>
      <c r="IL267" s="44"/>
      <c r="IR267" s="43"/>
      <c r="IS267" s="44"/>
      <c r="IY267" s="43"/>
      <c r="IZ267" s="44"/>
      <c r="JF267" s="43"/>
      <c r="JG267" s="44"/>
      <c r="JM267" s="43"/>
      <c r="JN267" s="44"/>
      <c r="JT267" s="43"/>
      <c r="JU267" s="44"/>
      <c r="KA267" s="43"/>
      <c r="KB267" s="44"/>
      <c r="KH267" s="43"/>
      <c r="KI267" s="44"/>
      <c r="KO267" s="43"/>
      <c r="KP267" s="44"/>
      <c r="KV267" s="43"/>
      <c r="KW267" s="44"/>
      <c r="LC267" s="43"/>
      <c r="LD267" s="44"/>
      <c r="LJ267" s="43"/>
      <c r="LK267" s="44"/>
      <c r="LQ267" s="43"/>
      <c r="LR267" s="44"/>
      <c r="LX267" s="43"/>
      <c r="LY267" s="44"/>
      <c r="ME267" s="43"/>
      <c r="MF267" s="44"/>
      <c r="ML267" s="43"/>
      <c r="MM267" s="44"/>
      <c r="MS267" s="43"/>
      <c r="MT267" s="44"/>
      <c r="MZ267" s="43"/>
      <c r="NA267" s="44"/>
      <c r="NG267" s="43"/>
      <c r="NH267" s="44"/>
      <c r="NN267" s="43"/>
      <c r="NO267" s="44"/>
      <c r="NU267" s="43"/>
      <c r="NV267" s="44"/>
      <c r="OB267" s="43"/>
      <c r="OC267" s="44"/>
      <c r="OI267" s="43"/>
      <c r="OJ267" s="44"/>
      <c r="OP267" s="43"/>
      <c r="OQ267" s="44"/>
      <c r="OW267" s="43"/>
      <c r="OX267" s="44"/>
      <c r="PD267" s="43"/>
      <c r="PE267" s="44"/>
      <c r="PK267" s="43"/>
      <c r="PL267" s="44"/>
      <c r="PR267" s="43"/>
      <c r="PS267" s="44"/>
      <c r="PY267" s="43"/>
      <c r="PZ267" s="44"/>
      <c r="QF267" s="43"/>
      <c r="QG267" s="44"/>
      <c r="QM267" s="43"/>
      <c r="QN267" s="44"/>
      <c r="QT267" s="43"/>
      <c r="QU267" s="44"/>
      <c r="RA267" s="43"/>
      <c r="RB267" s="44"/>
      <c r="RH267" s="43"/>
      <c r="RI267" s="44"/>
      <c r="RO267" s="43"/>
      <c r="RP267" s="44"/>
      <c r="RV267" s="43"/>
      <c r="RW267" s="44"/>
      <c r="SC267" s="43"/>
      <c r="SD267" s="44"/>
      <c r="SJ267" s="43"/>
      <c r="SK267" s="44"/>
      <c r="SQ267" s="43"/>
      <c r="SR267" s="44"/>
      <c r="SX267" s="43"/>
      <c r="SY267" s="44"/>
      <c r="TE267" s="43"/>
      <c r="TF267" s="44"/>
      <c r="TL267" s="43"/>
      <c r="TM267" s="44"/>
      <c r="TS267" s="43"/>
      <c r="TT267" s="44"/>
      <c r="TZ267" s="43"/>
      <c r="UA267" s="44"/>
      <c r="UG267" s="43"/>
      <c r="UH267" s="44"/>
      <c r="UN267" s="43"/>
      <c r="UO267" s="44"/>
      <c r="UU267" s="43"/>
      <c r="UV267" s="44"/>
      <c r="VB267" s="43"/>
      <c r="VC267" s="44"/>
      <c r="VI267" s="43"/>
      <c r="VJ267" s="44"/>
      <c r="VP267" s="43"/>
      <c r="VQ267" s="44"/>
      <c r="VW267" s="43"/>
      <c r="VX267" s="44"/>
      <c r="WD267" s="43"/>
      <c r="WE267" s="44"/>
      <c r="WK267" s="43"/>
      <c r="WL267" s="44"/>
      <c r="WR267" s="43"/>
      <c r="WS267" s="44"/>
      <c r="WY267" s="43"/>
      <c r="WZ267" s="44"/>
      <c r="XF267" s="43"/>
      <c r="XG267" s="44"/>
      <c r="XM267" s="43"/>
      <c r="XN267" s="44"/>
      <c r="XT267" s="43"/>
      <c r="XU267" s="44"/>
      <c r="YA267" s="43"/>
      <c r="YB267" s="44"/>
      <c r="YH267" s="43"/>
      <c r="YI267" s="44"/>
      <c r="YO267" s="43"/>
      <c r="YP267" s="44"/>
      <c r="YV267" s="43"/>
      <c r="YW267" s="44"/>
      <c r="ZC267" s="43"/>
      <c r="ZD267" s="44"/>
      <c r="ZJ267" s="43"/>
      <c r="ZK267" s="44"/>
      <c r="ZQ267" s="43"/>
      <c r="ZR267" s="44"/>
      <c r="ZX267" s="43"/>
      <c r="ZY267" s="44"/>
      <c r="AAE267" s="43"/>
      <c r="AAF267" s="44"/>
      <c r="AAL267" s="43"/>
      <c r="AAM267" s="44"/>
      <c r="AAS267" s="43"/>
      <c r="AAT267" s="44"/>
      <c r="AAZ267" s="43"/>
      <c r="ABA267" s="44"/>
      <c r="ABG267" s="43"/>
      <c r="ABH267" s="44"/>
      <c r="ABN267" s="43"/>
      <c r="ABO267" s="44"/>
      <c r="ABU267" s="43"/>
      <c r="ABV267" s="44"/>
      <c r="ACB267" s="43"/>
      <c r="ACC267" s="44"/>
      <c r="ACI267" s="43"/>
      <c r="ACJ267" s="44"/>
      <c r="ACP267" s="43"/>
      <c r="ACQ267" s="44"/>
      <c r="ACW267" s="43"/>
      <c r="ACX267" s="44"/>
      <c r="ADD267" s="43"/>
      <c r="ADE267" s="44"/>
      <c r="ADK267" s="43"/>
      <c r="ADL267" s="44"/>
      <c r="ADR267" s="43"/>
      <c r="ADS267" s="44"/>
      <c r="ADY267" s="43"/>
      <c r="ADZ267" s="44"/>
      <c r="AEF267" s="43"/>
      <c r="AEG267" s="44"/>
      <c r="AEM267" s="43"/>
      <c r="AEN267" s="44"/>
      <c r="AET267" s="43"/>
      <c r="AEU267" s="44"/>
      <c r="AFA267" s="43"/>
      <c r="AFB267" s="44"/>
      <c r="AFH267" s="43"/>
      <c r="AFI267" s="44"/>
      <c r="AFO267" s="43"/>
      <c r="AFP267" s="44"/>
      <c r="AFV267" s="43"/>
      <c r="AFW267" s="44"/>
      <c r="AGC267" s="43"/>
      <c r="AGD267" s="44"/>
      <c r="AGJ267" s="43"/>
      <c r="AGK267" s="44"/>
      <c r="AGQ267" s="43"/>
      <c r="AGR267" s="44"/>
      <c r="AGX267" s="43"/>
      <c r="AGY267" s="44"/>
      <c r="AHE267" s="43"/>
      <c r="AHF267" s="44"/>
      <c r="AHL267" s="43"/>
      <c r="AHM267" s="44"/>
      <c r="AHS267" s="43"/>
      <c r="AHT267" s="44"/>
      <c r="AHZ267" s="43"/>
      <c r="AIA267" s="44"/>
      <c r="AIG267" s="43"/>
      <c r="AIH267" s="44"/>
      <c r="AIN267" s="43"/>
      <c r="AIO267" s="44"/>
      <c r="AIU267" s="43"/>
      <c r="AIV267" s="44"/>
      <c r="AJB267" s="43"/>
      <c r="AJC267" s="44"/>
      <c r="AJI267" s="43"/>
      <c r="AJJ267" s="44"/>
      <c r="AJP267" s="43"/>
      <c r="AJQ267" s="44"/>
      <c r="AJW267" s="43"/>
      <c r="AJX267" s="44"/>
      <c r="AKD267" s="43"/>
      <c r="AKE267" s="44"/>
      <c r="AKK267" s="43"/>
      <c r="AKL267" s="44"/>
      <c r="AKR267" s="43"/>
      <c r="AKS267" s="44"/>
      <c r="AKY267" s="43"/>
      <c r="AKZ267" s="44"/>
      <c r="ALF267" s="43"/>
      <c r="ALG267" s="44"/>
      <c r="ALM267" s="43"/>
      <c r="ALN267" s="44"/>
      <c r="ALT267" s="43"/>
      <c r="ALU267" s="44"/>
      <c r="AMA267" s="43"/>
      <c r="AMB267" s="44"/>
      <c r="AMH267" s="43"/>
      <c r="AMI267" s="44"/>
      <c r="AMO267" s="43"/>
      <c r="AMP267" s="44"/>
      <c r="AMV267" s="43"/>
      <c r="AMW267" s="44"/>
      <c r="ANC267" s="43"/>
      <c r="AND267" s="44"/>
      <c r="ANJ267" s="43"/>
      <c r="ANK267" s="44"/>
      <c r="ANQ267" s="43"/>
      <c r="ANR267" s="44"/>
      <c r="ANX267" s="43"/>
      <c r="ANY267" s="44"/>
      <c r="AOE267" s="43"/>
      <c r="AOF267" s="44"/>
      <c r="AOL267" s="43"/>
      <c r="AOM267" s="44"/>
      <c r="AOS267" s="43"/>
      <c r="AOT267" s="44"/>
      <c r="AOZ267" s="43"/>
      <c r="APA267" s="44"/>
      <c r="APG267" s="43"/>
      <c r="APH267" s="44"/>
      <c r="APN267" s="43"/>
      <c r="APO267" s="44"/>
      <c r="APU267" s="43"/>
      <c r="APV267" s="44"/>
      <c r="AQB267" s="43"/>
      <c r="AQC267" s="44"/>
      <c r="AQI267" s="43"/>
      <c r="AQJ267" s="44"/>
      <c r="AQP267" s="43"/>
      <c r="AQQ267" s="44"/>
      <c r="AQW267" s="43"/>
      <c r="AQX267" s="44"/>
      <c r="ARD267" s="43"/>
      <c r="ARE267" s="44"/>
      <c r="ARK267" s="43"/>
      <c r="ARL267" s="44"/>
      <c r="ARR267" s="43"/>
      <c r="ARS267" s="44"/>
      <c r="ARY267" s="43"/>
      <c r="ARZ267" s="44"/>
      <c r="ASF267" s="43"/>
      <c r="ASG267" s="44"/>
      <c r="ASM267" s="43"/>
      <c r="ASN267" s="44"/>
      <c r="AST267" s="43"/>
      <c r="ASU267" s="44"/>
      <c r="ATA267" s="43"/>
      <c r="ATB267" s="44"/>
      <c r="ATH267" s="43"/>
      <c r="ATI267" s="44"/>
      <c r="ATO267" s="43"/>
      <c r="ATP267" s="44"/>
      <c r="ATV267" s="43"/>
      <c r="ATW267" s="44"/>
      <c r="AUC267" s="43"/>
      <c r="AUD267" s="44"/>
      <c r="AUJ267" s="43"/>
      <c r="AUK267" s="44"/>
      <c r="AUQ267" s="43"/>
      <c r="AUR267" s="44"/>
      <c r="AUX267" s="43"/>
      <c r="AUY267" s="44"/>
      <c r="AVE267" s="43"/>
      <c r="AVF267" s="44"/>
      <c r="AVL267" s="43"/>
      <c r="AVM267" s="44"/>
      <c r="AVS267" s="43"/>
      <c r="AVT267" s="44"/>
      <c r="AVZ267" s="43"/>
      <c r="AWA267" s="44"/>
      <c r="AWG267" s="43"/>
      <c r="AWH267" s="44"/>
      <c r="AWN267" s="43"/>
      <c r="AWO267" s="44"/>
      <c r="AWU267" s="43"/>
      <c r="AWV267" s="44"/>
      <c r="AXB267" s="43"/>
      <c r="AXC267" s="44"/>
      <c r="AXI267" s="43"/>
      <c r="AXJ267" s="44"/>
      <c r="AXP267" s="43"/>
      <c r="AXQ267" s="44"/>
      <c r="AXW267" s="43"/>
      <c r="AXX267" s="44"/>
      <c r="AYD267" s="43"/>
      <c r="AYE267" s="44"/>
      <c r="AYK267" s="43"/>
      <c r="AYL267" s="44"/>
      <c r="AYR267" s="43"/>
      <c r="AYS267" s="44"/>
      <c r="AYY267" s="43"/>
      <c r="AYZ267" s="44"/>
      <c r="AZF267" s="43"/>
      <c r="AZG267" s="44"/>
      <c r="AZM267" s="43"/>
      <c r="AZN267" s="44"/>
      <c r="AZT267" s="43"/>
      <c r="AZU267" s="44"/>
      <c r="BAA267" s="43"/>
      <c r="BAB267" s="44"/>
      <c r="BAH267" s="43"/>
      <c r="BAI267" s="44"/>
      <c r="BAO267" s="43"/>
      <c r="BAP267" s="44"/>
      <c r="BAV267" s="43"/>
      <c r="BAW267" s="44"/>
      <c r="BBC267" s="43"/>
      <c r="BBD267" s="44"/>
      <c r="BBJ267" s="43"/>
      <c r="BBK267" s="44"/>
      <c r="BBQ267" s="43"/>
      <c r="BBR267" s="44"/>
      <c r="BBX267" s="43"/>
      <c r="BBY267" s="44"/>
      <c r="BCE267" s="43"/>
      <c r="BCF267" s="44"/>
      <c r="BCL267" s="43"/>
      <c r="BCM267" s="44"/>
      <c r="BCS267" s="43"/>
      <c r="BCT267" s="44"/>
      <c r="BCZ267" s="43"/>
      <c r="BDA267" s="44"/>
      <c r="BDG267" s="43"/>
      <c r="BDH267" s="44"/>
      <c r="BDN267" s="43"/>
      <c r="BDO267" s="44"/>
      <c r="BDU267" s="43"/>
      <c r="BDV267" s="44"/>
      <c r="BEB267" s="43"/>
      <c r="BEC267" s="44"/>
      <c r="BEI267" s="43"/>
      <c r="BEJ267" s="44"/>
      <c r="BEP267" s="43"/>
      <c r="BEQ267" s="44"/>
      <c r="BEW267" s="43"/>
      <c r="BEX267" s="44"/>
      <c r="BFD267" s="43"/>
      <c r="BFE267" s="44"/>
      <c r="BFK267" s="43"/>
      <c r="BFL267" s="44"/>
      <c r="BFR267" s="43"/>
      <c r="BFS267" s="44"/>
      <c r="BFY267" s="43"/>
      <c r="BFZ267" s="44"/>
      <c r="BGF267" s="43"/>
      <c r="BGG267" s="44"/>
      <c r="BGM267" s="43"/>
      <c r="BGN267" s="44"/>
      <c r="BGT267" s="43"/>
      <c r="BGU267" s="44"/>
      <c r="BHA267" s="43"/>
      <c r="BHB267" s="44"/>
      <c r="BHH267" s="43"/>
      <c r="BHI267" s="44"/>
      <c r="BHO267" s="43"/>
      <c r="BHP267" s="44"/>
      <c r="BHV267" s="43"/>
      <c r="BHW267" s="44"/>
      <c r="BIC267" s="43"/>
      <c r="BID267" s="44"/>
      <c r="BIJ267" s="43"/>
      <c r="BIK267" s="44"/>
      <c r="BIQ267" s="43"/>
      <c r="BIR267" s="44"/>
      <c r="BIX267" s="43"/>
      <c r="BIY267" s="44"/>
      <c r="BJE267" s="43"/>
      <c r="BJF267" s="44"/>
      <c r="BJL267" s="43"/>
      <c r="BJM267" s="44"/>
      <c r="BJS267" s="43"/>
      <c r="BJT267" s="44"/>
      <c r="BJZ267" s="43"/>
      <c r="BKA267" s="44"/>
      <c r="BKG267" s="43"/>
      <c r="BKH267" s="44"/>
      <c r="BKN267" s="43"/>
      <c r="BKO267" s="44"/>
      <c r="BKU267" s="43"/>
      <c r="BKV267" s="44"/>
      <c r="BLB267" s="43"/>
      <c r="BLC267" s="44"/>
      <c r="BLI267" s="43"/>
      <c r="BLJ267" s="44"/>
      <c r="BLP267" s="43"/>
      <c r="BLQ267" s="44"/>
      <c r="BLW267" s="43"/>
      <c r="BLX267" s="44"/>
      <c r="BMD267" s="43"/>
      <c r="BME267" s="44"/>
      <c r="BMK267" s="43"/>
      <c r="BML267" s="44"/>
      <c r="BMR267" s="43"/>
      <c r="BMS267" s="44"/>
      <c r="BMY267" s="43"/>
      <c r="BMZ267" s="44"/>
      <c r="BNF267" s="43"/>
      <c r="BNG267" s="44"/>
      <c r="BNM267" s="43"/>
      <c r="BNN267" s="44"/>
      <c r="BNT267" s="43"/>
      <c r="BNU267" s="44"/>
      <c r="BOA267" s="43"/>
      <c r="BOB267" s="44"/>
      <c r="BOH267" s="43"/>
      <c r="BOI267" s="44"/>
      <c r="BOO267" s="43"/>
      <c r="BOP267" s="44"/>
      <c r="BOV267" s="43"/>
      <c r="BOW267" s="44"/>
      <c r="BPC267" s="43"/>
      <c r="BPD267" s="44"/>
      <c r="BPJ267" s="43"/>
      <c r="BPK267" s="44"/>
      <c r="BPQ267" s="43"/>
      <c r="BPR267" s="44"/>
      <c r="BPX267" s="43"/>
      <c r="BPY267" s="44"/>
      <c r="BQE267" s="43"/>
      <c r="BQF267" s="44"/>
      <c r="BQL267" s="43"/>
      <c r="BQM267" s="44"/>
      <c r="BQS267" s="43"/>
      <c r="BQT267" s="44"/>
      <c r="BQZ267" s="43"/>
      <c r="BRA267" s="44"/>
      <c r="BRG267" s="43"/>
      <c r="BRH267" s="44"/>
      <c r="BRN267" s="43"/>
      <c r="BRO267" s="44"/>
      <c r="BRU267" s="43"/>
      <c r="BRV267" s="44"/>
      <c r="BSB267" s="43"/>
      <c r="BSC267" s="44"/>
      <c r="BSI267" s="43"/>
      <c r="BSJ267" s="44"/>
      <c r="BSP267" s="43"/>
      <c r="BSQ267" s="44"/>
      <c r="BSW267" s="43"/>
      <c r="BSX267" s="44"/>
      <c r="BTD267" s="43"/>
      <c r="BTE267" s="44"/>
      <c r="BTK267" s="43"/>
      <c r="BTL267" s="44"/>
      <c r="BTR267" s="43"/>
      <c r="BTS267" s="44"/>
      <c r="BTY267" s="43"/>
      <c r="BTZ267" s="44"/>
      <c r="BUF267" s="43"/>
      <c r="BUG267" s="44"/>
      <c r="BUM267" s="43"/>
      <c r="BUN267" s="44"/>
      <c r="BUT267" s="43"/>
      <c r="BUU267" s="44"/>
      <c r="BVA267" s="43"/>
      <c r="BVB267" s="44"/>
      <c r="BVH267" s="43"/>
      <c r="BVI267" s="44"/>
      <c r="BVO267" s="43"/>
      <c r="BVP267" s="44"/>
      <c r="BVV267" s="43"/>
      <c r="BVW267" s="44"/>
      <c r="BWC267" s="43"/>
      <c r="BWD267" s="44"/>
      <c r="BWJ267" s="43"/>
      <c r="BWK267" s="44"/>
      <c r="BWQ267" s="43"/>
      <c r="BWR267" s="44"/>
      <c r="BWX267" s="43"/>
      <c r="BWY267" s="44"/>
      <c r="BXE267" s="43"/>
      <c r="BXF267" s="44"/>
      <c r="BXL267" s="43"/>
      <c r="BXM267" s="44"/>
      <c r="BXS267" s="43"/>
      <c r="BXT267" s="44"/>
      <c r="BXZ267" s="43"/>
      <c r="BYA267" s="44"/>
      <c r="BYG267" s="43"/>
      <c r="BYH267" s="44"/>
      <c r="BYN267" s="43"/>
      <c r="BYO267" s="44"/>
      <c r="BYU267" s="43"/>
      <c r="BYV267" s="44"/>
      <c r="BZB267" s="43"/>
      <c r="BZC267" s="44"/>
      <c r="BZI267" s="43"/>
      <c r="BZJ267" s="44"/>
      <c r="BZP267" s="43"/>
      <c r="BZQ267" s="44"/>
      <c r="BZW267" s="43"/>
      <c r="BZX267" s="44"/>
      <c r="CAD267" s="43"/>
      <c r="CAE267" s="44"/>
      <c r="CAK267" s="43"/>
      <c r="CAL267" s="44"/>
      <c r="CAR267" s="43"/>
      <c r="CAS267" s="44"/>
      <c r="CAY267" s="43"/>
      <c r="CAZ267" s="44"/>
      <c r="CBF267" s="43"/>
      <c r="CBG267" s="44"/>
      <c r="CBM267" s="43"/>
      <c r="CBN267" s="44"/>
      <c r="CBT267" s="43"/>
      <c r="CBU267" s="44"/>
      <c r="CCA267" s="43"/>
      <c r="CCB267" s="44"/>
      <c r="CCH267" s="43"/>
      <c r="CCI267" s="44"/>
      <c r="CCO267" s="43"/>
      <c r="CCP267" s="44"/>
      <c r="CCV267" s="43"/>
      <c r="CCW267" s="44"/>
      <c r="CDC267" s="43"/>
      <c r="CDD267" s="44"/>
      <c r="CDJ267" s="43"/>
      <c r="CDK267" s="44"/>
      <c r="CDQ267" s="43"/>
      <c r="CDR267" s="44"/>
      <c r="CDX267" s="43"/>
      <c r="CDY267" s="44"/>
      <c r="CEE267" s="43"/>
      <c r="CEF267" s="44"/>
      <c r="CEL267" s="43"/>
      <c r="CEM267" s="44"/>
      <c r="CES267" s="43"/>
      <c r="CET267" s="44"/>
      <c r="CEZ267" s="43"/>
      <c r="CFA267" s="44"/>
      <c r="CFG267" s="43"/>
      <c r="CFH267" s="44"/>
      <c r="CFN267" s="43"/>
      <c r="CFO267" s="44"/>
      <c r="CFU267" s="43"/>
      <c r="CFV267" s="44"/>
      <c r="CGB267" s="43"/>
      <c r="CGC267" s="44"/>
      <c r="CGI267" s="43"/>
      <c r="CGJ267" s="44"/>
      <c r="CGP267" s="43"/>
      <c r="CGQ267" s="44"/>
      <c r="CGW267" s="43"/>
      <c r="CGX267" s="44"/>
      <c r="CHD267" s="43"/>
      <c r="CHE267" s="44"/>
      <c r="CHK267" s="43"/>
      <c r="CHL267" s="44"/>
      <c r="CHR267" s="43"/>
      <c r="CHS267" s="44"/>
      <c r="CHY267" s="43"/>
      <c r="CHZ267" s="44"/>
      <c r="CIF267" s="43"/>
      <c r="CIG267" s="44"/>
      <c r="CIM267" s="43"/>
      <c r="CIN267" s="44"/>
      <c r="CIT267" s="43"/>
      <c r="CIU267" s="44"/>
      <c r="CJA267" s="43"/>
      <c r="CJB267" s="44"/>
      <c r="CJH267" s="43"/>
      <c r="CJI267" s="44"/>
      <c r="CJO267" s="43"/>
      <c r="CJP267" s="44"/>
      <c r="CJV267" s="43"/>
      <c r="CJW267" s="44"/>
      <c r="CKC267" s="43"/>
      <c r="CKD267" s="44"/>
      <c r="CKJ267" s="43"/>
      <c r="CKK267" s="44"/>
      <c r="CKQ267" s="43"/>
      <c r="CKR267" s="44"/>
      <c r="CKX267" s="43"/>
      <c r="CKY267" s="44"/>
      <c r="CLE267" s="43"/>
      <c r="CLF267" s="44"/>
      <c r="CLL267" s="43"/>
      <c r="CLM267" s="44"/>
      <c r="CLS267" s="43"/>
      <c r="CLT267" s="44"/>
      <c r="CLZ267" s="43"/>
      <c r="CMA267" s="44"/>
      <c r="CMG267" s="43"/>
      <c r="CMH267" s="44"/>
      <c r="CMN267" s="43"/>
      <c r="CMO267" s="44"/>
      <c r="CMU267" s="43"/>
      <c r="CMV267" s="44"/>
      <c r="CNB267" s="43"/>
      <c r="CNC267" s="44"/>
      <c r="CNI267" s="43"/>
      <c r="CNJ267" s="44"/>
      <c r="CNP267" s="43"/>
      <c r="CNQ267" s="44"/>
      <c r="CNW267" s="43"/>
      <c r="CNX267" s="44"/>
      <c r="COD267" s="43"/>
      <c r="COE267" s="44"/>
      <c r="COK267" s="43"/>
      <c r="COL267" s="44"/>
      <c r="COR267" s="43"/>
      <c r="COS267" s="44"/>
      <c r="COY267" s="43"/>
      <c r="COZ267" s="44"/>
      <c r="CPF267" s="43"/>
      <c r="CPG267" s="44"/>
      <c r="CPM267" s="43"/>
      <c r="CPN267" s="44"/>
      <c r="CPT267" s="43"/>
      <c r="CPU267" s="44"/>
      <c r="CQA267" s="43"/>
      <c r="CQB267" s="44"/>
      <c r="CQH267" s="43"/>
      <c r="CQI267" s="44"/>
      <c r="CQO267" s="43"/>
      <c r="CQP267" s="44"/>
      <c r="CQV267" s="43"/>
      <c r="CQW267" s="44"/>
      <c r="CRC267" s="43"/>
      <c r="CRD267" s="44"/>
      <c r="CRJ267" s="43"/>
      <c r="CRK267" s="44"/>
      <c r="CRQ267" s="43"/>
      <c r="CRR267" s="44"/>
      <c r="CRX267" s="43"/>
      <c r="CRY267" s="44"/>
      <c r="CSE267" s="43"/>
      <c r="CSF267" s="44"/>
      <c r="CSL267" s="43"/>
      <c r="CSM267" s="44"/>
      <c r="CSS267" s="43"/>
      <c r="CST267" s="44"/>
      <c r="CSZ267" s="43"/>
      <c r="CTA267" s="44"/>
      <c r="CTG267" s="43"/>
      <c r="CTH267" s="44"/>
      <c r="CTN267" s="43"/>
      <c r="CTO267" s="44"/>
      <c r="CTU267" s="43"/>
      <c r="CTV267" s="44"/>
    </row>
    <row r="268" spans="1:1023 1029:2045 2051:2570" s="6" customFormat="1" ht="30" customHeight="1" x14ac:dyDescent="0.2">
      <c r="A268" s="17" t="s">
        <v>429</v>
      </c>
      <c r="B268" s="33" t="s">
        <v>430</v>
      </c>
      <c r="C268" s="19" t="s">
        <v>431</v>
      </c>
      <c r="D268" s="33" t="s">
        <v>432</v>
      </c>
      <c r="E268" s="33">
        <v>7</v>
      </c>
      <c r="F268" s="36"/>
      <c r="G268" s="20">
        <f t="shared" si="4"/>
        <v>0</v>
      </c>
      <c r="H268" s="20"/>
      <c r="N268" s="43"/>
      <c r="O268" s="44"/>
      <c r="U268" s="43"/>
      <c r="V268" s="44"/>
      <c r="AB268" s="43"/>
      <c r="AC268" s="44"/>
      <c r="AI268" s="43"/>
      <c r="AJ268" s="44"/>
      <c r="AP268" s="43"/>
      <c r="AQ268" s="44"/>
      <c r="AW268" s="43"/>
      <c r="AX268" s="44"/>
      <c r="BD268" s="43"/>
      <c r="BE268" s="44"/>
      <c r="BK268" s="43"/>
      <c r="BL268" s="44"/>
      <c r="BR268" s="43"/>
      <c r="BS268" s="44"/>
      <c r="BY268" s="43"/>
      <c r="BZ268" s="44"/>
      <c r="CF268" s="43"/>
      <c r="CG268" s="44"/>
      <c r="CM268" s="43"/>
      <c r="CN268" s="44"/>
      <c r="CT268" s="43"/>
      <c r="CU268" s="44"/>
      <c r="DA268" s="43"/>
      <c r="DB268" s="44"/>
      <c r="DH268" s="43"/>
      <c r="DI268" s="44"/>
      <c r="DO268" s="43"/>
      <c r="DP268" s="44"/>
      <c r="DV268" s="43"/>
      <c r="DW268" s="44"/>
      <c r="EC268" s="43"/>
      <c r="ED268" s="44"/>
      <c r="EJ268" s="43"/>
      <c r="EK268" s="44"/>
      <c r="EQ268" s="43"/>
      <c r="ER268" s="44"/>
      <c r="EX268" s="43"/>
      <c r="EY268" s="44"/>
      <c r="FE268" s="43"/>
      <c r="FF268" s="44"/>
      <c r="FL268" s="43"/>
      <c r="FM268" s="44"/>
      <c r="FS268" s="43"/>
      <c r="FT268" s="44"/>
      <c r="FZ268" s="43"/>
      <c r="GA268" s="44"/>
      <c r="GG268" s="43"/>
      <c r="GH268" s="44"/>
      <c r="GN268" s="43"/>
      <c r="GO268" s="44"/>
      <c r="GU268" s="43"/>
      <c r="GV268" s="44"/>
      <c r="HB268" s="43"/>
      <c r="HC268" s="44"/>
      <c r="HI268" s="43"/>
      <c r="HJ268" s="44"/>
      <c r="HP268" s="43"/>
      <c r="HQ268" s="44"/>
      <c r="HW268" s="43"/>
      <c r="HX268" s="44"/>
      <c r="ID268" s="43"/>
      <c r="IE268" s="44"/>
      <c r="IK268" s="43"/>
      <c r="IL268" s="44"/>
      <c r="IR268" s="43"/>
      <c r="IS268" s="44"/>
      <c r="IY268" s="43"/>
      <c r="IZ268" s="44"/>
      <c r="JF268" s="43"/>
      <c r="JG268" s="44"/>
      <c r="JM268" s="43"/>
      <c r="JN268" s="44"/>
      <c r="JT268" s="43"/>
      <c r="JU268" s="44"/>
      <c r="KA268" s="43"/>
      <c r="KB268" s="44"/>
      <c r="KH268" s="43"/>
      <c r="KI268" s="44"/>
      <c r="KO268" s="43"/>
      <c r="KP268" s="44"/>
      <c r="KV268" s="43"/>
      <c r="KW268" s="44"/>
      <c r="LC268" s="43"/>
      <c r="LD268" s="44"/>
      <c r="LJ268" s="43"/>
      <c r="LK268" s="44"/>
      <c r="LQ268" s="43"/>
      <c r="LR268" s="44"/>
      <c r="LX268" s="43"/>
      <c r="LY268" s="44"/>
      <c r="ME268" s="43"/>
      <c r="MF268" s="44"/>
      <c r="ML268" s="43"/>
      <c r="MM268" s="44"/>
      <c r="MS268" s="43"/>
      <c r="MT268" s="44"/>
      <c r="MZ268" s="43"/>
      <c r="NA268" s="44"/>
      <c r="NG268" s="43"/>
      <c r="NH268" s="44"/>
      <c r="NN268" s="43"/>
      <c r="NO268" s="44"/>
      <c r="NU268" s="43"/>
      <c r="NV268" s="44"/>
      <c r="OB268" s="43"/>
      <c r="OC268" s="44"/>
      <c r="OI268" s="43"/>
      <c r="OJ268" s="44"/>
      <c r="OP268" s="43"/>
      <c r="OQ268" s="44"/>
      <c r="OW268" s="43"/>
      <c r="OX268" s="44"/>
      <c r="PD268" s="43"/>
      <c r="PE268" s="44"/>
      <c r="PK268" s="43"/>
      <c r="PL268" s="44"/>
      <c r="PR268" s="43"/>
      <c r="PS268" s="44"/>
      <c r="PY268" s="43"/>
      <c r="PZ268" s="44"/>
      <c r="QF268" s="43"/>
      <c r="QG268" s="44"/>
      <c r="QM268" s="43"/>
      <c r="QN268" s="44"/>
      <c r="QT268" s="43"/>
      <c r="QU268" s="44"/>
      <c r="RA268" s="43"/>
      <c r="RB268" s="44"/>
      <c r="RH268" s="43"/>
      <c r="RI268" s="44"/>
      <c r="RO268" s="43"/>
      <c r="RP268" s="44"/>
      <c r="RV268" s="43"/>
      <c r="RW268" s="44"/>
      <c r="SC268" s="43"/>
      <c r="SD268" s="44"/>
      <c r="SJ268" s="43"/>
      <c r="SK268" s="44"/>
      <c r="SQ268" s="43"/>
      <c r="SR268" s="44"/>
      <c r="SX268" s="43"/>
      <c r="SY268" s="44"/>
      <c r="TE268" s="43"/>
      <c r="TF268" s="44"/>
      <c r="TL268" s="43"/>
      <c r="TM268" s="44"/>
      <c r="TS268" s="43"/>
      <c r="TT268" s="44"/>
      <c r="TZ268" s="43"/>
      <c r="UA268" s="44"/>
      <c r="UG268" s="43"/>
      <c r="UH268" s="44"/>
      <c r="UN268" s="43"/>
      <c r="UO268" s="44"/>
      <c r="UU268" s="43"/>
      <c r="UV268" s="44"/>
      <c r="VB268" s="43"/>
      <c r="VC268" s="44"/>
      <c r="VI268" s="43"/>
      <c r="VJ268" s="44"/>
      <c r="VP268" s="43"/>
      <c r="VQ268" s="44"/>
      <c r="VW268" s="43"/>
      <c r="VX268" s="44"/>
      <c r="WD268" s="43"/>
      <c r="WE268" s="44"/>
      <c r="WK268" s="43"/>
      <c r="WL268" s="44"/>
      <c r="WR268" s="43"/>
      <c r="WS268" s="44"/>
      <c r="WY268" s="43"/>
      <c r="WZ268" s="44"/>
      <c r="XF268" s="43"/>
      <c r="XG268" s="44"/>
      <c r="XM268" s="43"/>
      <c r="XN268" s="44"/>
      <c r="XT268" s="43"/>
      <c r="XU268" s="44"/>
      <c r="YA268" s="43"/>
      <c r="YB268" s="44"/>
      <c r="YH268" s="43"/>
      <c r="YI268" s="44"/>
      <c r="YO268" s="43"/>
      <c r="YP268" s="44"/>
      <c r="YV268" s="43"/>
      <c r="YW268" s="44"/>
      <c r="ZC268" s="43"/>
      <c r="ZD268" s="44"/>
      <c r="ZJ268" s="43"/>
      <c r="ZK268" s="44"/>
      <c r="ZQ268" s="43"/>
      <c r="ZR268" s="44"/>
      <c r="ZX268" s="43"/>
      <c r="ZY268" s="44"/>
      <c r="AAE268" s="43"/>
      <c r="AAF268" s="44"/>
      <c r="AAL268" s="43"/>
      <c r="AAM268" s="44"/>
      <c r="AAS268" s="43"/>
      <c r="AAT268" s="44"/>
      <c r="AAZ268" s="43"/>
      <c r="ABA268" s="44"/>
      <c r="ABG268" s="43"/>
      <c r="ABH268" s="44"/>
      <c r="ABN268" s="43"/>
      <c r="ABO268" s="44"/>
      <c r="ABU268" s="43"/>
      <c r="ABV268" s="44"/>
      <c r="ACB268" s="43"/>
      <c r="ACC268" s="44"/>
      <c r="ACI268" s="43"/>
      <c r="ACJ268" s="44"/>
      <c r="ACP268" s="43"/>
      <c r="ACQ268" s="44"/>
      <c r="ACW268" s="43"/>
      <c r="ACX268" s="44"/>
      <c r="ADD268" s="43"/>
      <c r="ADE268" s="44"/>
      <c r="ADK268" s="43"/>
      <c r="ADL268" s="44"/>
      <c r="ADR268" s="43"/>
      <c r="ADS268" s="44"/>
      <c r="ADY268" s="43"/>
      <c r="ADZ268" s="44"/>
      <c r="AEF268" s="43"/>
      <c r="AEG268" s="44"/>
      <c r="AEM268" s="43"/>
      <c r="AEN268" s="44"/>
      <c r="AET268" s="43"/>
      <c r="AEU268" s="44"/>
      <c r="AFA268" s="43"/>
      <c r="AFB268" s="44"/>
      <c r="AFH268" s="43"/>
      <c r="AFI268" s="44"/>
      <c r="AFO268" s="43"/>
      <c r="AFP268" s="44"/>
      <c r="AFV268" s="43"/>
      <c r="AFW268" s="44"/>
      <c r="AGC268" s="43"/>
      <c r="AGD268" s="44"/>
      <c r="AGJ268" s="43"/>
      <c r="AGK268" s="44"/>
      <c r="AGQ268" s="43"/>
      <c r="AGR268" s="44"/>
      <c r="AGX268" s="43"/>
      <c r="AGY268" s="44"/>
      <c r="AHE268" s="43"/>
      <c r="AHF268" s="44"/>
      <c r="AHL268" s="43"/>
      <c r="AHM268" s="44"/>
      <c r="AHS268" s="43"/>
      <c r="AHT268" s="44"/>
      <c r="AHZ268" s="43"/>
      <c r="AIA268" s="44"/>
      <c r="AIG268" s="43"/>
      <c r="AIH268" s="44"/>
      <c r="AIN268" s="43"/>
      <c r="AIO268" s="44"/>
      <c r="AIU268" s="43"/>
      <c r="AIV268" s="44"/>
      <c r="AJB268" s="43"/>
      <c r="AJC268" s="44"/>
      <c r="AJI268" s="43"/>
      <c r="AJJ268" s="44"/>
      <c r="AJP268" s="43"/>
      <c r="AJQ268" s="44"/>
      <c r="AJW268" s="43"/>
      <c r="AJX268" s="44"/>
      <c r="AKD268" s="43"/>
      <c r="AKE268" s="44"/>
      <c r="AKK268" s="43"/>
      <c r="AKL268" s="44"/>
      <c r="AKR268" s="43"/>
      <c r="AKS268" s="44"/>
      <c r="AKY268" s="43"/>
      <c r="AKZ268" s="44"/>
      <c r="ALF268" s="43"/>
      <c r="ALG268" s="44"/>
      <c r="ALM268" s="43"/>
      <c r="ALN268" s="44"/>
      <c r="ALT268" s="43"/>
      <c r="ALU268" s="44"/>
      <c r="AMA268" s="43"/>
      <c r="AMB268" s="44"/>
      <c r="AMH268" s="43"/>
      <c r="AMI268" s="44"/>
      <c r="AMO268" s="43"/>
      <c r="AMP268" s="44"/>
      <c r="AMV268" s="43"/>
      <c r="AMW268" s="44"/>
      <c r="ANC268" s="43"/>
      <c r="AND268" s="44"/>
      <c r="ANJ268" s="43"/>
      <c r="ANK268" s="44"/>
      <c r="ANQ268" s="43"/>
      <c r="ANR268" s="44"/>
      <c r="ANX268" s="43"/>
      <c r="ANY268" s="44"/>
      <c r="AOE268" s="43"/>
      <c r="AOF268" s="44"/>
      <c r="AOL268" s="43"/>
      <c r="AOM268" s="44"/>
      <c r="AOS268" s="43"/>
      <c r="AOT268" s="44"/>
      <c r="AOZ268" s="43"/>
      <c r="APA268" s="44"/>
      <c r="APG268" s="43"/>
      <c r="APH268" s="44"/>
      <c r="APN268" s="43"/>
      <c r="APO268" s="44"/>
      <c r="APU268" s="43"/>
      <c r="APV268" s="44"/>
      <c r="AQB268" s="43"/>
      <c r="AQC268" s="44"/>
      <c r="AQI268" s="43"/>
      <c r="AQJ268" s="44"/>
      <c r="AQP268" s="43"/>
      <c r="AQQ268" s="44"/>
      <c r="AQW268" s="43"/>
      <c r="AQX268" s="44"/>
      <c r="ARD268" s="43"/>
      <c r="ARE268" s="44"/>
      <c r="ARK268" s="43"/>
      <c r="ARL268" s="44"/>
      <c r="ARR268" s="43"/>
      <c r="ARS268" s="44"/>
      <c r="ARY268" s="43"/>
      <c r="ARZ268" s="44"/>
      <c r="ASF268" s="43"/>
      <c r="ASG268" s="44"/>
      <c r="ASM268" s="43"/>
      <c r="ASN268" s="44"/>
      <c r="AST268" s="43"/>
      <c r="ASU268" s="44"/>
      <c r="ATA268" s="43"/>
      <c r="ATB268" s="44"/>
      <c r="ATH268" s="43"/>
      <c r="ATI268" s="44"/>
      <c r="ATO268" s="43"/>
      <c r="ATP268" s="44"/>
      <c r="ATV268" s="43"/>
      <c r="ATW268" s="44"/>
      <c r="AUC268" s="43"/>
      <c r="AUD268" s="44"/>
      <c r="AUJ268" s="43"/>
      <c r="AUK268" s="44"/>
      <c r="AUQ268" s="43"/>
      <c r="AUR268" s="44"/>
      <c r="AUX268" s="43"/>
      <c r="AUY268" s="44"/>
      <c r="AVE268" s="43"/>
      <c r="AVF268" s="44"/>
      <c r="AVL268" s="43"/>
      <c r="AVM268" s="44"/>
      <c r="AVS268" s="43"/>
      <c r="AVT268" s="44"/>
      <c r="AVZ268" s="43"/>
      <c r="AWA268" s="44"/>
      <c r="AWG268" s="43"/>
      <c r="AWH268" s="44"/>
      <c r="AWN268" s="43"/>
      <c r="AWO268" s="44"/>
      <c r="AWU268" s="43"/>
      <c r="AWV268" s="44"/>
      <c r="AXB268" s="43"/>
      <c r="AXC268" s="44"/>
      <c r="AXI268" s="43"/>
      <c r="AXJ268" s="44"/>
      <c r="AXP268" s="43"/>
      <c r="AXQ268" s="44"/>
      <c r="AXW268" s="43"/>
      <c r="AXX268" s="44"/>
      <c r="AYD268" s="43"/>
      <c r="AYE268" s="44"/>
      <c r="AYK268" s="43"/>
      <c r="AYL268" s="44"/>
      <c r="AYR268" s="43"/>
      <c r="AYS268" s="44"/>
      <c r="AYY268" s="43"/>
      <c r="AYZ268" s="44"/>
      <c r="AZF268" s="43"/>
      <c r="AZG268" s="44"/>
      <c r="AZM268" s="43"/>
      <c r="AZN268" s="44"/>
      <c r="AZT268" s="43"/>
      <c r="AZU268" s="44"/>
      <c r="BAA268" s="43"/>
      <c r="BAB268" s="44"/>
      <c r="BAH268" s="43"/>
      <c r="BAI268" s="44"/>
      <c r="BAO268" s="43"/>
      <c r="BAP268" s="44"/>
      <c r="BAV268" s="43"/>
      <c r="BAW268" s="44"/>
      <c r="BBC268" s="43"/>
      <c r="BBD268" s="44"/>
      <c r="BBJ268" s="43"/>
      <c r="BBK268" s="44"/>
      <c r="BBQ268" s="43"/>
      <c r="BBR268" s="44"/>
      <c r="BBX268" s="43"/>
      <c r="BBY268" s="44"/>
      <c r="BCE268" s="43"/>
      <c r="BCF268" s="44"/>
      <c r="BCL268" s="43"/>
      <c r="BCM268" s="44"/>
      <c r="BCS268" s="43"/>
      <c r="BCT268" s="44"/>
      <c r="BCZ268" s="43"/>
      <c r="BDA268" s="44"/>
      <c r="BDG268" s="43"/>
      <c r="BDH268" s="44"/>
      <c r="BDN268" s="43"/>
      <c r="BDO268" s="44"/>
      <c r="BDU268" s="43"/>
      <c r="BDV268" s="44"/>
      <c r="BEB268" s="43"/>
      <c r="BEC268" s="44"/>
      <c r="BEI268" s="43"/>
      <c r="BEJ268" s="44"/>
      <c r="BEP268" s="43"/>
      <c r="BEQ268" s="44"/>
      <c r="BEW268" s="43"/>
      <c r="BEX268" s="44"/>
      <c r="BFD268" s="43"/>
      <c r="BFE268" s="44"/>
      <c r="BFK268" s="43"/>
      <c r="BFL268" s="44"/>
      <c r="BFR268" s="43"/>
      <c r="BFS268" s="44"/>
      <c r="BFY268" s="43"/>
      <c r="BFZ268" s="44"/>
      <c r="BGF268" s="43"/>
      <c r="BGG268" s="44"/>
      <c r="BGM268" s="43"/>
      <c r="BGN268" s="44"/>
      <c r="BGT268" s="43"/>
      <c r="BGU268" s="44"/>
      <c r="BHA268" s="43"/>
      <c r="BHB268" s="44"/>
      <c r="BHH268" s="43"/>
      <c r="BHI268" s="44"/>
      <c r="BHO268" s="43"/>
      <c r="BHP268" s="44"/>
      <c r="BHV268" s="43"/>
      <c r="BHW268" s="44"/>
      <c r="BIC268" s="43"/>
      <c r="BID268" s="44"/>
      <c r="BIJ268" s="43"/>
      <c r="BIK268" s="44"/>
      <c r="BIQ268" s="43"/>
      <c r="BIR268" s="44"/>
      <c r="BIX268" s="43"/>
      <c r="BIY268" s="44"/>
      <c r="BJE268" s="43"/>
      <c r="BJF268" s="44"/>
      <c r="BJL268" s="43"/>
      <c r="BJM268" s="44"/>
      <c r="BJS268" s="43"/>
      <c r="BJT268" s="44"/>
      <c r="BJZ268" s="43"/>
      <c r="BKA268" s="44"/>
      <c r="BKG268" s="43"/>
      <c r="BKH268" s="44"/>
      <c r="BKN268" s="43"/>
      <c r="BKO268" s="44"/>
      <c r="BKU268" s="43"/>
      <c r="BKV268" s="44"/>
      <c r="BLB268" s="43"/>
      <c r="BLC268" s="44"/>
      <c r="BLI268" s="43"/>
      <c r="BLJ268" s="44"/>
      <c r="BLP268" s="43"/>
      <c r="BLQ268" s="44"/>
      <c r="BLW268" s="43"/>
      <c r="BLX268" s="44"/>
      <c r="BMD268" s="43"/>
      <c r="BME268" s="44"/>
      <c r="BMK268" s="43"/>
      <c r="BML268" s="44"/>
      <c r="BMR268" s="43"/>
      <c r="BMS268" s="44"/>
      <c r="BMY268" s="43"/>
      <c r="BMZ268" s="44"/>
      <c r="BNF268" s="43"/>
      <c r="BNG268" s="44"/>
      <c r="BNM268" s="43"/>
      <c r="BNN268" s="44"/>
      <c r="BNT268" s="43"/>
      <c r="BNU268" s="44"/>
      <c r="BOA268" s="43"/>
      <c r="BOB268" s="44"/>
      <c r="BOH268" s="43"/>
      <c r="BOI268" s="44"/>
      <c r="BOO268" s="43"/>
      <c r="BOP268" s="44"/>
      <c r="BOV268" s="43"/>
      <c r="BOW268" s="44"/>
      <c r="BPC268" s="43"/>
      <c r="BPD268" s="44"/>
      <c r="BPJ268" s="43"/>
      <c r="BPK268" s="44"/>
      <c r="BPQ268" s="43"/>
      <c r="BPR268" s="44"/>
      <c r="BPX268" s="43"/>
      <c r="BPY268" s="44"/>
      <c r="BQE268" s="43"/>
      <c r="BQF268" s="44"/>
      <c r="BQL268" s="43"/>
      <c r="BQM268" s="44"/>
      <c r="BQS268" s="43"/>
      <c r="BQT268" s="44"/>
      <c r="BQZ268" s="43"/>
      <c r="BRA268" s="44"/>
      <c r="BRG268" s="43"/>
      <c r="BRH268" s="44"/>
      <c r="BRN268" s="43"/>
      <c r="BRO268" s="44"/>
      <c r="BRU268" s="43"/>
      <c r="BRV268" s="44"/>
      <c r="BSB268" s="43"/>
      <c r="BSC268" s="44"/>
      <c r="BSI268" s="43"/>
      <c r="BSJ268" s="44"/>
      <c r="BSP268" s="43"/>
      <c r="BSQ268" s="44"/>
      <c r="BSW268" s="43"/>
      <c r="BSX268" s="44"/>
      <c r="BTD268" s="43"/>
      <c r="BTE268" s="44"/>
      <c r="BTK268" s="43"/>
      <c r="BTL268" s="44"/>
      <c r="BTR268" s="43"/>
      <c r="BTS268" s="44"/>
      <c r="BTY268" s="43"/>
      <c r="BTZ268" s="44"/>
      <c r="BUF268" s="43"/>
      <c r="BUG268" s="44"/>
      <c r="BUM268" s="43"/>
      <c r="BUN268" s="44"/>
      <c r="BUT268" s="43"/>
      <c r="BUU268" s="44"/>
      <c r="BVA268" s="43"/>
      <c r="BVB268" s="44"/>
      <c r="BVH268" s="43"/>
      <c r="BVI268" s="44"/>
      <c r="BVO268" s="43"/>
      <c r="BVP268" s="44"/>
      <c r="BVV268" s="43"/>
      <c r="BVW268" s="44"/>
      <c r="BWC268" s="43"/>
      <c r="BWD268" s="44"/>
      <c r="BWJ268" s="43"/>
      <c r="BWK268" s="44"/>
      <c r="BWQ268" s="43"/>
      <c r="BWR268" s="44"/>
      <c r="BWX268" s="43"/>
      <c r="BWY268" s="44"/>
      <c r="BXE268" s="43"/>
      <c r="BXF268" s="44"/>
      <c r="BXL268" s="43"/>
      <c r="BXM268" s="44"/>
      <c r="BXS268" s="43"/>
      <c r="BXT268" s="44"/>
      <c r="BXZ268" s="43"/>
      <c r="BYA268" s="44"/>
      <c r="BYG268" s="43"/>
      <c r="BYH268" s="44"/>
      <c r="BYN268" s="43"/>
      <c r="BYO268" s="44"/>
      <c r="BYU268" s="43"/>
      <c r="BYV268" s="44"/>
      <c r="BZB268" s="43"/>
      <c r="BZC268" s="44"/>
      <c r="BZI268" s="43"/>
      <c r="BZJ268" s="44"/>
      <c r="BZP268" s="43"/>
      <c r="BZQ268" s="44"/>
      <c r="BZW268" s="43"/>
      <c r="BZX268" s="44"/>
      <c r="CAD268" s="43"/>
      <c r="CAE268" s="44"/>
      <c r="CAK268" s="43"/>
      <c r="CAL268" s="44"/>
      <c r="CAR268" s="43"/>
      <c r="CAS268" s="44"/>
      <c r="CAY268" s="43"/>
      <c r="CAZ268" s="44"/>
      <c r="CBF268" s="43"/>
      <c r="CBG268" s="44"/>
      <c r="CBM268" s="43"/>
      <c r="CBN268" s="44"/>
      <c r="CBT268" s="43"/>
      <c r="CBU268" s="44"/>
      <c r="CCA268" s="43"/>
      <c r="CCB268" s="44"/>
      <c r="CCH268" s="43"/>
      <c r="CCI268" s="44"/>
      <c r="CCO268" s="43"/>
      <c r="CCP268" s="44"/>
      <c r="CCV268" s="43"/>
      <c r="CCW268" s="44"/>
      <c r="CDC268" s="43"/>
      <c r="CDD268" s="44"/>
      <c r="CDJ268" s="43"/>
      <c r="CDK268" s="44"/>
      <c r="CDQ268" s="43"/>
      <c r="CDR268" s="44"/>
      <c r="CDX268" s="43"/>
      <c r="CDY268" s="44"/>
      <c r="CEE268" s="43"/>
      <c r="CEF268" s="44"/>
      <c r="CEL268" s="43"/>
      <c r="CEM268" s="44"/>
      <c r="CES268" s="43"/>
      <c r="CET268" s="44"/>
      <c r="CEZ268" s="43"/>
      <c r="CFA268" s="44"/>
      <c r="CFG268" s="43"/>
      <c r="CFH268" s="44"/>
      <c r="CFN268" s="43"/>
      <c r="CFO268" s="44"/>
      <c r="CFU268" s="43"/>
      <c r="CFV268" s="44"/>
      <c r="CGB268" s="43"/>
      <c r="CGC268" s="44"/>
      <c r="CGI268" s="43"/>
      <c r="CGJ268" s="44"/>
      <c r="CGP268" s="43"/>
      <c r="CGQ268" s="44"/>
      <c r="CGW268" s="43"/>
      <c r="CGX268" s="44"/>
      <c r="CHD268" s="43"/>
      <c r="CHE268" s="44"/>
      <c r="CHK268" s="43"/>
      <c r="CHL268" s="44"/>
      <c r="CHR268" s="43"/>
      <c r="CHS268" s="44"/>
      <c r="CHY268" s="43"/>
      <c r="CHZ268" s="44"/>
      <c r="CIF268" s="43"/>
      <c r="CIG268" s="44"/>
      <c r="CIM268" s="43"/>
      <c r="CIN268" s="44"/>
      <c r="CIT268" s="43"/>
      <c r="CIU268" s="44"/>
      <c r="CJA268" s="43"/>
      <c r="CJB268" s="44"/>
      <c r="CJH268" s="43"/>
      <c r="CJI268" s="44"/>
      <c r="CJO268" s="43"/>
      <c r="CJP268" s="44"/>
      <c r="CJV268" s="43"/>
      <c r="CJW268" s="44"/>
      <c r="CKC268" s="43"/>
      <c r="CKD268" s="44"/>
      <c r="CKJ268" s="43"/>
      <c r="CKK268" s="44"/>
      <c r="CKQ268" s="43"/>
      <c r="CKR268" s="44"/>
      <c r="CKX268" s="43"/>
      <c r="CKY268" s="44"/>
      <c r="CLE268" s="43"/>
      <c r="CLF268" s="44"/>
      <c r="CLL268" s="43"/>
      <c r="CLM268" s="44"/>
      <c r="CLS268" s="43"/>
      <c r="CLT268" s="44"/>
      <c r="CLZ268" s="43"/>
      <c r="CMA268" s="44"/>
      <c r="CMG268" s="43"/>
      <c r="CMH268" s="44"/>
      <c r="CMN268" s="43"/>
      <c r="CMO268" s="44"/>
      <c r="CMU268" s="43"/>
      <c r="CMV268" s="44"/>
      <c r="CNB268" s="43"/>
      <c r="CNC268" s="44"/>
      <c r="CNI268" s="43"/>
      <c r="CNJ268" s="44"/>
      <c r="CNP268" s="43"/>
      <c r="CNQ268" s="44"/>
      <c r="CNW268" s="43"/>
      <c r="CNX268" s="44"/>
      <c r="COD268" s="43"/>
      <c r="COE268" s="44"/>
      <c r="COK268" s="43"/>
      <c r="COL268" s="44"/>
      <c r="COR268" s="43"/>
      <c r="COS268" s="44"/>
      <c r="COY268" s="43"/>
      <c r="COZ268" s="44"/>
      <c r="CPF268" s="43"/>
      <c r="CPG268" s="44"/>
      <c r="CPM268" s="43"/>
      <c r="CPN268" s="44"/>
      <c r="CPT268" s="43"/>
      <c r="CPU268" s="44"/>
      <c r="CQA268" s="43"/>
      <c r="CQB268" s="44"/>
      <c r="CQH268" s="43"/>
      <c r="CQI268" s="44"/>
      <c r="CQO268" s="43"/>
      <c r="CQP268" s="44"/>
      <c r="CQV268" s="43"/>
      <c r="CQW268" s="44"/>
      <c r="CRC268" s="43"/>
      <c r="CRD268" s="44"/>
      <c r="CRJ268" s="43"/>
      <c r="CRK268" s="44"/>
      <c r="CRQ268" s="43"/>
      <c r="CRR268" s="44"/>
      <c r="CRX268" s="43"/>
      <c r="CRY268" s="44"/>
      <c r="CSE268" s="43"/>
      <c r="CSF268" s="44"/>
      <c r="CSL268" s="43"/>
      <c r="CSM268" s="44"/>
      <c r="CSS268" s="43"/>
      <c r="CST268" s="44"/>
      <c r="CSZ268" s="43"/>
      <c r="CTA268" s="44"/>
      <c r="CTG268" s="43"/>
      <c r="CTH268" s="44"/>
      <c r="CTN268" s="43"/>
      <c r="CTO268" s="44"/>
      <c r="CTU268" s="43"/>
      <c r="CTV268" s="44"/>
    </row>
    <row r="269" spans="1:1023 1029:2045 2051:2570" s="6" customFormat="1" ht="30" customHeight="1" x14ac:dyDescent="0.2">
      <c r="A269" s="17" t="s">
        <v>433</v>
      </c>
      <c r="B269" s="33" t="s">
        <v>389</v>
      </c>
      <c r="C269" s="19" t="s">
        <v>434</v>
      </c>
      <c r="D269" s="33" t="s">
        <v>426</v>
      </c>
      <c r="E269" s="33">
        <v>720</v>
      </c>
      <c r="F269" s="36"/>
      <c r="G269" s="20">
        <f t="shared" si="4"/>
        <v>0</v>
      </c>
      <c r="H269" s="20"/>
      <c r="N269" s="43"/>
      <c r="O269" s="44"/>
      <c r="U269" s="43"/>
      <c r="V269" s="44"/>
      <c r="AB269" s="43"/>
      <c r="AC269" s="44"/>
      <c r="AI269" s="43"/>
      <c r="AJ269" s="44"/>
      <c r="AP269" s="43"/>
      <c r="AQ269" s="44"/>
      <c r="AW269" s="43"/>
      <c r="AX269" s="44"/>
      <c r="BD269" s="43"/>
      <c r="BE269" s="44"/>
      <c r="BK269" s="43"/>
      <c r="BL269" s="44"/>
      <c r="BR269" s="43"/>
      <c r="BS269" s="44"/>
      <c r="BY269" s="43"/>
      <c r="BZ269" s="44"/>
      <c r="CF269" s="43"/>
      <c r="CG269" s="44"/>
      <c r="CM269" s="43"/>
      <c r="CN269" s="44"/>
      <c r="CT269" s="43"/>
      <c r="CU269" s="44"/>
      <c r="DA269" s="43"/>
      <c r="DB269" s="44"/>
      <c r="DH269" s="43"/>
      <c r="DI269" s="44"/>
      <c r="DO269" s="43"/>
      <c r="DP269" s="44"/>
      <c r="DV269" s="43"/>
      <c r="DW269" s="44"/>
      <c r="EC269" s="43"/>
      <c r="ED269" s="44"/>
      <c r="EJ269" s="43"/>
      <c r="EK269" s="44"/>
      <c r="EQ269" s="43"/>
      <c r="ER269" s="44"/>
      <c r="EX269" s="43"/>
      <c r="EY269" s="44"/>
      <c r="FE269" s="43"/>
      <c r="FF269" s="44"/>
      <c r="FL269" s="43"/>
      <c r="FM269" s="44"/>
      <c r="FS269" s="43"/>
      <c r="FT269" s="44"/>
      <c r="FZ269" s="43"/>
      <c r="GA269" s="44"/>
      <c r="GG269" s="43"/>
      <c r="GH269" s="44"/>
      <c r="GN269" s="43"/>
      <c r="GO269" s="44"/>
      <c r="GU269" s="43"/>
      <c r="GV269" s="44"/>
      <c r="HB269" s="43"/>
      <c r="HC269" s="44"/>
      <c r="HI269" s="43"/>
      <c r="HJ269" s="44"/>
      <c r="HP269" s="43"/>
      <c r="HQ269" s="44"/>
      <c r="HW269" s="43"/>
      <c r="HX269" s="44"/>
      <c r="ID269" s="43"/>
      <c r="IE269" s="44"/>
      <c r="IK269" s="43"/>
      <c r="IL269" s="44"/>
      <c r="IR269" s="43"/>
      <c r="IS269" s="44"/>
      <c r="IY269" s="43"/>
      <c r="IZ269" s="44"/>
      <c r="JF269" s="43"/>
      <c r="JG269" s="44"/>
      <c r="JM269" s="43"/>
      <c r="JN269" s="44"/>
      <c r="JT269" s="43"/>
      <c r="JU269" s="44"/>
      <c r="KA269" s="43"/>
      <c r="KB269" s="44"/>
      <c r="KH269" s="43"/>
      <c r="KI269" s="44"/>
      <c r="KO269" s="43"/>
      <c r="KP269" s="44"/>
      <c r="KV269" s="43"/>
      <c r="KW269" s="44"/>
      <c r="LC269" s="43"/>
      <c r="LD269" s="44"/>
      <c r="LJ269" s="43"/>
      <c r="LK269" s="44"/>
      <c r="LQ269" s="43"/>
      <c r="LR269" s="44"/>
      <c r="LX269" s="43"/>
      <c r="LY269" s="44"/>
      <c r="ME269" s="43"/>
      <c r="MF269" s="44"/>
      <c r="ML269" s="43"/>
      <c r="MM269" s="44"/>
      <c r="MS269" s="43"/>
      <c r="MT269" s="44"/>
      <c r="MZ269" s="43"/>
      <c r="NA269" s="44"/>
      <c r="NG269" s="43"/>
      <c r="NH269" s="44"/>
      <c r="NN269" s="43"/>
      <c r="NO269" s="44"/>
      <c r="NU269" s="43"/>
      <c r="NV269" s="44"/>
      <c r="OB269" s="43"/>
      <c r="OC269" s="44"/>
      <c r="OI269" s="43"/>
      <c r="OJ269" s="44"/>
      <c r="OP269" s="43"/>
      <c r="OQ269" s="44"/>
      <c r="OW269" s="43"/>
      <c r="OX269" s="44"/>
      <c r="PD269" s="43"/>
      <c r="PE269" s="44"/>
      <c r="PK269" s="43"/>
      <c r="PL269" s="44"/>
      <c r="PR269" s="43"/>
      <c r="PS269" s="44"/>
      <c r="PY269" s="43"/>
      <c r="PZ269" s="44"/>
      <c r="QF269" s="43"/>
      <c r="QG269" s="44"/>
      <c r="QM269" s="43"/>
      <c r="QN269" s="44"/>
      <c r="QT269" s="43"/>
      <c r="QU269" s="44"/>
      <c r="RA269" s="43"/>
      <c r="RB269" s="44"/>
      <c r="RH269" s="43"/>
      <c r="RI269" s="44"/>
      <c r="RO269" s="43"/>
      <c r="RP269" s="44"/>
      <c r="RV269" s="43"/>
      <c r="RW269" s="44"/>
      <c r="SC269" s="43"/>
      <c r="SD269" s="44"/>
      <c r="SJ269" s="43"/>
      <c r="SK269" s="44"/>
      <c r="SQ269" s="43"/>
      <c r="SR269" s="44"/>
      <c r="SX269" s="43"/>
      <c r="SY269" s="44"/>
      <c r="TE269" s="43"/>
      <c r="TF269" s="44"/>
      <c r="TL269" s="43"/>
      <c r="TM269" s="44"/>
      <c r="TS269" s="43"/>
      <c r="TT269" s="44"/>
      <c r="TZ269" s="43"/>
      <c r="UA269" s="44"/>
      <c r="UG269" s="43"/>
      <c r="UH269" s="44"/>
      <c r="UN269" s="43"/>
      <c r="UO269" s="44"/>
      <c r="UU269" s="43"/>
      <c r="UV269" s="44"/>
      <c r="VB269" s="43"/>
      <c r="VC269" s="44"/>
      <c r="VI269" s="43"/>
      <c r="VJ269" s="44"/>
      <c r="VP269" s="43"/>
      <c r="VQ269" s="44"/>
      <c r="VW269" s="43"/>
      <c r="VX269" s="44"/>
      <c r="WD269" s="43"/>
      <c r="WE269" s="44"/>
      <c r="WK269" s="43"/>
      <c r="WL269" s="44"/>
      <c r="WR269" s="43"/>
      <c r="WS269" s="44"/>
      <c r="WY269" s="43"/>
      <c r="WZ269" s="44"/>
      <c r="XF269" s="43"/>
      <c r="XG269" s="44"/>
      <c r="XM269" s="43"/>
      <c r="XN269" s="44"/>
      <c r="XT269" s="43"/>
      <c r="XU269" s="44"/>
      <c r="YA269" s="43"/>
      <c r="YB269" s="44"/>
      <c r="YH269" s="43"/>
      <c r="YI269" s="44"/>
      <c r="YO269" s="43"/>
      <c r="YP269" s="44"/>
      <c r="YV269" s="43"/>
      <c r="YW269" s="44"/>
      <c r="ZC269" s="43"/>
      <c r="ZD269" s="44"/>
      <c r="ZJ269" s="43"/>
      <c r="ZK269" s="44"/>
      <c r="ZQ269" s="43"/>
      <c r="ZR269" s="44"/>
      <c r="ZX269" s="43"/>
      <c r="ZY269" s="44"/>
      <c r="AAE269" s="43"/>
      <c r="AAF269" s="44"/>
      <c r="AAL269" s="43"/>
      <c r="AAM269" s="44"/>
      <c r="AAS269" s="43"/>
      <c r="AAT269" s="44"/>
      <c r="AAZ269" s="43"/>
      <c r="ABA269" s="44"/>
      <c r="ABG269" s="43"/>
      <c r="ABH269" s="44"/>
      <c r="ABN269" s="43"/>
      <c r="ABO269" s="44"/>
      <c r="ABU269" s="43"/>
      <c r="ABV269" s="44"/>
      <c r="ACB269" s="43"/>
      <c r="ACC269" s="44"/>
      <c r="ACI269" s="43"/>
      <c r="ACJ269" s="44"/>
      <c r="ACP269" s="43"/>
      <c r="ACQ269" s="44"/>
      <c r="ACW269" s="43"/>
      <c r="ACX269" s="44"/>
      <c r="ADD269" s="43"/>
      <c r="ADE269" s="44"/>
      <c r="ADK269" s="43"/>
      <c r="ADL269" s="44"/>
      <c r="ADR269" s="43"/>
      <c r="ADS269" s="44"/>
      <c r="ADY269" s="43"/>
      <c r="ADZ269" s="44"/>
      <c r="AEF269" s="43"/>
      <c r="AEG269" s="44"/>
      <c r="AEM269" s="43"/>
      <c r="AEN269" s="44"/>
      <c r="AET269" s="43"/>
      <c r="AEU269" s="44"/>
      <c r="AFA269" s="43"/>
      <c r="AFB269" s="44"/>
      <c r="AFH269" s="43"/>
      <c r="AFI269" s="44"/>
      <c r="AFO269" s="43"/>
      <c r="AFP269" s="44"/>
      <c r="AFV269" s="43"/>
      <c r="AFW269" s="44"/>
      <c r="AGC269" s="43"/>
      <c r="AGD269" s="44"/>
      <c r="AGJ269" s="43"/>
      <c r="AGK269" s="44"/>
      <c r="AGQ269" s="43"/>
      <c r="AGR269" s="44"/>
      <c r="AGX269" s="43"/>
      <c r="AGY269" s="44"/>
      <c r="AHE269" s="43"/>
      <c r="AHF269" s="44"/>
      <c r="AHL269" s="43"/>
      <c r="AHM269" s="44"/>
      <c r="AHS269" s="43"/>
      <c r="AHT269" s="44"/>
      <c r="AHZ269" s="43"/>
      <c r="AIA269" s="44"/>
      <c r="AIG269" s="43"/>
      <c r="AIH269" s="44"/>
      <c r="AIN269" s="43"/>
      <c r="AIO269" s="44"/>
      <c r="AIU269" s="43"/>
      <c r="AIV269" s="44"/>
      <c r="AJB269" s="43"/>
      <c r="AJC269" s="44"/>
      <c r="AJI269" s="43"/>
      <c r="AJJ269" s="44"/>
      <c r="AJP269" s="43"/>
      <c r="AJQ269" s="44"/>
      <c r="AJW269" s="43"/>
      <c r="AJX269" s="44"/>
      <c r="AKD269" s="43"/>
      <c r="AKE269" s="44"/>
      <c r="AKK269" s="43"/>
      <c r="AKL269" s="44"/>
      <c r="AKR269" s="43"/>
      <c r="AKS269" s="44"/>
      <c r="AKY269" s="43"/>
      <c r="AKZ269" s="44"/>
      <c r="ALF269" s="43"/>
      <c r="ALG269" s="44"/>
      <c r="ALM269" s="43"/>
      <c r="ALN269" s="44"/>
      <c r="ALT269" s="43"/>
      <c r="ALU269" s="44"/>
      <c r="AMA269" s="43"/>
      <c r="AMB269" s="44"/>
      <c r="AMH269" s="43"/>
      <c r="AMI269" s="44"/>
      <c r="AMO269" s="43"/>
      <c r="AMP269" s="44"/>
      <c r="AMV269" s="43"/>
      <c r="AMW269" s="44"/>
      <c r="ANC269" s="43"/>
      <c r="AND269" s="44"/>
      <c r="ANJ269" s="43"/>
      <c r="ANK269" s="44"/>
      <c r="ANQ269" s="43"/>
      <c r="ANR269" s="44"/>
      <c r="ANX269" s="43"/>
      <c r="ANY269" s="44"/>
      <c r="AOE269" s="43"/>
      <c r="AOF269" s="44"/>
      <c r="AOL269" s="43"/>
      <c r="AOM269" s="44"/>
      <c r="AOS269" s="43"/>
      <c r="AOT269" s="44"/>
      <c r="AOZ269" s="43"/>
      <c r="APA269" s="44"/>
      <c r="APG269" s="43"/>
      <c r="APH269" s="44"/>
      <c r="APN269" s="43"/>
      <c r="APO269" s="44"/>
      <c r="APU269" s="43"/>
      <c r="APV269" s="44"/>
      <c r="AQB269" s="43"/>
      <c r="AQC269" s="44"/>
      <c r="AQI269" s="43"/>
      <c r="AQJ269" s="44"/>
      <c r="AQP269" s="43"/>
      <c r="AQQ269" s="44"/>
      <c r="AQW269" s="43"/>
      <c r="AQX269" s="44"/>
      <c r="ARD269" s="43"/>
      <c r="ARE269" s="44"/>
      <c r="ARK269" s="43"/>
      <c r="ARL269" s="44"/>
      <c r="ARR269" s="43"/>
      <c r="ARS269" s="44"/>
      <c r="ARY269" s="43"/>
      <c r="ARZ269" s="44"/>
      <c r="ASF269" s="43"/>
      <c r="ASG269" s="44"/>
      <c r="ASM269" s="43"/>
      <c r="ASN269" s="44"/>
      <c r="AST269" s="43"/>
      <c r="ASU269" s="44"/>
      <c r="ATA269" s="43"/>
      <c r="ATB269" s="44"/>
      <c r="ATH269" s="43"/>
      <c r="ATI269" s="44"/>
      <c r="ATO269" s="43"/>
      <c r="ATP269" s="44"/>
      <c r="ATV269" s="43"/>
      <c r="ATW269" s="44"/>
      <c r="AUC269" s="43"/>
      <c r="AUD269" s="44"/>
      <c r="AUJ269" s="43"/>
      <c r="AUK269" s="44"/>
      <c r="AUQ269" s="43"/>
      <c r="AUR269" s="44"/>
      <c r="AUX269" s="43"/>
      <c r="AUY269" s="44"/>
      <c r="AVE269" s="43"/>
      <c r="AVF269" s="44"/>
      <c r="AVL269" s="43"/>
      <c r="AVM269" s="44"/>
      <c r="AVS269" s="43"/>
      <c r="AVT269" s="44"/>
      <c r="AVZ269" s="43"/>
      <c r="AWA269" s="44"/>
      <c r="AWG269" s="43"/>
      <c r="AWH269" s="44"/>
      <c r="AWN269" s="43"/>
      <c r="AWO269" s="44"/>
      <c r="AWU269" s="43"/>
      <c r="AWV269" s="44"/>
      <c r="AXB269" s="43"/>
      <c r="AXC269" s="44"/>
      <c r="AXI269" s="43"/>
      <c r="AXJ269" s="44"/>
      <c r="AXP269" s="43"/>
      <c r="AXQ269" s="44"/>
      <c r="AXW269" s="43"/>
      <c r="AXX269" s="44"/>
      <c r="AYD269" s="43"/>
      <c r="AYE269" s="44"/>
      <c r="AYK269" s="43"/>
      <c r="AYL269" s="44"/>
      <c r="AYR269" s="43"/>
      <c r="AYS269" s="44"/>
      <c r="AYY269" s="43"/>
      <c r="AYZ269" s="44"/>
      <c r="AZF269" s="43"/>
      <c r="AZG269" s="44"/>
      <c r="AZM269" s="43"/>
      <c r="AZN269" s="44"/>
      <c r="AZT269" s="43"/>
      <c r="AZU269" s="44"/>
      <c r="BAA269" s="43"/>
      <c r="BAB269" s="44"/>
      <c r="BAH269" s="43"/>
      <c r="BAI269" s="44"/>
      <c r="BAO269" s="43"/>
      <c r="BAP269" s="44"/>
      <c r="BAV269" s="43"/>
      <c r="BAW269" s="44"/>
      <c r="BBC269" s="43"/>
      <c r="BBD269" s="44"/>
      <c r="BBJ269" s="43"/>
      <c r="BBK269" s="44"/>
      <c r="BBQ269" s="43"/>
      <c r="BBR269" s="44"/>
      <c r="BBX269" s="43"/>
      <c r="BBY269" s="44"/>
      <c r="BCE269" s="43"/>
      <c r="BCF269" s="44"/>
      <c r="BCL269" s="43"/>
      <c r="BCM269" s="44"/>
      <c r="BCS269" s="43"/>
      <c r="BCT269" s="44"/>
      <c r="BCZ269" s="43"/>
      <c r="BDA269" s="44"/>
      <c r="BDG269" s="43"/>
      <c r="BDH269" s="44"/>
      <c r="BDN269" s="43"/>
      <c r="BDO269" s="44"/>
      <c r="BDU269" s="43"/>
      <c r="BDV269" s="44"/>
      <c r="BEB269" s="43"/>
      <c r="BEC269" s="44"/>
      <c r="BEI269" s="43"/>
      <c r="BEJ269" s="44"/>
      <c r="BEP269" s="43"/>
      <c r="BEQ269" s="44"/>
      <c r="BEW269" s="43"/>
      <c r="BEX269" s="44"/>
      <c r="BFD269" s="43"/>
      <c r="BFE269" s="44"/>
      <c r="BFK269" s="43"/>
      <c r="BFL269" s="44"/>
      <c r="BFR269" s="43"/>
      <c r="BFS269" s="44"/>
      <c r="BFY269" s="43"/>
      <c r="BFZ269" s="44"/>
      <c r="BGF269" s="43"/>
      <c r="BGG269" s="44"/>
      <c r="BGM269" s="43"/>
      <c r="BGN269" s="44"/>
      <c r="BGT269" s="43"/>
      <c r="BGU269" s="44"/>
      <c r="BHA269" s="43"/>
      <c r="BHB269" s="44"/>
      <c r="BHH269" s="43"/>
      <c r="BHI269" s="44"/>
      <c r="BHO269" s="43"/>
      <c r="BHP269" s="44"/>
      <c r="BHV269" s="43"/>
      <c r="BHW269" s="44"/>
      <c r="BIC269" s="43"/>
      <c r="BID269" s="44"/>
      <c r="BIJ269" s="43"/>
      <c r="BIK269" s="44"/>
      <c r="BIQ269" s="43"/>
      <c r="BIR269" s="44"/>
      <c r="BIX269" s="43"/>
      <c r="BIY269" s="44"/>
      <c r="BJE269" s="43"/>
      <c r="BJF269" s="44"/>
      <c r="BJL269" s="43"/>
      <c r="BJM269" s="44"/>
      <c r="BJS269" s="43"/>
      <c r="BJT269" s="44"/>
      <c r="BJZ269" s="43"/>
      <c r="BKA269" s="44"/>
      <c r="BKG269" s="43"/>
      <c r="BKH269" s="44"/>
      <c r="BKN269" s="43"/>
      <c r="BKO269" s="44"/>
      <c r="BKU269" s="43"/>
      <c r="BKV269" s="44"/>
      <c r="BLB269" s="43"/>
      <c r="BLC269" s="44"/>
      <c r="BLI269" s="43"/>
      <c r="BLJ269" s="44"/>
      <c r="BLP269" s="43"/>
      <c r="BLQ269" s="44"/>
      <c r="BLW269" s="43"/>
      <c r="BLX269" s="44"/>
      <c r="BMD269" s="43"/>
      <c r="BME269" s="44"/>
      <c r="BMK269" s="43"/>
      <c r="BML269" s="44"/>
      <c r="BMR269" s="43"/>
      <c r="BMS269" s="44"/>
      <c r="BMY269" s="43"/>
      <c r="BMZ269" s="44"/>
      <c r="BNF269" s="43"/>
      <c r="BNG269" s="44"/>
      <c r="BNM269" s="43"/>
      <c r="BNN269" s="44"/>
      <c r="BNT269" s="43"/>
      <c r="BNU269" s="44"/>
      <c r="BOA269" s="43"/>
      <c r="BOB269" s="44"/>
      <c r="BOH269" s="43"/>
      <c r="BOI269" s="44"/>
      <c r="BOO269" s="43"/>
      <c r="BOP269" s="44"/>
      <c r="BOV269" s="43"/>
      <c r="BOW269" s="44"/>
      <c r="BPC269" s="43"/>
      <c r="BPD269" s="44"/>
      <c r="BPJ269" s="43"/>
      <c r="BPK269" s="44"/>
      <c r="BPQ269" s="43"/>
      <c r="BPR269" s="44"/>
      <c r="BPX269" s="43"/>
      <c r="BPY269" s="44"/>
      <c r="BQE269" s="43"/>
      <c r="BQF269" s="44"/>
      <c r="BQL269" s="43"/>
      <c r="BQM269" s="44"/>
      <c r="BQS269" s="43"/>
      <c r="BQT269" s="44"/>
      <c r="BQZ269" s="43"/>
      <c r="BRA269" s="44"/>
      <c r="BRG269" s="43"/>
      <c r="BRH269" s="44"/>
      <c r="BRN269" s="43"/>
      <c r="BRO269" s="44"/>
      <c r="BRU269" s="43"/>
      <c r="BRV269" s="44"/>
      <c r="BSB269" s="43"/>
      <c r="BSC269" s="44"/>
      <c r="BSI269" s="43"/>
      <c r="BSJ269" s="44"/>
      <c r="BSP269" s="43"/>
      <c r="BSQ269" s="44"/>
      <c r="BSW269" s="43"/>
      <c r="BSX269" s="44"/>
      <c r="BTD269" s="43"/>
      <c r="BTE269" s="44"/>
      <c r="BTK269" s="43"/>
      <c r="BTL269" s="44"/>
      <c r="BTR269" s="43"/>
      <c r="BTS269" s="44"/>
      <c r="BTY269" s="43"/>
      <c r="BTZ269" s="44"/>
      <c r="BUF269" s="43"/>
      <c r="BUG269" s="44"/>
      <c r="BUM269" s="43"/>
      <c r="BUN269" s="44"/>
      <c r="BUT269" s="43"/>
      <c r="BUU269" s="44"/>
      <c r="BVA269" s="43"/>
      <c r="BVB269" s="44"/>
      <c r="BVH269" s="43"/>
      <c r="BVI269" s="44"/>
      <c r="BVO269" s="43"/>
      <c r="BVP269" s="44"/>
      <c r="BVV269" s="43"/>
      <c r="BVW269" s="44"/>
      <c r="BWC269" s="43"/>
      <c r="BWD269" s="44"/>
      <c r="BWJ269" s="43"/>
      <c r="BWK269" s="44"/>
      <c r="BWQ269" s="43"/>
      <c r="BWR269" s="44"/>
      <c r="BWX269" s="43"/>
      <c r="BWY269" s="44"/>
      <c r="BXE269" s="43"/>
      <c r="BXF269" s="44"/>
      <c r="BXL269" s="43"/>
      <c r="BXM269" s="44"/>
      <c r="BXS269" s="43"/>
      <c r="BXT269" s="44"/>
      <c r="BXZ269" s="43"/>
      <c r="BYA269" s="44"/>
      <c r="BYG269" s="43"/>
      <c r="BYH269" s="44"/>
      <c r="BYN269" s="43"/>
      <c r="BYO269" s="44"/>
      <c r="BYU269" s="43"/>
      <c r="BYV269" s="44"/>
      <c r="BZB269" s="43"/>
      <c r="BZC269" s="44"/>
      <c r="BZI269" s="43"/>
      <c r="BZJ269" s="44"/>
      <c r="BZP269" s="43"/>
      <c r="BZQ269" s="44"/>
      <c r="BZW269" s="43"/>
      <c r="BZX269" s="44"/>
      <c r="CAD269" s="43"/>
      <c r="CAE269" s="44"/>
      <c r="CAK269" s="43"/>
      <c r="CAL269" s="44"/>
      <c r="CAR269" s="43"/>
      <c r="CAS269" s="44"/>
      <c r="CAY269" s="43"/>
      <c r="CAZ269" s="44"/>
      <c r="CBF269" s="43"/>
      <c r="CBG269" s="44"/>
      <c r="CBM269" s="43"/>
      <c r="CBN269" s="44"/>
      <c r="CBT269" s="43"/>
      <c r="CBU269" s="44"/>
      <c r="CCA269" s="43"/>
      <c r="CCB269" s="44"/>
      <c r="CCH269" s="43"/>
      <c r="CCI269" s="44"/>
      <c r="CCO269" s="43"/>
      <c r="CCP269" s="44"/>
      <c r="CCV269" s="43"/>
      <c r="CCW269" s="44"/>
      <c r="CDC269" s="43"/>
      <c r="CDD269" s="44"/>
      <c r="CDJ269" s="43"/>
      <c r="CDK269" s="44"/>
      <c r="CDQ269" s="43"/>
      <c r="CDR269" s="44"/>
      <c r="CDX269" s="43"/>
      <c r="CDY269" s="44"/>
      <c r="CEE269" s="43"/>
      <c r="CEF269" s="44"/>
      <c r="CEL269" s="43"/>
      <c r="CEM269" s="44"/>
      <c r="CES269" s="43"/>
      <c r="CET269" s="44"/>
      <c r="CEZ269" s="43"/>
      <c r="CFA269" s="44"/>
      <c r="CFG269" s="43"/>
      <c r="CFH269" s="44"/>
      <c r="CFN269" s="43"/>
      <c r="CFO269" s="44"/>
      <c r="CFU269" s="43"/>
      <c r="CFV269" s="44"/>
      <c r="CGB269" s="43"/>
      <c r="CGC269" s="44"/>
      <c r="CGI269" s="43"/>
      <c r="CGJ269" s="44"/>
      <c r="CGP269" s="43"/>
      <c r="CGQ269" s="44"/>
      <c r="CGW269" s="43"/>
      <c r="CGX269" s="44"/>
      <c r="CHD269" s="43"/>
      <c r="CHE269" s="44"/>
      <c r="CHK269" s="43"/>
      <c r="CHL269" s="44"/>
      <c r="CHR269" s="43"/>
      <c r="CHS269" s="44"/>
      <c r="CHY269" s="43"/>
      <c r="CHZ269" s="44"/>
      <c r="CIF269" s="43"/>
      <c r="CIG269" s="44"/>
      <c r="CIM269" s="43"/>
      <c r="CIN269" s="44"/>
      <c r="CIT269" s="43"/>
      <c r="CIU269" s="44"/>
      <c r="CJA269" s="43"/>
      <c r="CJB269" s="44"/>
      <c r="CJH269" s="43"/>
      <c r="CJI269" s="44"/>
      <c r="CJO269" s="43"/>
      <c r="CJP269" s="44"/>
      <c r="CJV269" s="43"/>
      <c r="CJW269" s="44"/>
      <c r="CKC269" s="43"/>
      <c r="CKD269" s="44"/>
      <c r="CKJ269" s="43"/>
      <c r="CKK269" s="44"/>
      <c r="CKQ269" s="43"/>
      <c r="CKR269" s="44"/>
      <c r="CKX269" s="43"/>
      <c r="CKY269" s="44"/>
      <c r="CLE269" s="43"/>
      <c r="CLF269" s="44"/>
      <c r="CLL269" s="43"/>
      <c r="CLM269" s="44"/>
      <c r="CLS269" s="43"/>
      <c r="CLT269" s="44"/>
      <c r="CLZ269" s="43"/>
      <c r="CMA269" s="44"/>
      <c r="CMG269" s="43"/>
      <c r="CMH269" s="44"/>
      <c r="CMN269" s="43"/>
      <c r="CMO269" s="44"/>
      <c r="CMU269" s="43"/>
      <c r="CMV269" s="44"/>
      <c r="CNB269" s="43"/>
      <c r="CNC269" s="44"/>
      <c r="CNI269" s="43"/>
      <c r="CNJ269" s="44"/>
      <c r="CNP269" s="43"/>
      <c r="CNQ269" s="44"/>
      <c r="CNW269" s="43"/>
      <c r="CNX269" s="44"/>
      <c r="COD269" s="43"/>
      <c r="COE269" s="44"/>
      <c r="COK269" s="43"/>
      <c r="COL269" s="44"/>
      <c r="COR269" s="43"/>
      <c r="COS269" s="44"/>
      <c r="COY269" s="43"/>
      <c r="COZ269" s="44"/>
      <c r="CPF269" s="43"/>
      <c r="CPG269" s="44"/>
      <c r="CPM269" s="43"/>
      <c r="CPN269" s="44"/>
      <c r="CPT269" s="43"/>
      <c r="CPU269" s="44"/>
      <c r="CQA269" s="43"/>
      <c r="CQB269" s="44"/>
      <c r="CQH269" s="43"/>
      <c r="CQI269" s="44"/>
      <c r="CQO269" s="43"/>
      <c r="CQP269" s="44"/>
      <c r="CQV269" s="43"/>
      <c r="CQW269" s="44"/>
      <c r="CRC269" s="43"/>
      <c r="CRD269" s="44"/>
      <c r="CRJ269" s="43"/>
      <c r="CRK269" s="44"/>
      <c r="CRQ269" s="43"/>
      <c r="CRR269" s="44"/>
      <c r="CRX269" s="43"/>
      <c r="CRY269" s="44"/>
      <c r="CSE269" s="43"/>
      <c r="CSF269" s="44"/>
      <c r="CSL269" s="43"/>
      <c r="CSM269" s="44"/>
      <c r="CSS269" s="43"/>
      <c r="CST269" s="44"/>
      <c r="CSZ269" s="43"/>
      <c r="CTA269" s="44"/>
      <c r="CTG269" s="43"/>
      <c r="CTH269" s="44"/>
      <c r="CTN269" s="43"/>
      <c r="CTO269" s="44"/>
      <c r="CTU269" s="43"/>
      <c r="CTV269" s="44"/>
    </row>
    <row r="270" spans="1:1023 1029:2045 2051:2570" s="3" customFormat="1" ht="122.1" customHeight="1" x14ac:dyDescent="0.2">
      <c r="A270" s="17" t="s">
        <v>435</v>
      </c>
      <c r="B270" s="18" t="s">
        <v>253</v>
      </c>
      <c r="C270" s="19" t="s">
        <v>254</v>
      </c>
      <c r="D270" s="32" t="s">
        <v>248</v>
      </c>
      <c r="E270" s="26">
        <v>3</v>
      </c>
      <c r="F270" s="37"/>
      <c r="G270" s="20">
        <f t="shared" si="4"/>
        <v>0</v>
      </c>
      <c r="H270" s="18"/>
    </row>
    <row r="271" spans="1:1023 1029:2045 2051:2570" s="3" customFormat="1" ht="30" customHeight="1" x14ac:dyDescent="0.2">
      <c r="A271" s="17" t="s">
        <v>436</v>
      </c>
      <c r="B271" s="20" t="s">
        <v>262</v>
      </c>
      <c r="C271" s="19" t="s">
        <v>263</v>
      </c>
      <c r="D271" s="26" t="s">
        <v>27</v>
      </c>
      <c r="E271" s="20">
        <v>4</v>
      </c>
      <c r="F271" s="36"/>
      <c r="G271" s="20">
        <f t="shared" si="4"/>
        <v>0</v>
      </c>
      <c r="H271" s="18"/>
    </row>
    <row r="272" spans="1:1023 1029:2045 2051:2570" s="3" customFormat="1" ht="30" customHeight="1" x14ac:dyDescent="0.2">
      <c r="A272" s="17" t="s">
        <v>437</v>
      </c>
      <c r="B272" s="33" t="s">
        <v>438</v>
      </c>
      <c r="C272" s="19" t="s">
        <v>439</v>
      </c>
      <c r="D272" s="33" t="s">
        <v>440</v>
      </c>
      <c r="E272" s="33">
        <v>3</v>
      </c>
      <c r="F272" s="28"/>
      <c r="G272" s="20">
        <f t="shared" si="4"/>
        <v>0</v>
      </c>
      <c r="H272" s="18"/>
    </row>
    <row r="273" spans="1:8" s="3" customFormat="1" ht="54.95" customHeight="1" x14ac:dyDescent="0.2">
      <c r="A273" s="18" t="s">
        <v>441</v>
      </c>
      <c r="B273" s="18" t="s">
        <v>442</v>
      </c>
      <c r="C273" s="19"/>
      <c r="D273" s="19"/>
      <c r="E273" s="18"/>
      <c r="F273" s="45"/>
      <c r="G273" s="20"/>
      <c r="H273" s="18" t="s">
        <v>443</v>
      </c>
    </row>
    <row r="274" spans="1:8" s="3" customFormat="1" ht="140.1" customHeight="1" x14ac:dyDescent="0.2">
      <c r="A274" s="20" t="s">
        <v>24</v>
      </c>
      <c r="B274" s="18" t="s">
        <v>327</v>
      </c>
      <c r="C274" s="19" t="s">
        <v>328</v>
      </c>
      <c r="D274" s="18" t="s">
        <v>248</v>
      </c>
      <c r="E274" s="20">
        <v>1</v>
      </c>
      <c r="F274" s="36"/>
      <c r="G274" s="20">
        <f t="shared" si="4"/>
        <v>0</v>
      </c>
      <c r="H274" s="18"/>
    </row>
    <row r="275" spans="1:8" s="3" customFormat="1" ht="201.95" customHeight="1" x14ac:dyDescent="0.2">
      <c r="A275" s="20" t="s">
        <v>28</v>
      </c>
      <c r="B275" s="18" t="s">
        <v>325</v>
      </c>
      <c r="C275" s="19" t="s">
        <v>365</v>
      </c>
      <c r="D275" s="18" t="s">
        <v>248</v>
      </c>
      <c r="E275" s="20">
        <v>1</v>
      </c>
      <c r="F275" s="36"/>
      <c r="G275" s="20">
        <f t="shared" si="4"/>
        <v>0</v>
      </c>
      <c r="H275" s="18"/>
    </row>
    <row r="276" spans="1:8" s="3" customFormat="1" ht="98.1" customHeight="1" x14ac:dyDescent="0.2">
      <c r="A276" s="20" t="s">
        <v>40</v>
      </c>
      <c r="B276" s="18" t="s">
        <v>330</v>
      </c>
      <c r="C276" s="19" t="s">
        <v>444</v>
      </c>
      <c r="D276" s="26" t="s">
        <v>27</v>
      </c>
      <c r="E276" s="20">
        <v>1</v>
      </c>
      <c r="F276" s="36"/>
      <c r="G276" s="20">
        <f t="shared" si="4"/>
        <v>0</v>
      </c>
      <c r="H276" s="18"/>
    </row>
    <row r="277" spans="1:8" s="3" customFormat="1" ht="129" customHeight="1" x14ac:dyDescent="0.2">
      <c r="A277" s="20" t="s">
        <v>57</v>
      </c>
      <c r="B277" s="18" t="s">
        <v>332</v>
      </c>
      <c r="C277" s="19" t="s">
        <v>445</v>
      </c>
      <c r="D277" s="26" t="s">
        <v>259</v>
      </c>
      <c r="E277" s="20">
        <v>1</v>
      </c>
      <c r="F277" s="36"/>
      <c r="G277" s="20">
        <f t="shared" si="4"/>
        <v>0</v>
      </c>
      <c r="H277" s="18"/>
    </row>
    <row r="278" spans="1:8" s="3" customFormat="1" ht="30" customHeight="1" x14ac:dyDescent="0.2">
      <c r="A278" s="20" t="s">
        <v>60</v>
      </c>
      <c r="B278" s="18" t="s">
        <v>334</v>
      </c>
      <c r="C278" s="19" t="s">
        <v>335</v>
      </c>
      <c r="D278" s="26" t="s">
        <v>27</v>
      </c>
      <c r="E278" s="20">
        <v>1</v>
      </c>
      <c r="F278" s="36"/>
      <c r="G278" s="20">
        <f t="shared" si="4"/>
        <v>0</v>
      </c>
      <c r="H278" s="18"/>
    </row>
    <row r="279" spans="1:8" s="3" customFormat="1" ht="30" customHeight="1" x14ac:dyDescent="0.2">
      <c r="A279" s="20" t="s">
        <v>62</v>
      </c>
      <c r="B279" s="18" t="s">
        <v>336</v>
      </c>
      <c r="C279" s="19" t="s">
        <v>337</v>
      </c>
      <c r="D279" s="26" t="s">
        <v>27</v>
      </c>
      <c r="E279" s="20">
        <v>1</v>
      </c>
      <c r="F279" s="36"/>
      <c r="G279" s="20">
        <f t="shared" si="4"/>
        <v>0</v>
      </c>
      <c r="H279" s="18"/>
    </row>
    <row r="280" spans="1:8" s="3" customFormat="1" ht="30" customHeight="1" x14ac:dyDescent="0.2">
      <c r="A280" s="20" t="s">
        <v>132</v>
      </c>
      <c r="B280" s="20" t="s">
        <v>262</v>
      </c>
      <c r="C280" s="19" t="s">
        <v>263</v>
      </c>
      <c r="D280" s="26" t="s">
        <v>27</v>
      </c>
      <c r="E280" s="20">
        <v>1</v>
      </c>
      <c r="F280" s="36"/>
      <c r="G280" s="20">
        <f t="shared" si="4"/>
        <v>0</v>
      </c>
      <c r="H280" s="18"/>
    </row>
    <row r="281" spans="1:8" ht="30" customHeight="1" x14ac:dyDescent="0.2">
      <c r="A281" s="20" t="s">
        <v>135</v>
      </c>
      <c r="B281" s="18" t="s">
        <v>446</v>
      </c>
      <c r="C281" s="19" t="s">
        <v>447</v>
      </c>
      <c r="D281" s="26" t="s">
        <v>27</v>
      </c>
      <c r="E281" s="20">
        <v>1</v>
      </c>
      <c r="F281" s="36"/>
      <c r="G281" s="20">
        <f t="shared" si="4"/>
        <v>0</v>
      </c>
      <c r="H281" s="18"/>
    </row>
    <row r="282" spans="1:8" ht="30" customHeight="1" x14ac:dyDescent="0.2">
      <c r="A282" s="18" t="s">
        <v>448</v>
      </c>
      <c r="B282" s="18" t="s">
        <v>449</v>
      </c>
      <c r="C282" s="19"/>
      <c r="D282" s="19"/>
      <c r="E282" s="18"/>
      <c r="F282" s="45"/>
      <c r="G282" s="20"/>
      <c r="H282" s="18"/>
    </row>
    <row r="283" spans="1:8" ht="108" customHeight="1" x14ac:dyDescent="0.2">
      <c r="A283" s="26" t="s">
        <v>450</v>
      </c>
      <c r="B283" s="18" t="s">
        <v>451</v>
      </c>
      <c r="C283" s="19" t="s">
        <v>452</v>
      </c>
      <c r="D283" s="18" t="s">
        <v>259</v>
      </c>
      <c r="E283" s="18">
        <v>1</v>
      </c>
      <c r="F283" s="46"/>
      <c r="G283" s="20">
        <f t="shared" si="4"/>
        <v>0</v>
      </c>
      <c r="H283" s="18"/>
    </row>
    <row r="284" spans="1:8" ht="108" customHeight="1" x14ac:dyDescent="0.2">
      <c r="A284" s="26" t="s">
        <v>453</v>
      </c>
      <c r="B284" s="18" t="s">
        <v>376</v>
      </c>
      <c r="C284" s="19" t="s">
        <v>377</v>
      </c>
      <c r="D284" s="18" t="s">
        <v>259</v>
      </c>
      <c r="E284" s="18">
        <v>1</v>
      </c>
      <c r="F284" s="46"/>
      <c r="G284" s="20">
        <f t="shared" si="4"/>
        <v>0</v>
      </c>
      <c r="H284" s="18"/>
    </row>
    <row r="285" spans="1:8" ht="140.1" customHeight="1" x14ac:dyDescent="0.2">
      <c r="A285" s="26" t="s">
        <v>454</v>
      </c>
      <c r="B285" s="20" t="s">
        <v>455</v>
      </c>
      <c r="C285" s="19" t="s">
        <v>312</v>
      </c>
      <c r="D285" s="18" t="s">
        <v>456</v>
      </c>
      <c r="E285" s="18">
        <v>1</v>
      </c>
      <c r="F285" s="46"/>
      <c r="G285" s="20">
        <f t="shared" si="4"/>
        <v>0</v>
      </c>
      <c r="H285" s="18"/>
    </row>
    <row r="286" spans="1:8" ht="336" customHeight="1" x14ac:dyDescent="0.2">
      <c r="A286" s="26" t="s">
        <v>457</v>
      </c>
      <c r="B286" s="33" t="s">
        <v>255</v>
      </c>
      <c r="C286" s="19" t="s">
        <v>256</v>
      </c>
      <c r="D286" s="18" t="s">
        <v>248</v>
      </c>
      <c r="E286" s="18">
        <v>1</v>
      </c>
      <c r="F286" s="28"/>
      <c r="G286" s="20">
        <f t="shared" si="4"/>
        <v>0</v>
      </c>
      <c r="H286" s="18"/>
    </row>
    <row r="287" spans="1:8" ht="30" customHeight="1" x14ac:dyDescent="0.2">
      <c r="A287" s="26" t="s">
        <v>458</v>
      </c>
      <c r="B287" s="20" t="s">
        <v>262</v>
      </c>
      <c r="C287" s="47" t="s">
        <v>263</v>
      </c>
      <c r="D287" s="20" t="s">
        <v>27</v>
      </c>
      <c r="E287" s="18">
        <v>1</v>
      </c>
      <c r="F287" s="28"/>
      <c r="G287" s="20">
        <f t="shared" si="4"/>
        <v>0</v>
      </c>
      <c r="H287" s="20"/>
    </row>
    <row r="288" spans="1:8" ht="30" customHeight="1" x14ac:dyDescent="0.2">
      <c r="A288" s="26" t="s">
        <v>459</v>
      </c>
      <c r="B288" s="18" t="s">
        <v>389</v>
      </c>
      <c r="C288" s="19" t="s">
        <v>434</v>
      </c>
      <c r="D288" s="18" t="s">
        <v>426</v>
      </c>
      <c r="E288" s="18">
        <v>200</v>
      </c>
      <c r="F288" s="28"/>
      <c r="G288" s="20">
        <f t="shared" ref="G288:G323" si="5">ROUND(E288*F288,2)</f>
        <v>0</v>
      </c>
      <c r="H288" s="20"/>
    </row>
    <row r="289" spans="1:8" ht="30" customHeight="1" x14ac:dyDescent="0.2">
      <c r="A289" s="26" t="s">
        <v>460</v>
      </c>
      <c r="B289" s="18" t="s">
        <v>461</v>
      </c>
      <c r="C289" s="19" t="s">
        <v>303</v>
      </c>
      <c r="D289" s="20" t="s">
        <v>27</v>
      </c>
      <c r="E289" s="18">
        <v>1</v>
      </c>
      <c r="F289" s="28"/>
      <c r="G289" s="20">
        <f t="shared" si="5"/>
        <v>0</v>
      </c>
      <c r="H289" s="20"/>
    </row>
    <row r="290" spans="1:8" ht="30" customHeight="1" x14ac:dyDescent="0.2">
      <c r="A290" s="18" t="s">
        <v>462</v>
      </c>
      <c r="B290" s="18" t="s">
        <v>463</v>
      </c>
      <c r="C290" s="19"/>
      <c r="D290" s="18"/>
      <c r="E290" s="18"/>
      <c r="F290" s="28"/>
      <c r="G290" s="20"/>
      <c r="H290" s="14"/>
    </row>
    <row r="291" spans="1:8" ht="30" customHeight="1" x14ac:dyDescent="0.2">
      <c r="A291" s="18" t="s">
        <v>464</v>
      </c>
      <c r="B291" s="18" t="s">
        <v>465</v>
      </c>
      <c r="C291" s="19"/>
      <c r="D291" s="19"/>
      <c r="E291" s="18"/>
      <c r="F291" s="45"/>
      <c r="G291" s="20"/>
      <c r="H291" s="18"/>
    </row>
    <row r="292" spans="1:8" s="3" customFormat="1" ht="42.95" customHeight="1" x14ac:dyDescent="0.2">
      <c r="A292" s="17" t="s">
        <v>466</v>
      </c>
      <c r="B292" s="18" t="s">
        <v>467</v>
      </c>
      <c r="C292" s="19" t="s">
        <v>468</v>
      </c>
      <c r="D292" s="18" t="s">
        <v>432</v>
      </c>
      <c r="E292" s="18">
        <v>1</v>
      </c>
      <c r="F292" s="28"/>
      <c r="G292" s="20">
        <f t="shared" si="5"/>
        <v>0</v>
      </c>
      <c r="H292" s="18"/>
    </row>
    <row r="293" spans="1:8" s="3" customFormat="1" ht="30" customHeight="1" x14ac:dyDescent="0.2">
      <c r="A293" s="17" t="s">
        <v>469</v>
      </c>
      <c r="B293" s="18" t="s">
        <v>470</v>
      </c>
      <c r="C293" s="19"/>
      <c r="D293" s="18"/>
      <c r="E293" s="18"/>
      <c r="F293" s="28"/>
      <c r="G293" s="20"/>
      <c r="H293" s="14"/>
    </row>
    <row r="294" spans="1:8" s="3" customFormat="1" ht="317.10000000000002" customHeight="1" x14ac:dyDescent="0.2">
      <c r="A294" s="29" t="s">
        <v>24</v>
      </c>
      <c r="B294" s="20" t="s">
        <v>246</v>
      </c>
      <c r="C294" s="21" t="s">
        <v>247</v>
      </c>
      <c r="D294" s="20" t="s">
        <v>248</v>
      </c>
      <c r="E294" s="18">
        <v>2</v>
      </c>
      <c r="F294" s="27"/>
      <c r="G294" s="20">
        <f t="shared" si="5"/>
        <v>0</v>
      </c>
      <c r="H294" s="18"/>
    </row>
    <row r="295" spans="1:8" s="3" customFormat="1" ht="345" customHeight="1" x14ac:dyDescent="0.2">
      <c r="A295" s="29" t="s">
        <v>28</v>
      </c>
      <c r="B295" s="20" t="s">
        <v>249</v>
      </c>
      <c r="C295" s="19" t="s">
        <v>250</v>
      </c>
      <c r="D295" s="20" t="s">
        <v>248</v>
      </c>
      <c r="E295" s="18">
        <v>4</v>
      </c>
      <c r="F295" s="27"/>
      <c r="G295" s="20">
        <f t="shared" si="5"/>
        <v>0</v>
      </c>
      <c r="H295" s="18"/>
    </row>
    <row r="296" spans="1:8" s="3" customFormat="1" ht="92.1" customHeight="1" x14ac:dyDescent="0.2">
      <c r="A296" s="29" t="s">
        <v>40</v>
      </c>
      <c r="B296" s="20" t="s">
        <v>260</v>
      </c>
      <c r="C296" s="21" t="s">
        <v>261</v>
      </c>
      <c r="D296" s="20" t="s">
        <v>248</v>
      </c>
      <c r="E296" s="18">
        <v>2</v>
      </c>
      <c r="F296" s="27"/>
      <c r="G296" s="20">
        <f t="shared" si="5"/>
        <v>0</v>
      </c>
      <c r="H296" s="18"/>
    </row>
    <row r="297" spans="1:8" s="3" customFormat="1" ht="173.1" customHeight="1" x14ac:dyDescent="0.2">
      <c r="A297" s="29" t="s">
        <v>57</v>
      </c>
      <c r="B297" s="20" t="s">
        <v>257</v>
      </c>
      <c r="C297" s="21" t="s">
        <v>471</v>
      </c>
      <c r="D297" s="20" t="s">
        <v>27</v>
      </c>
      <c r="E297" s="18">
        <v>1</v>
      </c>
      <c r="F297" s="27"/>
      <c r="G297" s="20">
        <f t="shared" si="5"/>
        <v>0</v>
      </c>
      <c r="H297" s="18"/>
    </row>
    <row r="298" spans="1:8" s="3" customFormat="1" ht="192.95" customHeight="1" x14ac:dyDescent="0.2">
      <c r="A298" s="29" t="s">
        <v>60</v>
      </c>
      <c r="B298" s="20" t="s">
        <v>251</v>
      </c>
      <c r="C298" s="21" t="s">
        <v>472</v>
      </c>
      <c r="D298" s="20" t="s">
        <v>432</v>
      </c>
      <c r="E298" s="18">
        <v>2</v>
      </c>
      <c r="F298" s="27"/>
      <c r="G298" s="20">
        <f t="shared" si="5"/>
        <v>0</v>
      </c>
      <c r="H298" s="18"/>
    </row>
    <row r="299" spans="1:8" s="3" customFormat="1" ht="272.10000000000002" customHeight="1" x14ac:dyDescent="0.2">
      <c r="A299" s="29" t="s">
        <v>62</v>
      </c>
      <c r="B299" s="20" t="s">
        <v>268</v>
      </c>
      <c r="C299" s="19" t="s">
        <v>473</v>
      </c>
      <c r="D299" s="20" t="s">
        <v>248</v>
      </c>
      <c r="E299" s="18">
        <v>3</v>
      </c>
      <c r="F299" s="27"/>
      <c r="G299" s="20">
        <f t="shared" si="5"/>
        <v>0</v>
      </c>
      <c r="H299" s="18"/>
    </row>
    <row r="300" spans="1:8" s="3" customFormat="1" ht="156.94999999999999" customHeight="1" x14ac:dyDescent="0.2">
      <c r="A300" s="29" t="s">
        <v>132</v>
      </c>
      <c r="B300" s="20" t="s">
        <v>474</v>
      </c>
      <c r="C300" s="21" t="s">
        <v>393</v>
      </c>
      <c r="D300" s="20" t="s">
        <v>27</v>
      </c>
      <c r="E300" s="18">
        <v>3</v>
      </c>
      <c r="F300" s="27"/>
      <c r="G300" s="20">
        <f t="shared" si="5"/>
        <v>0</v>
      </c>
      <c r="H300" s="18"/>
    </row>
    <row r="301" spans="1:8" s="3" customFormat="1" ht="258" customHeight="1" x14ac:dyDescent="0.2">
      <c r="A301" s="29" t="s">
        <v>135</v>
      </c>
      <c r="B301" s="20" t="s">
        <v>475</v>
      </c>
      <c r="C301" s="19" t="s">
        <v>476</v>
      </c>
      <c r="D301" s="20" t="s">
        <v>248</v>
      </c>
      <c r="E301" s="18">
        <v>3</v>
      </c>
      <c r="F301" s="27"/>
      <c r="G301" s="20">
        <f t="shared" si="5"/>
        <v>0</v>
      </c>
      <c r="H301" s="18"/>
    </row>
    <row r="302" spans="1:8" s="3" customFormat="1" ht="246.95" customHeight="1" x14ac:dyDescent="0.2">
      <c r="A302" s="29" t="s">
        <v>272</v>
      </c>
      <c r="B302" s="20" t="s">
        <v>299</v>
      </c>
      <c r="C302" s="19" t="s">
        <v>477</v>
      </c>
      <c r="D302" s="20" t="s">
        <v>259</v>
      </c>
      <c r="E302" s="18">
        <v>2</v>
      </c>
      <c r="F302" s="27"/>
      <c r="G302" s="20">
        <f t="shared" si="5"/>
        <v>0</v>
      </c>
      <c r="H302" s="18"/>
    </row>
    <row r="303" spans="1:8" s="3" customFormat="1" ht="153.94999999999999" customHeight="1" x14ac:dyDescent="0.2">
      <c r="A303" s="29" t="s">
        <v>391</v>
      </c>
      <c r="B303" s="20" t="s">
        <v>297</v>
      </c>
      <c r="C303" s="19" t="s">
        <v>478</v>
      </c>
      <c r="D303" s="18" t="s">
        <v>248</v>
      </c>
      <c r="E303" s="18">
        <v>1</v>
      </c>
      <c r="F303" s="28"/>
      <c r="G303" s="20">
        <f t="shared" si="5"/>
        <v>0</v>
      </c>
      <c r="H303" s="18"/>
    </row>
    <row r="304" spans="1:8" s="3" customFormat="1" ht="62.1" customHeight="1" x14ac:dyDescent="0.2">
      <c r="A304" s="29" t="s">
        <v>395</v>
      </c>
      <c r="B304" s="20" t="s">
        <v>346</v>
      </c>
      <c r="C304" s="19" t="s">
        <v>347</v>
      </c>
      <c r="D304" s="20" t="s">
        <v>248</v>
      </c>
      <c r="E304" s="18">
        <v>1</v>
      </c>
      <c r="F304" s="27"/>
      <c r="G304" s="20">
        <f t="shared" si="5"/>
        <v>0</v>
      </c>
      <c r="H304" s="18"/>
    </row>
    <row r="305" spans="1:8" s="3" customFormat="1" ht="30" customHeight="1" x14ac:dyDescent="0.2">
      <c r="A305" s="29" t="s">
        <v>479</v>
      </c>
      <c r="B305" s="24" t="s">
        <v>455</v>
      </c>
      <c r="C305" s="21" t="s">
        <v>480</v>
      </c>
      <c r="D305" s="20" t="s">
        <v>285</v>
      </c>
      <c r="E305" s="18">
        <v>3</v>
      </c>
      <c r="F305" s="25"/>
      <c r="G305" s="20">
        <f t="shared" si="5"/>
        <v>0</v>
      </c>
      <c r="H305" s="18"/>
    </row>
    <row r="306" spans="1:8" s="3" customFormat="1" ht="339" customHeight="1" x14ac:dyDescent="0.2">
      <c r="A306" s="29" t="s">
        <v>481</v>
      </c>
      <c r="B306" s="24" t="s">
        <v>255</v>
      </c>
      <c r="C306" s="19" t="s">
        <v>256</v>
      </c>
      <c r="D306" s="20" t="s">
        <v>432</v>
      </c>
      <c r="E306" s="18">
        <v>3</v>
      </c>
      <c r="F306" s="25"/>
      <c r="G306" s="20">
        <f t="shared" si="5"/>
        <v>0</v>
      </c>
      <c r="H306" s="18"/>
    </row>
    <row r="307" spans="1:8" s="3" customFormat="1" ht="30" customHeight="1" x14ac:dyDescent="0.2">
      <c r="A307" s="29" t="s">
        <v>482</v>
      </c>
      <c r="B307" s="24" t="s">
        <v>483</v>
      </c>
      <c r="C307" s="48" t="s">
        <v>484</v>
      </c>
      <c r="D307" s="20" t="s">
        <v>426</v>
      </c>
      <c r="E307" s="18">
        <v>600</v>
      </c>
      <c r="F307" s="25"/>
      <c r="G307" s="20">
        <f t="shared" si="5"/>
        <v>0</v>
      </c>
      <c r="H307" s="20" t="s">
        <v>485</v>
      </c>
    </row>
    <row r="308" spans="1:8" s="3" customFormat="1" ht="132" customHeight="1" x14ac:dyDescent="0.2">
      <c r="A308" s="29" t="s">
        <v>486</v>
      </c>
      <c r="B308" s="24" t="s">
        <v>253</v>
      </c>
      <c r="C308" s="19" t="s">
        <v>254</v>
      </c>
      <c r="D308" s="20" t="s">
        <v>248</v>
      </c>
      <c r="E308" s="18">
        <v>3</v>
      </c>
      <c r="F308" s="25"/>
      <c r="G308" s="20">
        <f t="shared" si="5"/>
        <v>0</v>
      </c>
      <c r="H308" s="18"/>
    </row>
    <row r="309" spans="1:8" s="3" customFormat="1" ht="30" customHeight="1" x14ac:dyDescent="0.2">
      <c r="A309" s="29" t="s">
        <v>487</v>
      </c>
      <c r="B309" s="20" t="s">
        <v>488</v>
      </c>
      <c r="C309" s="19" t="s">
        <v>489</v>
      </c>
      <c r="D309" s="20" t="s">
        <v>27</v>
      </c>
      <c r="E309" s="18">
        <v>3</v>
      </c>
      <c r="F309" s="25"/>
      <c r="G309" s="20">
        <f t="shared" si="5"/>
        <v>0</v>
      </c>
      <c r="H309" s="18"/>
    </row>
    <row r="310" spans="1:8" s="3" customFormat="1" ht="30" customHeight="1" x14ac:dyDescent="0.2">
      <c r="A310" s="29" t="s">
        <v>490</v>
      </c>
      <c r="B310" s="20" t="s">
        <v>262</v>
      </c>
      <c r="C310" s="47" t="s">
        <v>263</v>
      </c>
      <c r="D310" s="22" t="s">
        <v>27</v>
      </c>
      <c r="E310" s="18">
        <v>1</v>
      </c>
      <c r="F310" s="28"/>
      <c r="G310" s="20">
        <f t="shared" si="5"/>
        <v>0</v>
      </c>
      <c r="H310" s="18"/>
    </row>
    <row r="311" spans="1:8" s="3" customFormat="1" ht="30" customHeight="1" x14ac:dyDescent="0.2">
      <c r="A311" s="29" t="s">
        <v>491</v>
      </c>
      <c r="B311" s="20" t="s">
        <v>123</v>
      </c>
      <c r="C311" s="19" t="s">
        <v>492</v>
      </c>
      <c r="D311" s="26" t="s">
        <v>27</v>
      </c>
      <c r="E311" s="26">
        <v>1</v>
      </c>
      <c r="F311" s="27"/>
      <c r="G311" s="20">
        <f t="shared" si="5"/>
        <v>0</v>
      </c>
      <c r="H311" s="18"/>
    </row>
    <row r="312" spans="1:8" s="3" customFormat="1" ht="30" customHeight="1" x14ac:dyDescent="0.2">
      <c r="A312" s="29" t="s">
        <v>493</v>
      </c>
      <c r="B312" s="18" t="s">
        <v>494</v>
      </c>
      <c r="C312" s="19" t="s">
        <v>495</v>
      </c>
      <c r="D312" s="26" t="s">
        <v>27</v>
      </c>
      <c r="E312" s="26">
        <v>1</v>
      </c>
      <c r="F312" s="27"/>
      <c r="G312" s="20">
        <f t="shared" si="5"/>
        <v>0</v>
      </c>
      <c r="H312" s="18"/>
    </row>
    <row r="313" spans="1:8" s="3" customFormat="1" ht="77.099999999999994" customHeight="1" x14ac:dyDescent="0.2">
      <c r="A313" s="29" t="s">
        <v>496</v>
      </c>
      <c r="B313" s="20" t="s">
        <v>343</v>
      </c>
      <c r="C313" s="21" t="s">
        <v>344</v>
      </c>
      <c r="D313" s="26" t="s">
        <v>259</v>
      </c>
      <c r="E313" s="26">
        <v>1</v>
      </c>
      <c r="F313" s="37"/>
      <c r="G313" s="20">
        <f t="shared" si="5"/>
        <v>0</v>
      </c>
      <c r="H313" s="20"/>
    </row>
    <row r="314" spans="1:8" s="3" customFormat="1" ht="30" customHeight="1" x14ac:dyDescent="0.2">
      <c r="A314" s="29" t="s">
        <v>497</v>
      </c>
      <c r="B314" s="18" t="s">
        <v>389</v>
      </c>
      <c r="C314" s="19" t="s">
        <v>434</v>
      </c>
      <c r="D314" s="18" t="s">
        <v>426</v>
      </c>
      <c r="E314" s="26">
        <v>600</v>
      </c>
      <c r="F314" s="27"/>
      <c r="G314" s="20">
        <f t="shared" si="5"/>
        <v>0</v>
      </c>
      <c r="H314" s="20" t="s">
        <v>485</v>
      </c>
    </row>
    <row r="315" spans="1:8" s="3" customFormat="1" ht="30" customHeight="1" x14ac:dyDescent="0.2">
      <c r="A315" s="18" t="s">
        <v>498</v>
      </c>
      <c r="B315" s="18" t="s">
        <v>499</v>
      </c>
      <c r="C315" s="19"/>
      <c r="D315" s="19"/>
      <c r="E315" s="18"/>
      <c r="F315" s="45"/>
      <c r="G315" s="20"/>
      <c r="H315" s="18"/>
    </row>
    <row r="316" spans="1:8" s="3" customFormat="1" ht="44.1" customHeight="1" x14ac:dyDescent="0.2">
      <c r="A316" s="17" t="s">
        <v>466</v>
      </c>
      <c r="B316" s="18" t="s">
        <v>467</v>
      </c>
      <c r="C316" s="19" t="s">
        <v>468</v>
      </c>
      <c r="D316" s="18" t="s">
        <v>432</v>
      </c>
      <c r="E316" s="18">
        <v>1</v>
      </c>
      <c r="F316" s="28"/>
      <c r="G316" s="20">
        <f t="shared" si="5"/>
        <v>0</v>
      </c>
      <c r="H316" s="14"/>
    </row>
    <row r="317" spans="1:8" s="3" customFormat="1" ht="30" customHeight="1" x14ac:dyDescent="0.2">
      <c r="A317" s="17" t="s">
        <v>469</v>
      </c>
      <c r="B317" s="18" t="s">
        <v>470</v>
      </c>
      <c r="C317" s="19"/>
      <c r="D317" s="18"/>
      <c r="E317" s="18"/>
      <c r="F317" s="28"/>
      <c r="G317" s="20"/>
      <c r="H317" s="14"/>
    </row>
    <row r="318" spans="1:8" s="3" customFormat="1" ht="312" customHeight="1" x14ac:dyDescent="0.2">
      <c r="A318" s="29" t="s">
        <v>24</v>
      </c>
      <c r="B318" s="24" t="s">
        <v>246</v>
      </c>
      <c r="C318" s="21" t="s">
        <v>247</v>
      </c>
      <c r="D318" s="20" t="s">
        <v>248</v>
      </c>
      <c r="E318" s="18">
        <v>2</v>
      </c>
      <c r="F318" s="25"/>
      <c r="G318" s="20">
        <f t="shared" si="5"/>
        <v>0</v>
      </c>
      <c r="H318" s="18"/>
    </row>
    <row r="319" spans="1:8" s="3" customFormat="1" ht="347.1" customHeight="1" x14ac:dyDescent="0.2">
      <c r="A319" s="29" t="s">
        <v>28</v>
      </c>
      <c r="B319" s="24" t="s">
        <v>249</v>
      </c>
      <c r="C319" s="19" t="s">
        <v>250</v>
      </c>
      <c r="D319" s="20" t="s">
        <v>248</v>
      </c>
      <c r="E319" s="18">
        <v>4</v>
      </c>
      <c r="F319" s="25"/>
      <c r="G319" s="20">
        <f t="shared" si="5"/>
        <v>0</v>
      </c>
      <c r="H319" s="18"/>
    </row>
    <row r="320" spans="1:8" s="3" customFormat="1" ht="89.1" customHeight="1" x14ac:dyDescent="0.2">
      <c r="A320" s="29" t="s">
        <v>40</v>
      </c>
      <c r="B320" s="24" t="s">
        <v>260</v>
      </c>
      <c r="C320" s="21" t="s">
        <v>261</v>
      </c>
      <c r="D320" s="20" t="s">
        <v>248</v>
      </c>
      <c r="E320" s="18">
        <v>2</v>
      </c>
      <c r="F320" s="25"/>
      <c r="G320" s="20">
        <f t="shared" si="5"/>
        <v>0</v>
      </c>
      <c r="H320" s="18"/>
    </row>
    <row r="321" spans="1:9" s="3" customFormat="1" ht="177.95" customHeight="1" x14ac:dyDescent="0.2">
      <c r="A321" s="29" t="s">
        <v>57</v>
      </c>
      <c r="B321" s="24" t="s">
        <v>257</v>
      </c>
      <c r="C321" s="21" t="s">
        <v>258</v>
      </c>
      <c r="D321" s="20" t="s">
        <v>27</v>
      </c>
      <c r="E321" s="18">
        <v>1</v>
      </c>
      <c r="F321" s="25"/>
      <c r="G321" s="20">
        <f t="shared" si="5"/>
        <v>0</v>
      </c>
      <c r="H321" s="18"/>
    </row>
    <row r="322" spans="1:9" s="3" customFormat="1" ht="203.1" customHeight="1" x14ac:dyDescent="0.2">
      <c r="A322" s="29" t="s">
        <v>60</v>
      </c>
      <c r="B322" s="24" t="s">
        <v>251</v>
      </c>
      <c r="C322" s="21" t="s">
        <v>252</v>
      </c>
      <c r="D322" s="20" t="s">
        <v>432</v>
      </c>
      <c r="E322" s="18">
        <v>2</v>
      </c>
      <c r="F322" s="25"/>
      <c r="G322" s="20">
        <f t="shared" si="5"/>
        <v>0</v>
      </c>
      <c r="H322" s="18"/>
    </row>
    <row r="323" spans="1:9" s="3" customFormat="1" ht="276.95" customHeight="1" x14ac:dyDescent="0.2">
      <c r="A323" s="29" t="s">
        <v>62</v>
      </c>
      <c r="B323" s="24" t="s">
        <v>268</v>
      </c>
      <c r="C323" s="19" t="s">
        <v>269</v>
      </c>
      <c r="D323" s="20" t="s">
        <v>248</v>
      </c>
      <c r="E323" s="18">
        <v>3</v>
      </c>
      <c r="F323" s="25"/>
      <c r="G323" s="20">
        <f t="shared" si="5"/>
        <v>0</v>
      </c>
      <c r="H323" s="18"/>
    </row>
    <row r="324" spans="1:9" s="3" customFormat="1" ht="153" customHeight="1" x14ac:dyDescent="0.2">
      <c r="A324" s="29" t="s">
        <v>132</v>
      </c>
      <c r="B324" s="20" t="s">
        <v>474</v>
      </c>
      <c r="C324" s="21" t="s">
        <v>393</v>
      </c>
      <c r="D324" s="20" t="s">
        <v>27</v>
      </c>
      <c r="E324" s="18">
        <v>3</v>
      </c>
      <c r="F324" s="27"/>
      <c r="G324" s="20">
        <f t="shared" ref="G324:G366" si="6">ROUND(E324*F324,2)</f>
        <v>0</v>
      </c>
      <c r="H324" s="35"/>
      <c r="I324" s="42"/>
    </row>
    <row r="325" spans="1:9" s="3" customFormat="1" ht="249" customHeight="1" x14ac:dyDescent="0.2">
      <c r="A325" s="29" t="s">
        <v>135</v>
      </c>
      <c r="B325" s="20" t="s">
        <v>475</v>
      </c>
      <c r="C325" s="19" t="s">
        <v>476</v>
      </c>
      <c r="D325" s="20" t="s">
        <v>248</v>
      </c>
      <c r="E325" s="18">
        <v>3</v>
      </c>
      <c r="F325" s="27"/>
      <c r="G325" s="20">
        <f t="shared" si="6"/>
        <v>0</v>
      </c>
      <c r="H325" s="35"/>
      <c r="I325" s="42"/>
    </row>
    <row r="326" spans="1:9" s="3" customFormat="1" ht="240" customHeight="1" x14ac:dyDescent="0.2">
      <c r="A326" s="29" t="s">
        <v>272</v>
      </c>
      <c r="B326" s="24" t="s">
        <v>299</v>
      </c>
      <c r="C326" s="19" t="s">
        <v>300</v>
      </c>
      <c r="D326" s="20" t="s">
        <v>259</v>
      </c>
      <c r="E326" s="18">
        <v>2</v>
      </c>
      <c r="F326" s="25"/>
      <c r="G326" s="20">
        <f t="shared" si="6"/>
        <v>0</v>
      </c>
      <c r="H326" s="18"/>
    </row>
    <row r="327" spans="1:9" s="3" customFormat="1" ht="158.1" customHeight="1" x14ac:dyDescent="0.2">
      <c r="A327" s="29" t="s">
        <v>391</v>
      </c>
      <c r="B327" s="20" t="s">
        <v>297</v>
      </c>
      <c r="C327" s="19" t="s">
        <v>298</v>
      </c>
      <c r="D327" s="18" t="s">
        <v>248</v>
      </c>
      <c r="E327" s="18">
        <v>1</v>
      </c>
      <c r="F327" s="28"/>
      <c r="G327" s="20">
        <f t="shared" si="6"/>
        <v>0</v>
      </c>
      <c r="H327" s="18"/>
    </row>
    <row r="328" spans="1:9" s="3" customFormat="1" ht="57" customHeight="1" x14ac:dyDescent="0.2">
      <c r="A328" s="29" t="s">
        <v>395</v>
      </c>
      <c r="B328" s="24" t="s">
        <v>346</v>
      </c>
      <c r="C328" s="19" t="s">
        <v>347</v>
      </c>
      <c r="D328" s="20" t="s">
        <v>248</v>
      </c>
      <c r="E328" s="18">
        <v>1</v>
      </c>
      <c r="F328" s="25"/>
      <c r="G328" s="20">
        <f t="shared" si="6"/>
        <v>0</v>
      </c>
      <c r="H328" s="18"/>
    </row>
    <row r="329" spans="1:9" s="3" customFormat="1" ht="30" customHeight="1" x14ac:dyDescent="0.2">
      <c r="A329" s="29" t="s">
        <v>479</v>
      </c>
      <c r="B329" s="24" t="s">
        <v>455</v>
      </c>
      <c r="C329" s="21" t="s">
        <v>480</v>
      </c>
      <c r="D329" s="20" t="s">
        <v>285</v>
      </c>
      <c r="E329" s="18">
        <v>4</v>
      </c>
      <c r="F329" s="25"/>
      <c r="G329" s="20">
        <f t="shared" si="6"/>
        <v>0</v>
      </c>
      <c r="H329" s="18" t="s">
        <v>500</v>
      </c>
    </row>
    <row r="330" spans="1:9" s="3" customFormat="1" ht="338.1" customHeight="1" x14ac:dyDescent="0.2">
      <c r="A330" s="29" t="s">
        <v>481</v>
      </c>
      <c r="B330" s="24" t="s">
        <v>255</v>
      </c>
      <c r="C330" s="19" t="s">
        <v>256</v>
      </c>
      <c r="D330" s="20" t="s">
        <v>432</v>
      </c>
      <c r="E330" s="18">
        <v>4</v>
      </c>
      <c r="F330" s="25"/>
      <c r="G330" s="20">
        <f t="shared" si="6"/>
        <v>0</v>
      </c>
      <c r="H330" s="18"/>
    </row>
    <row r="331" spans="1:9" s="3" customFormat="1" ht="30" customHeight="1" x14ac:dyDescent="0.2">
      <c r="A331" s="29" t="s">
        <v>482</v>
      </c>
      <c r="B331" s="24" t="s">
        <v>483</v>
      </c>
      <c r="C331" s="48" t="s">
        <v>484</v>
      </c>
      <c r="D331" s="20" t="s">
        <v>426</v>
      </c>
      <c r="E331" s="18">
        <v>600</v>
      </c>
      <c r="F331" s="25"/>
      <c r="G331" s="20">
        <f t="shared" si="6"/>
        <v>0</v>
      </c>
      <c r="H331" s="18"/>
    </row>
    <row r="332" spans="1:9" s="3" customFormat="1" ht="129" customHeight="1" x14ac:dyDescent="0.2">
      <c r="A332" s="29" t="s">
        <v>486</v>
      </c>
      <c r="B332" s="24" t="s">
        <v>253</v>
      </c>
      <c r="C332" s="19" t="s">
        <v>254</v>
      </c>
      <c r="D332" s="20" t="s">
        <v>248</v>
      </c>
      <c r="E332" s="18">
        <v>4</v>
      </c>
      <c r="F332" s="25"/>
      <c r="G332" s="20">
        <f t="shared" si="6"/>
        <v>0</v>
      </c>
      <c r="H332" s="18"/>
    </row>
    <row r="333" spans="1:9" s="3" customFormat="1" ht="30" customHeight="1" x14ac:dyDescent="0.2">
      <c r="A333" s="29" t="s">
        <v>487</v>
      </c>
      <c r="B333" s="20" t="s">
        <v>488</v>
      </c>
      <c r="C333" s="19" t="s">
        <v>489</v>
      </c>
      <c r="D333" s="20" t="s">
        <v>27</v>
      </c>
      <c r="E333" s="18">
        <v>4</v>
      </c>
      <c r="F333" s="25"/>
      <c r="G333" s="20">
        <f t="shared" si="6"/>
        <v>0</v>
      </c>
      <c r="H333" s="18"/>
    </row>
    <row r="334" spans="1:9" s="3" customFormat="1" ht="30" customHeight="1" x14ac:dyDescent="0.2">
      <c r="A334" s="29" t="s">
        <v>490</v>
      </c>
      <c r="B334" s="20" t="s">
        <v>262</v>
      </c>
      <c r="C334" s="47" t="s">
        <v>263</v>
      </c>
      <c r="D334" s="22" t="s">
        <v>27</v>
      </c>
      <c r="E334" s="18">
        <v>1</v>
      </c>
      <c r="F334" s="28"/>
      <c r="G334" s="20">
        <f t="shared" si="6"/>
        <v>0</v>
      </c>
      <c r="H334" s="18"/>
    </row>
    <row r="335" spans="1:9" s="3" customFormat="1" ht="30" customHeight="1" x14ac:dyDescent="0.2">
      <c r="A335" s="29" t="s">
        <v>491</v>
      </c>
      <c r="B335" s="20" t="s">
        <v>123</v>
      </c>
      <c r="C335" s="19" t="s">
        <v>492</v>
      </c>
      <c r="D335" s="26" t="s">
        <v>27</v>
      </c>
      <c r="E335" s="26">
        <v>1</v>
      </c>
      <c r="F335" s="27"/>
      <c r="G335" s="20">
        <f t="shared" si="6"/>
        <v>0</v>
      </c>
      <c r="H335" s="18"/>
    </row>
    <row r="336" spans="1:9" s="3" customFormat="1" ht="30" customHeight="1" x14ac:dyDescent="0.2">
      <c r="A336" s="29" t="s">
        <v>493</v>
      </c>
      <c r="B336" s="18" t="s">
        <v>494</v>
      </c>
      <c r="C336" s="19" t="s">
        <v>495</v>
      </c>
      <c r="D336" s="26" t="s">
        <v>27</v>
      </c>
      <c r="E336" s="26">
        <v>1</v>
      </c>
      <c r="F336" s="27"/>
      <c r="G336" s="20">
        <f t="shared" si="6"/>
        <v>0</v>
      </c>
      <c r="H336" s="18"/>
    </row>
    <row r="337" spans="1:1023 1029:2045 2051:2570" s="6" customFormat="1" ht="78" customHeight="1" x14ac:dyDescent="0.2">
      <c r="A337" s="29" t="s">
        <v>496</v>
      </c>
      <c r="B337" s="20" t="s">
        <v>343</v>
      </c>
      <c r="C337" s="21" t="s">
        <v>344</v>
      </c>
      <c r="D337" s="26" t="s">
        <v>259</v>
      </c>
      <c r="E337" s="26">
        <v>1</v>
      </c>
      <c r="F337" s="37"/>
      <c r="G337" s="20">
        <f t="shared" si="6"/>
        <v>0</v>
      </c>
      <c r="H337" s="20"/>
      <c r="N337" s="49"/>
      <c r="O337" s="44"/>
      <c r="U337" s="49"/>
      <c r="V337" s="44"/>
      <c r="AB337" s="49"/>
      <c r="AC337" s="44"/>
      <c r="AI337" s="49"/>
      <c r="AJ337" s="44"/>
      <c r="AP337" s="49"/>
      <c r="AQ337" s="44"/>
      <c r="AW337" s="49"/>
      <c r="AX337" s="44"/>
      <c r="BD337" s="49"/>
      <c r="BE337" s="44"/>
      <c r="BK337" s="49"/>
      <c r="BL337" s="44"/>
      <c r="BR337" s="49"/>
      <c r="BS337" s="44"/>
      <c r="BY337" s="49"/>
      <c r="BZ337" s="44"/>
      <c r="CF337" s="49"/>
      <c r="CG337" s="44"/>
      <c r="CM337" s="49"/>
      <c r="CN337" s="44"/>
      <c r="CT337" s="49"/>
      <c r="CU337" s="44"/>
      <c r="DA337" s="49"/>
      <c r="DB337" s="44"/>
      <c r="DH337" s="49"/>
      <c r="DI337" s="44"/>
      <c r="DO337" s="49"/>
      <c r="DP337" s="44"/>
      <c r="DV337" s="49"/>
      <c r="DW337" s="44"/>
      <c r="EC337" s="49"/>
      <c r="ED337" s="44"/>
      <c r="EJ337" s="49"/>
      <c r="EK337" s="44"/>
      <c r="EQ337" s="49"/>
      <c r="ER337" s="44"/>
      <c r="EX337" s="49"/>
      <c r="EY337" s="44"/>
      <c r="FE337" s="49"/>
      <c r="FF337" s="44"/>
      <c r="FL337" s="49"/>
      <c r="FM337" s="44"/>
      <c r="FS337" s="49"/>
      <c r="FT337" s="44"/>
      <c r="FZ337" s="49"/>
      <c r="GA337" s="44"/>
      <c r="GG337" s="49"/>
      <c r="GH337" s="44"/>
      <c r="GN337" s="49"/>
      <c r="GO337" s="44"/>
      <c r="GU337" s="49"/>
      <c r="GV337" s="44"/>
      <c r="HB337" s="49"/>
      <c r="HC337" s="44"/>
      <c r="HI337" s="49"/>
      <c r="HJ337" s="44"/>
      <c r="HP337" s="49"/>
      <c r="HQ337" s="44"/>
      <c r="HW337" s="49"/>
      <c r="HX337" s="44"/>
      <c r="ID337" s="49"/>
      <c r="IE337" s="44"/>
      <c r="IK337" s="49"/>
      <c r="IL337" s="44"/>
      <c r="IR337" s="49"/>
      <c r="IS337" s="44"/>
      <c r="IY337" s="49"/>
      <c r="IZ337" s="44"/>
      <c r="JF337" s="49"/>
      <c r="JG337" s="44"/>
      <c r="JM337" s="49"/>
      <c r="JN337" s="44"/>
      <c r="JT337" s="49"/>
      <c r="JU337" s="44"/>
      <c r="KA337" s="49"/>
      <c r="KB337" s="44"/>
      <c r="KH337" s="49"/>
      <c r="KI337" s="44"/>
      <c r="KO337" s="49"/>
      <c r="KP337" s="44"/>
      <c r="KV337" s="49"/>
      <c r="KW337" s="44"/>
      <c r="LC337" s="49"/>
      <c r="LD337" s="44"/>
      <c r="LJ337" s="49"/>
      <c r="LK337" s="44"/>
      <c r="LQ337" s="49"/>
      <c r="LR337" s="44"/>
      <c r="LX337" s="49"/>
      <c r="LY337" s="44"/>
      <c r="ME337" s="49"/>
      <c r="MF337" s="44"/>
      <c r="ML337" s="49"/>
      <c r="MM337" s="44"/>
      <c r="MS337" s="49"/>
      <c r="MT337" s="44"/>
      <c r="MZ337" s="49"/>
      <c r="NA337" s="44"/>
      <c r="NG337" s="49"/>
      <c r="NH337" s="44"/>
      <c r="NN337" s="49"/>
      <c r="NO337" s="44"/>
      <c r="NU337" s="49"/>
      <c r="NV337" s="44"/>
      <c r="OB337" s="49"/>
      <c r="OC337" s="44"/>
      <c r="OI337" s="49"/>
      <c r="OJ337" s="44"/>
      <c r="OP337" s="49"/>
      <c r="OQ337" s="44"/>
      <c r="OW337" s="49"/>
      <c r="OX337" s="44"/>
      <c r="PD337" s="49"/>
      <c r="PE337" s="44"/>
      <c r="PK337" s="49"/>
      <c r="PL337" s="44"/>
      <c r="PR337" s="49"/>
      <c r="PS337" s="44"/>
      <c r="PY337" s="49"/>
      <c r="PZ337" s="44"/>
      <c r="QF337" s="49"/>
      <c r="QG337" s="44"/>
      <c r="QM337" s="49"/>
      <c r="QN337" s="44"/>
      <c r="QT337" s="49"/>
      <c r="QU337" s="44"/>
      <c r="RA337" s="49"/>
      <c r="RB337" s="44"/>
      <c r="RH337" s="49"/>
      <c r="RI337" s="44"/>
      <c r="RO337" s="49"/>
      <c r="RP337" s="44"/>
      <c r="RV337" s="49"/>
      <c r="RW337" s="44"/>
      <c r="SC337" s="49"/>
      <c r="SD337" s="44"/>
      <c r="SJ337" s="49"/>
      <c r="SK337" s="44"/>
      <c r="SQ337" s="49"/>
      <c r="SR337" s="44"/>
      <c r="SX337" s="49"/>
      <c r="SY337" s="44"/>
      <c r="TE337" s="49"/>
      <c r="TF337" s="44"/>
      <c r="TL337" s="49"/>
      <c r="TM337" s="44"/>
      <c r="TS337" s="49"/>
      <c r="TT337" s="44"/>
      <c r="TZ337" s="49"/>
      <c r="UA337" s="44"/>
      <c r="UG337" s="49"/>
      <c r="UH337" s="44"/>
      <c r="UN337" s="49"/>
      <c r="UO337" s="44"/>
      <c r="UU337" s="49"/>
      <c r="UV337" s="44"/>
      <c r="VB337" s="49"/>
      <c r="VC337" s="44"/>
      <c r="VI337" s="49"/>
      <c r="VJ337" s="44"/>
      <c r="VP337" s="49"/>
      <c r="VQ337" s="44"/>
      <c r="VW337" s="49"/>
      <c r="VX337" s="44"/>
      <c r="WD337" s="49"/>
      <c r="WE337" s="44"/>
      <c r="WK337" s="49"/>
      <c r="WL337" s="44"/>
      <c r="WR337" s="49"/>
      <c r="WS337" s="44"/>
      <c r="WY337" s="49"/>
      <c r="WZ337" s="44"/>
      <c r="XF337" s="49"/>
      <c r="XG337" s="44"/>
      <c r="XM337" s="49"/>
      <c r="XN337" s="44"/>
      <c r="XT337" s="49"/>
      <c r="XU337" s="44"/>
      <c r="YA337" s="49"/>
      <c r="YB337" s="44"/>
      <c r="YH337" s="49"/>
      <c r="YI337" s="44"/>
      <c r="YO337" s="49"/>
      <c r="YP337" s="44"/>
      <c r="YV337" s="49"/>
      <c r="YW337" s="44"/>
      <c r="ZC337" s="49"/>
      <c r="ZD337" s="44"/>
      <c r="ZJ337" s="49"/>
      <c r="ZK337" s="44"/>
      <c r="ZQ337" s="49"/>
      <c r="ZR337" s="44"/>
      <c r="ZX337" s="49"/>
      <c r="ZY337" s="44"/>
      <c r="AAE337" s="49"/>
      <c r="AAF337" s="44"/>
      <c r="AAL337" s="49"/>
      <c r="AAM337" s="44"/>
      <c r="AAS337" s="49"/>
      <c r="AAT337" s="44"/>
      <c r="AAZ337" s="49"/>
      <c r="ABA337" s="44"/>
      <c r="ABG337" s="49"/>
      <c r="ABH337" s="44"/>
      <c r="ABN337" s="49"/>
      <c r="ABO337" s="44"/>
      <c r="ABU337" s="49"/>
      <c r="ABV337" s="44"/>
      <c r="ACB337" s="49"/>
      <c r="ACC337" s="44"/>
      <c r="ACI337" s="49"/>
      <c r="ACJ337" s="44"/>
      <c r="ACP337" s="49"/>
      <c r="ACQ337" s="44"/>
      <c r="ACW337" s="49"/>
      <c r="ACX337" s="44"/>
      <c r="ADD337" s="49"/>
      <c r="ADE337" s="44"/>
      <c r="ADK337" s="49"/>
      <c r="ADL337" s="44"/>
      <c r="ADR337" s="49"/>
      <c r="ADS337" s="44"/>
      <c r="ADY337" s="49"/>
      <c r="ADZ337" s="44"/>
      <c r="AEF337" s="49"/>
      <c r="AEG337" s="44"/>
      <c r="AEM337" s="49"/>
      <c r="AEN337" s="44"/>
      <c r="AET337" s="49"/>
      <c r="AEU337" s="44"/>
      <c r="AFA337" s="49"/>
      <c r="AFB337" s="44"/>
      <c r="AFH337" s="49"/>
      <c r="AFI337" s="44"/>
      <c r="AFO337" s="49"/>
      <c r="AFP337" s="44"/>
      <c r="AFV337" s="49"/>
      <c r="AFW337" s="44"/>
      <c r="AGC337" s="49"/>
      <c r="AGD337" s="44"/>
      <c r="AGJ337" s="49"/>
      <c r="AGK337" s="44"/>
      <c r="AGQ337" s="49"/>
      <c r="AGR337" s="44"/>
      <c r="AGX337" s="49"/>
      <c r="AGY337" s="44"/>
      <c r="AHE337" s="49"/>
      <c r="AHF337" s="44"/>
      <c r="AHL337" s="49"/>
      <c r="AHM337" s="44"/>
      <c r="AHS337" s="49"/>
      <c r="AHT337" s="44"/>
      <c r="AHZ337" s="49"/>
      <c r="AIA337" s="44"/>
      <c r="AIG337" s="49"/>
      <c r="AIH337" s="44"/>
      <c r="AIN337" s="49"/>
      <c r="AIO337" s="44"/>
      <c r="AIU337" s="49"/>
      <c r="AIV337" s="44"/>
      <c r="AJB337" s="49"/>
      <c r="AJC337" s="44"/>
      <c r="AJI337" s="49"/>
      <c r="AJJ337" s="44"/>
      <c r="AJP337" s="49"/>
      <c r="AJQ337" s="44"/>
      <c r="AJW337" s="49"/>
      <c r="AJX337" s="44"/>
      <c r="AKD337" s="49"/>
      <c r="AKE337" s="44"/>
      <c r="AKK337" s="49"/>
      <c r="AKL337" s="44"/>
      <c r="AKR337" s="49"/>
      <c r="AKS337" s="44"/>
      <c r="AKY337" s="49"/>
      <c r="AKZ337" s="44"/>
      <c r="ALF337" s="49"/>
      <c r="ALG337" s="44"/>
      <c r="ALM337" s="49"/>
      <c r="ALN337" s="44"/>
      <c r="ALT337" s="49"/>
      <c r="ALU337" s="44"/>
      <c r="AMA337" s="49"/>
      <c r="AMB337" s="44"/>
      <c r="AMH337" s="49"/>
      <c r="AMI337" s="44"/>
      <c r="AMO337" s="49"/>
      <c r="AMP337" s="44"/>
      <c r="AMV337" s="49"/>
      <c r="AMW337" s="44"/>
      <c r="ANC337" s="49"/>
      <c r="AND337" s="44"/>
      <c r="ANJ337" s="49"/>
      <c r="ANK337" s="44"/>
      <c r="ANQ337" s="49"/>
      <c r="ANR337" s="44"/>
      <c r="ANX337" s="49"/>
      <c r="ANY337" s="44"/>
      <c r="AOE337" s="49"/>
      <c r="AOF337" s="44"/>
      <c r="AOL337" s="49"/>
      <c r="AOM337" s="44"/>
      <c r="AOS337" s="49"/>
      <c r="AOT337" s="44"/>
      <c r="AOZ337" s="49"/>
      <c r="APA337" s="44"/>
      <c r="APG337" s="49"/>
      <c r="APH337" s="44"/>
      <c r="APN337" s="49"/>
      <c r="APO337" s="44"/>
      <c r="APU337" s="49"/>
      <c r="APV337" s="44"/>
      <c r="AQB337" s="49"/>
      <c r="AQC337" s="44"/>
      <c r="AQI337" s="49"/>
      <c r="AQJ337" s="44"/>
      <c r="AQP337" s="49"/>
      <c r="AQQ337" s="44"/>
      <c r="AQW337" s="49"/>
      <c r="AQX337" s="44"/>
      <c r="ARD337" s="49"/>
      <c r="ARE337" s="44"/>
      <c r="ARK337" s="49"/>
      <c r="ARL337" s="44"/>
      <c r="ARR337" s="49"/>
      <c r="ARS337" s="44"/>
      <c r="ARY337" s="49"/>
      <c r="ARZ337" s="44"/>
      <c r="ASF337" s="49"/>
      <c r="ASG337" s="44"/>
      <c r="ASM337" s="49"/>
      <c r="ASN337" s="44"/>
      <c r="AST337" s="49"/>
      <c r="ASU337" s="44"/>
      <c r="ATA337" s="49"/>
      <c r="ATB337" s="44"/>
      <c r="ATH337" s="49"/>
      <c r="ATI337" s="44"/>
      <c r="ATO337" s="49"/>
      <c r="ATP337" s="44"/>
      <c r="ATV337" s="49"/>
      <c r="ATW337" s="44"/>
      <c r="AUC337" s="49"/>
      <c r="AUD337" s="44"/>
      <c r="AUJ337" s="49"/>
      <c r="AUK337" s="44"/>
      <c r="AUQ337" s="49"/>
      <c r="AUR337" s="44"/>
      <c r="AUX337" s="49"/>
      <c r="AUY337" s="44"/>
      <c r="AVE337" s="49"/>
      <c r="AVF337" s="44"/>
      <c r="AVL337" s="49"/>
      <c r="AVM337" s="44"/>
      <c r="AVS337" s="49"/>
      <c r="AVT337" s="44"/>
      <c r="AVZ337" s="49"/>
      <c r="AWA337" s="44"/>
      <c r="AWG337" s="49"/>
      <c r="AWH337" s="44"/>
      <c r="AWN337" s="49"/>
      <c r="AWO337" s="44"/>
      <c r="AWU337" s="49"/>
      <c r="AWV337" s="44"/>
      <c r="AXB337" s="49"/>
      <c r="AXC337" s="44"/>
      <c r="AXI337" s="49"/>
      <c r="AXJ337" s="44"/>
      <c r="AXP337" s="49"/>
      <c r="AXQ337" s="44"/>
      <c r="AXW337" s="49"/>
      <c r="AXX337" s="44"/>
      <c r="AYD337" s="49"/>
      <c r="AYE337" s="44"/>
      <c r="AYK337" s="49"/>
      <c r="AYL337" s="44"/>
      <c r="AYR337" s="49"/>
      <c r="AYS337" s="44"/>
      <c r="AYY337" s="49"/>
      <c r="AYZ337" s="44"/>
      <c r="AZF337" s="49"/>
      <c r="AZG337" s="44"/>
      <c r="AZM337" s="49"/>
      <c r="AZN337" s="44"/>
      <c r="AZT337" s="49"/>
      <c r="AZU337" s="44"/>
      <c r="BAA337" s="49"/>
      <c r="BAB337" s="44"/>
      <c r="BAH337" s="49"/>
      <c r="BAI337" s="44"/>
      <c r="BAO337" s="49"/>
      <c r="BAP337" s="44"/>
      <c r="BAV337" s="49"/>
      <c r="BAW337" s="44"/>
      <c r="BBC337" s="49"/>
      <c r="BBD337" s="44"/>
      <c r="BBJ337" s="49"/>
      <c r="BBK337" s="44"/>
      <c r="BBQ337" s="49"/>
      <c r="BBR337" s="44"/>
      <c r="BBX337" s="49"/>
      <c r="BBY337" s="44"/>
      <c r="BCE337" s="49"/>
      <c r="BCF337" s="44"/>
      <c r="BCL337" s="49"/>
      <c r="BCM337" s="44"/>
      <c r="BCS337" s="49"/>
      <c r="BCT337" s="44"/>
      <c r="BCZ337" s="49"/>
      <c r="BDA337" s="44"/>
      <c r="BDG337" s="49"/>
      <c r="BDH337" s="44"/>
      <c r="BDN337" s="49"/>
      <c r="BDO337" s="44"/>
      <c r="BDU337" s="49"/>
      <c r="BDV337" s="44"/>
      <c r="BEB337" s="49"/>
      <c r="BEC337" s="44"/>
      <c r="BEI337" s="49"/>
      <c r="BEJ337" s="44"/>
      <c r="BEP337" s="49"/>
      <c r="BEQ337" s="44"/>
      <c r="BEW337" s="49"/>
      <c r="BEX337" s="44"/>
      <c r="BFD337" s="49"/>
      <c r="BFE337" s="44"/>
      <c r="BFK337" s="49"/>
      <c r="BFL337" s="44"/>
      <c r="BFR337" s="49"/>
      <c r="BFS337" s="44"/>
      <c r="BFY337" s="49"/>
      <c r="BFZ337" s="44"/>
      <c r="BGF337" s="49"/>
      <c r="BGG337" s="44"/>
      <c r="BGM337" s="49"/>
      <c r="BGN337" s="44"/>
      <c r="BGT337" s="49"/>
      <c r="BGU337" s="44"/>
      <c r="BHA337" s="49"/>
      <c r="BHB337" s="44"/>
      <c r="BHH337" s="49"/>
      <c r="BHI337" s="44"/>
      <c r="BHO337" s="49"/>
      <c r="BHP337" s="44"/>
      <c r="BHV337" s="49"/>
      <c r="BHW337" s="44"/>
      <c r="BIC337" s="49"/>
      <c r="BID337" s="44"/>
      <c r="BIJ337" s="49"/>
      <c r="BIK337" s="44"/>
      <c r="BIQ337" s="49"/>
      <c r="BIR337" s="44"/>
      <c r="BIX337" s="49"/>
      <c r="BIY337" s="44"/>
      <c r="BJE337" s="49"/>
      <c r="BJF337" s="44"/>
      <c r="BJL337" s="49"/>
      <c r="BJM337" s="44"/>
      <c r="BJS337" s="49"/>
      <c r="BJT337" s="44"/>
      <c r="BJZ337" s="49"/>
      <c r="BKA337" s="44"/>
      <c r="BKG337" s="49"/>
      <c r="BKH337" s="44"/>
      <c r="BKN337" s="49"/>
      <c r="BKO337" s="44"/>
      <c r="BKU337" s="49"/>
      <c r="BKV337" s="44"/>
      <c r="BLB337" s="49"/>
      <c r="BLC337" s="44"/>
      <c r="BLI337" s="49"/>
      <c r="BLJ337" s="44"/>
      <c r="BLP337" s="49"/>
      <c r="BLQ337" s="44"/>
      <c r="BLW337" s="49"/>
      <c r="BLX337" s="44"/>
      <c r="BMD337" s="49"/>
      <c r="BME337" s="44"/>
      <c r="BMK337" s="49"/>
      <c r="BML337" s="44"/>
      <c r="BMR337" s="49"/>
      <c r="BMS337" s="44"/>
      <c r="BMY337" s="49"/>
      <c r="BMZ337" s="44"/>
      <c r="BNF337" s="49"/>
      <c r="BNG337" s="44"/>
      <c r="BNM337" s="49"/>
      <c r="BNN337" s="44"/>
      <c r="BNT337" s="49"/>
      <c r="BNU337" s="44"/>
      <c r="BOA337" s="49"/>
      <c r="BOB337" s="44"/>
      <c r="BOH337" s="49"/>
      <c r="BOI337" s="44"/>
      <c r="BOO337" s="49"/>
      <c r="BOP337" s="44"/>
      <c r="BOV337" s="49"/>
      <c r="BOW337" s="44"/>
      <c r="BPC337" s="49"/>
      <c r="BPD337" s="44"/>
      <c r="BPJ337" s="49"/>
      <c r="BPK337" s="44"/>
      <c r="BPQ337" s="49"/>
      <c r="BPR337" s="44"/>
      <c r="BPX337" s="49"/>
      <c r="BPY337" s="44"/>
      <c r="BQE337" s="49"/>
      <c r="BQF337" s="44"/>
      <c r="BQL337" s="49"/>
      <c r="BQM337" s="44"/>
      <c r="BQS337" s="49"/>
      <c r="BQT337" s="44"/>
      <c r="BQZ337" s="49"/>
      <c r="BRA337" s="44"/>
      <c r="BRG337" s="49"/>
      <c r="BRH337" s="44"/>
      <c r="BRN337" s="49"/>
      <c r="BRO337" s="44"/>
      <c r="BRU337" s="49"/>
      <c r="BRV337" s="44"/>
      <c r="BSB337" s="49"/>
      <c r="BSC337" s="44"/>
      <c r="BSI337" s="49"/>
      <c r="BSJ337" s="44"/>
      <c r="BSP337" s="49"/>
      <c r="BSQ337" s="44"/>
      <c r="BSW337" s="49"/>
      <c r="BSX337" s="44"/>
      <c r="BTD337" s="49"/>
      <c r="BTE337" s="44"/>
      <c r="BTK337" s="49"/>
      <c r="BTL337" s="44"/>
      <c r="BTR337" s="49"/>
      <c r="BTS337" s="44"/>
      <c r="BTY337" s="49"/>
      <c r="BTZ337" s="44"/>
      <c r="BUF337" s="49"/>
      <c r="BUG337" s="44"/>
      <c r="BUM337" s="49"/>
      <c r="BUN337" s="44"/>
      <c r="BUT337" s="49"/>
      <c r="BUU337" s="44"/>
      <c r="BVA337" s="49"/>
      <c r="BVB337" s="44"/>
      <c r="BVH337" s="49"/>
      <c r="BVI337" s="44"/>
      <c r="BVO337" s="49"/>
      <c r="BVP337" s="44"/>
      <c r="BVV337" s="49"/>
      <c r="BVW337" s="44"/>
      <c r="BWC337" s="49"/>
      <c r="BWD337" s="44"/>
      <c r="BWJ337" s="49"/>
      <c r="BWK337" s="44"/>
      <c r="BWQ337" s="49"/>
      <c r="BWR337" s="44"/>
      <c r="BWX337" s="49"/>
      <c r="BWY337" s="44"/>
      <c r="BXE337" s="49"/>
      <c r="BXF337" s="44"/>
      <c r="BXL337" s="49"/>
      <c r="BXM337" s="44"/>
      <c r="BXS337" s="49"/>
      <c r="BXT337" s="44"/>
      <c r="BXZ337" s="49"/>
      <c r="BYA337" s="44"/>
      <c r="BYG337" s="49"/>
      <c r="BYH337" s="44"/>
      <c r="BYN337" s="49"/>
      <c r="BYO337" s="44"/>
      <c r="BYU337" s="49"/>
      <c r="BYV337" s="44"/>
      <c r="BZB337" s="49"/>
      <c r="BZC337" s="44"/>
      <c r="BZI337" s="49"/>
      <c r="BZJ337" s="44"/>
      <c r="BZP337" s="49"/>
      <c r="BZQ337" s="44"/>
      <c r="BZW337" s="49"/>
      <c r="BZX337" s="44"/>
      <c r="CAD337" s="49"/>
      <c r="CAE337" s="44"/>
      <c r="CAK337" s="49"/>
      <c r="CAL337" s="44"/>
      <c r="CAR337" s="49"/>
      <c r="CAS337" s="44"/>
      <c r="CAY337" s="49"/>
      <c r="CAZ337" s="44"/>
      <c r="CBF337" s="49"/>
      <c r="CBG337" s="44"/>
      <c r="CBM337" s="49"/>
      <c r="CBN337" s="44"/>
      <c r="CBT337" s="49"/>
      <c r="CBU337" s="44"/>
      <c r="CCA337" s="49"/>
      <c r="CCB337" s="44"/>
      <c r="CCH337" s="49"/>
      <c r="CCI337" s="44"/>
      <c r="CCO337" s="49"/>
      <c r="CCP337" s="44"/>
      <c r="CCV337" s="49"/>
      <c r="CCW337" s="44"/>
      <c r="CDC337" s="49"/>
      <c r="CDD337" s="44"/>
      <c r="CDJ337" s="49"/>
      <c r="CDK337" s="44"/>
      <c r="CDQ337" s="49"/>
      <c r="CDR337" s="44"/>
      <c r="CDX337" s="49"/>
      <c r="CDY337" s="44"/>
      <c r="CEE337" s="49"/>
      <c r="CEF337" s="44"/>
      <c r="CEL337" s="49"/>
      <c r="CEM337" s="44"/>
      <c r="CES337" s="49"/>
      <c r="CET337" s="44"/>
      <c r="CEZ337" s="49"/>
      <c r="CFA337" s="44"/>
      <c r="CFG337" s="49"/>
      <c r="CFH337" s="44"/>
      <c r="CFN337" s="49"/>
      <c r="CFO337" s="44"/>
      <c r="CFU337" s="49"/>
      <c r="CFV337" s="44"/>
      <c r="CGB337" s="49"/>
      <c r="CGC337" s="44"/>
      <c r="CGI337" s="49"/>
      <c r="CGJ337" s="44"/>
      <c r="CGP337" s="49"/>
      <c r="CGQ337" s="44"/>
      <c r="CGW337" s="49"/>
      <c r="CGX337" s="44"/>
      <c r="CHD337" s="49"/>
      <c r="CHE337" s="44"/>
      <c r="CHK337" s="49"/>
      <c r="CHL337" s="44"/>
      <c r="CHR337" s="49"/>
      <c r="CHS337" s="44"/>
      <c r="CHY337" s="49"/>
      <c r="CHZ337" s="44"/>
      <c r="CIF337" s="49"/>
      <c r="CIG337" s="44"/>
      <c r="CIM337" s="49"/>
      <c r="CIN337" s="44"/>
      <c r="CIT337" s="49"/>
      <c r="CIU337" s="44"/>
      <c r="CJA337" s="49"/>
      <c r="CJB337" s="44"/>
      <c r="CJH337" s="49"/>
      <c r="CJI337" s="44"/>
      <c r="CJO337" s="49"/>
      <c r="CJP337" s="44"/>
      <c r="CJV337" s="49"/>
      <c r="CJW337" s="44"/>
      <c r="CKC337" s="49"/>
      <c r="CKD337" s="44"/>
      <c r="CKJ337" s="49"/>
      <c r="CKK337" s="44"/>
      <c r="CKQ337" s="49"/>
      <c r="CKR337" s="44"/>
      <c r="CKX337" s="49"/>
      <c r="CKY337" s="44"/>
      <c r="CLE337" s="49"/>
      <c r="CLF337" s="44"/>
      <c r="CLL337" s="49"/>
      <c r="CLM337" s="44"/>
      <c r="CLS337" s="49"/>
      <c r="CLT337" s="44"/>
      <c r="CLZ337" s="49"/>
      <c r="CMA337" s="44"/>
      <c r="CMG337" s="49"/>
      <c r="CMH337" s="44"/>
      <c r="CMN337" s="49"/>
      <c r="CMO337" s="44"/>
      <c r="CMU337" s="49"/>
      <c r="CMV337" s="44"/>
      <c r="CNB337" s="49"/>
      <c r="CNC337" s="44"/>
      <c r="CNI337" s="49"/>
      <c r="CNJ337" s="44"/>
      <c r="CNP337" s="49"/>
      <c r="CNQ337" s="44"/>
      <c r="CNW337" s="49"/>
      <c r="CNX337" s="44"/>
      <c r="COD337" s="49"/>
      <c r="COE337" s="44"/>
      <c r="COK337" s="49"/>
      <c r="COL337" s="44"/>
      <c r="COR337" s="49"/>
      <c r="COS337" s="44"/>
      <c r="COY337" s="49"/>
      <c r="COZ337" s="44"/>
      <c r="CPF337" s="49"/>
      <c r="CPG337" s="44"/>
      <c r="CPM337" s="49"/>
      <c r="CPN337" s="44"/>
      <c r="CPT337" s="49"/>
      <c r="CPU337" s="44"/>
      <c r="CQA337" s="49"/>
      <c r="CQB337" s="44"/>
      <c r="CQH337" s="49"/>
      <c r="CQI337" s="44"/>
      <c r="CQO337" s="49"/>
      <c r="CQP337" s="44"/>
      <c r="CQV337" s="49"/>
      <c r="CQW337" s="44"/>
      <c r="CRC337" s="49"/>
      <c r="CRD337" s="44"/>
      <c r="CRJ337" s="49"/>
      <c r="CRK337" s="44"/>
      <c r="CRQ337" s="49"/>
      <c r="CRR337" s="44"/>
      <c r="CRX337" s="49"/>
      <c r="CRY337" s="44"/>
      <c r="CSE337" s="49"/>
      <c r="CSF337" s="44"/>
      <c r="CSL337" s="49"/>
      <c r="CSM337" s="44"/>
      <c r="CSS337" s="49"/>
      <c r="CST337" s="44"/>
      <c r="CSZ337" s="49"/>
      <c r="CTA337" s="44"/>
      <c r="CTG337" s="49"/>
      <c r="CTH337" s="44"/>
      <c r="CTN337" s="49"/>
      <c r="CTO337" s="44"/>
      <c r="CTU337" s="49"/>
      <c r="CTV337" s="44"/>
    </row>
    <row r="338" spans="1:1023 1029:2045 2051:2570" s="6" customFormat="1" ht="30" customHeight="1" x14ac:dyDescent="0.2">
      <c r="A338" s="29" t="s">
        <v>497</v>
      </c>
      <c r="B338" s="18" t="s">
        <v>389</v>
      </c>
      <c r="C338" s="19" t="s">
        <v>434</v>
      </c>
      <c r="D338" s="18" t="s">
        <v>426</v>
      </c>
      <c r="E338" s="26">
        <v>600</v>
      </c>
      <c r="F338" s="27"/>
      <c r="G338" s="20">
        <f t="shared" si="6"/>
        <v>0</v>
      </c>
      <c r="H338" s="20" t="s">
        <v>485</v>
      </c>
      <c r="N338" s="49"/>
      <c r="O338" s="44"/>
      <c r="U338" s="49"/>
      <c r="V338" s="44"/>
      <c r="AB338" s="49"/>
      <c r="AC338" s="44"/>
      <c r="AI338" s="49"/>
      <c r="AJ338" s="44"/>
      <c r="AP338" s="49"/>
      <c r="AQ338" s="44"/>
      <c r="AW338" s="49"/>
      <c r="AX338" s="44"/>
      <c r="BD338" s="49"/>
      <c r="BE338" s="44"/>
      <c r="BK338" s="49"/>
      <c r="BL338" s="44"/>
      <c r="BR338" s="49"/>
      <c r="BS338" s="44"/>
      <c r="BY338" s="49"/>
      <c r="BZ338" s="44"/>
      <c r="CF338" s="49"/>
      <c r="CG338" s="44"/>
      <c r="CM338" s="49"/>
      <c r="CN338" s="44"/>
      <c r="CT338" s="49"/>
      <c r="CU338" s="44"/>
      <c r="DA338" s="49"/>
      <c r="DB338" s="44"/>
      <c r="DH338" s="49"/>
      <c r="DI338" s="44"/>
      <c r="DO338" s="49"/>
      <c r="DP338" s="44"/>
      <c r="DV338" s="49"/>
      <c r="DW338" s="44"/>
      <c r="EC338" s="49"/>
      <c r="ED338" s="44"/>
      <c r="EJ338" s="49"/>
      <c r="EK338" s="44"/>
      <c r="EQ338" s="49"/>
      <c r="ER338" s="44"/>
      <c r="EX338" s="49"/>
      <c r="EY338" s="44"/>
      <c r="FE338" s="49"/>
      <c r="FF338" s="44"/>
      <c r="FL338" s="49"/>
      <c r="FM338" s="44"/>
      <c r="FS338" s="49"/>
      <c r="FT338" s="44"/>
      <c r="FZ338" s="49"/>
      <c r="GA338" s="44"/>
      <c r="GG338" s="49"/>
      <c r="GH338" s="44"/>
      <c r="GN338" s="49"/>
      <c r="GO338" s="44"/>
      <c r="GU338" s="49"/>
      <c r="GV338" s="44"/>
      <c r="HB338" s="49"/>
      <c r="HC338" s="44"/>
      <c r="HI338" s="49"/>
      <c r="HJ338" s="44"/>
      <c r="HP338" s="49"/>
      <c r="HQ338" s="44"/>
      <c r="HW338" s="49"/>
      <c r="HX338" s="44"/>
      <c r="ID338" s="49"/>
      <c r="IE338" s="44"/>
      <c r="IK338" s="49"/>
      <c r="IL338" s="44"/>
      <c r="IR338" s="49"/>
      <c r="IS338" s="44"/>
      <c r="IY338" s="49"/>
      <c r="IZ338" s="44"/>
      <c r="JF338" s="49"/>
      <c r="JG338" s="44"/>
      <c r="JM338" s="49"/>
      <c r="JN338" s="44"/>
      <c r="JT338" s="49"/>
      <c r="JU338" s="44"/>
      <c r="KA338" s="49"/>
      <c r="KB338" s="44"/>
      <c r="KH338" s="49"/>
      <c r="KI338" s="44"/>
      <c r="KO338" s="49"/>
      <c r="KP338" s="44"/>
      <c r="KV338" s="49"/>
      <c r="KW338" s="44"/>
      <c r="LC338" s="49"/>
      <c r="LD338" s="44"/>
      <c r="LJ338" s="49"/>
      <c r="LK338" s="44"/>
      <c r="LQ338" s="49"/>
      <c r="LR338" s="44"/>
      <c r="LX338" s="49"/>
      <c r="LY338" s="44"/>
      <c r="ME338" s="49"/>
      <c r="MF338" s="44"/>
      <c r="ML338" s="49"/>
      <c r="MM338" s="44"/>
      <c r="MS338" s="49"/>
      <c r="MT338" s="44"/>
      <c r="MZ338" s="49"/>
      <c r="NA338" s="44"/>
      <c r="NG338" s="49"/>
      <c r="NH338" s="44"/>
      <c r="NN338" s="49"/>
      <c r="NO338" s="44"/>
      <c r="NU338" s="49"/>
      <c r="NV338" s="44"/>
      <c r="OB338" s="49"/>
      <c r="OC338" s="44"/>
      <c r="OI338" s="49"/>
      <c r="OJ338" s="44"/>
      <c r="OP338" s="49"/>
      <c r="OQ338" s="44"/>
      <c r="OW338" s="49"/>
      <c r="OX338" s="44"/>
      <c r="PD338" s="49"/>
      <c r="PE338" s="44"/>
      <c r="PK338" s="49"/>
      <c r="PL338" s="44"/>
      <c r="PR338" s="49"/>
      <c r="PS338" s="44"/>
      <c r="PY338" s="49"/>
      <c r="PZ338" s="44"/>
      <c r="QF338" s="49"/>
      <c r="QG338" s="44"/>
      <c r="QM338" s="49"/>
      <c r="QN338" s="44"/>
      <c r="QT338" s="49"/>
      <c r="QU338" s="44"/>
      <c r="RA338" s="49"/>
      <c r="RB338" s="44"/>
      <c r="RH338" s="49"/>
      <c r="RI338" s="44"/>
      <c r="RO338" s="49"/>
      <c r="RP338" s="44"/>
      <c r="RV338" s="49"/>
      <c r="RW338" s="44"/>
      <c r="SC338" s="49"/>
      <c r="SD338" s="44"/>
      <c r="SJ338" s="49"/>
      <c r="SK338" s="44"/>
      <c r="SQ338" s="49"/>
      <c r="SR338" s="44"/>
      <c r="SX338" s="49"/>
      <c r="SY338" s="44"/>
      <c r="TE338" s="49"/>
      <c r="TF338" s="44"/>
      <c r="TL338" s="49"/>
      <c r="TM338" s="44"/>
      <c r="TS338" s="49"/>
      <c r="TT338" s="44"/>
      <c r="TZ338" s="49"/>
      <c r="UA338" s="44"/>
      <c r="UG338" s="49"/>
      <c r="UH338" s="44"/>
      <c r="UN338" s="49"/>
      <c r="UO338" s="44"/>
      <c r="UU338" s="49"/>
      <c r="UV338" s="44"/>
      <c r="VB338" s="49"/>
      <c r="VC338" s="44"/>
      <c r="VI338" s="49"/>
      <c r="VJ338" s="44"/>
      <c r="VP338" s="49"/>
      <c r="VQ338" s="44"/>
      <c r="VW338" s="49"/>
      <c r="VX338" s="44"/>
      <c r="WD338" s="49"/>
      <c r="WE338" s="44"/>
      <c r="WK338" s="49"/>
      <c r="WL338" s="44"/>
      <c r="WR338" s="49"/>
      <c r="WS338" s="44"/>
      <c r="WY338" s="49"/>
      <c r="WZ338" s="44"/>
      <c r="XF338" s="49"/>
      <c r="XG338" s="44"/>
      <c r="XM338" s="49"/>
      <c r="XN338" s="44"/>
      <c r="XT338" s="49"/>
      <c r="XU338" s="44"/>
      <c r="YA338" s="49"/>
      <c r="YB338" s="44"/>
      <c r="YH338" s="49"/>
      <c r="YI338" s="44"/>
      <c r="YO338" s="49"/>
      <c r="YP338" s="44"/>
      <c r="YV338" s="49"/>
      <c r="YW338" s="44"/>
      <c r="ZC338" s="49"/>
      <c r="ZD338" s="44"/>
      <c r="ZJ338" s="49"/>
      <c r="ZK338" s="44"/>
      <c r="ZQ338" s="49"/>
      <c r="ZR338" s="44"/>
      <c r="ZX338" s="49"/>
      <c r="ZY338" s="44"/>
      <c r="AAE338" s="49"/>
      <c r="AAF338" s="44"/>
      <c r="AAL338" s="49"/>
      <c r="AAM338" s="44"/>
      <c r="AAS338" s="49"/>
      <c r="AAT338" s="44"/>
      <c r="AAZ338" s="49"/>
      <c r="ABA338" s="44"/>
      <c r="ABG338" s="49"/>
      <c r="ABH338" s="44"/>
      <c r="ABN338" s="49"/>
      <c r="ABO338" s="44"/>
      <c r="ABU338" s="49"/>
      <c r="ABV338" s="44"/>
      <c r="ACB338" s="49"/>
      <c r="ACC338" s="44"/>
      <c r="ACI338" s="49"/>
      <c r="ACJ338" s="44"/>
      <c r="ACP338" s="49"/>
      <c r="ACQ338" s="44"/>
      <c r="ACW338" s="49"/>
      <c r="ACX338" s="44"/>
      <c r="ADD338" s="49"/>
      <c r="ADE338" s="44"/>
      <c r="ADK338" s="49"/>
      <c r="ADL338" s="44"/>
      <c r="ADR338" s="49"/>
      <c r="ADS338" s="44"/>
      <c r="ADY338" s="49"/>
      <c r="ADZ338" s="44"/>
      <c r="AEF338" s="49"/>
      <c r="AEG338" s="44"/>
      <c r="AEM338" s="49"/>
      <c r="AEN338" s="44"/>
      <c r="AET338" s="49"/>
      <c r="AEU338" s="44"/>
      <c r="AFA338" s="49"/>
      <c r="AFB338" s="44"/>
      <c r="AFH338" s="49"/>
      <c r="AFI338" s="44"/>
      <c r="AFO338" s="49"/>
      <c r="AFP338" s="44"/>
      <c r="AFV338" s="49"/>
      <c r="AFW338" s="44"/>
      <c r="AGC338" s="49"/>
      <c r="AGD338" s="44"/>
      <c r="AGJ338" s="49"/>
      <c r="AGK338" s="44"/>
      <c r="AGQ338" s="49"/>
      <c r="AGR338" s="44"/>
      <c r="AGX338" s="49"/>
      <c r="AGY338" s="44"/>
      <c r="AHE338" s="49"/>
      <c r="AHF338" s="44"/>
      <c r="AHL338" s="49"/>
      <c r="AHM338" s="44"/>
      <c r="AHS338" s="49"/>
      <c r="AHT338" s="44"/>
      <c r="AHZ338" s="49"/>
      <c r="AIA338" s="44"/>
      <c r="AIG338" s="49"/>
      <c r="AIH338" s="44"/>
      <c r="AIN338" s="49"/>
      <c r="AIO338" s="44"/>
      <c r="AIU338" s="49"/>
      <c r="AIV338" s="44"/>
      <c r="AJB338" s="49"/>
      <c r="AJC338" s="44"/>
      <c r="AJI338" s="49"/>
      <c r="AJJ338" s="44"/>
      <c r="AJP338" s="49"/>
      <c r="AJQ338" s="44"/>
      <c r="AJW338" s="49"/>
      <c r="AJX338" s="44"/>
      <c r="AKD338" s="49"/>
      <c r="AKE338" s="44"/>
      <c r="AKK338" s="49"/>
      <c r="AKL338" s="44"/>
      <c r="AKR338" s="49"/>
      <c r="AKS338" s="44"/>
      <c r="AKY338" s="49"/>
      <c r="AKZ338" s="44"/>
      <c r="ALF338" s="49"/>
      <c r="ALG338" s="44"/>
      <c r="ALM338" s="49"/>
      <c r="ALN338" s="44"/>
      <c r="ALT338" s="49"/>
      <c r="ALU338" s="44"/>
      <c r="AMA338" s="49"/>
      <c r="AMB338" s="44"/>
      <c r="AMH338" s="49"/>
      <c r="AMI338" s="44"/>
      <c r="AMO338" s="49"/>
      <c r="AMP338" s="44"/>
      <c r="AMV338" s="49"/>
      <c r="AMW338" s="44"/>
      <c r="ANC338" s="49"/>
      <c r="AND338" s="44"/>
      <c r="ANJ338" s="49"/>
      <c r="ANK338" s="44"/>
      <c r="ANQ338" s="49"/>
      <c r="ANR338" s="44"/>
      <c r="ANX338" s="49"/>
      <c r="ANY338" s="44"/>
      <c r="AOE338" s="49"/>
      <c r="AOF338" s="44"/>
      <c r="AOL338" s="49"/>
      <c r="AOM338" s="44"/>
      <c r="AOS338" s="49"/>
      <c r="AOT338" s="44"/>
      <c r="AOZ338" s="49"/>
      <c r="APA338" s="44"/>
      <c r="APG338" s="49"/>
      <c r="APH338" s="44"/>
      <c r="APN338" s="49"/>
      <c r="APO338" s="44"/>
      <c r="APU338" s="49"/>
      <c r="APV338" s="44"/>
      <c r="AQB338" s="49"/>
      <c r="AQC338" s="44"/>
      <c r="AQI338" s="49"/>
      <c r="AQJ338" s="44"/>
      <c r="AQP338" s="49"/>
      <c r="AQQ338" s="44"/>
      <c r="AQW338" s="49"/>
      <c r="AQX338" s="44"/>
      <c r="ARD338" s="49"/>
      <c r="ARE338" s="44"/>
      <c r="ARK338" s="49"/>
      <c r="ARL338" s="44"/>
      <c r="ARR338" s="49"/>
      <c r="ARS338" s="44"/>
      <c r="ARY338" s="49"/>
      <c r="ARZ338" s="44"/>
      <c r="ASF338" s="49"/>
      <c r="ASG338" s="44"/>
      <c r="ASM338" s="49"/>
      <c r="ASN338" s="44"/>
      <c r="AST338" s="49"/>
      <c r="ASU338" s="44"/>
      <c r="ATA338" s="49"/>
      <c r="ATB338" s="44"/>
      <c r="ATH338" s="49"/>
      <c r="ATI338" s="44"/>
      <c r="ATO338" s="49"/>
      <c r="ATP338" s="44"/>
      <c r="ATV338" s="49"/>
      <c r="ATW338" s="44"/>
      <c r="AUC338" s="49"/>
      <c r="AUD338" s="44"/>
      <c r="AUJ338" s="49"/>
      <c r="AUK338" s="44"/>
      <c r="AUQ338" s="49"/>
      <c r="AUR338" s="44"/>
      <c r="AUX338" s="49"/>
      <c r="AUY338" s="44"/>
      <c r="AVE338" s="49"/>
      <c r="AVF338" s="44"/>
      <c r="AVL338" s="49"/>
      <c r="AVM338" s="44"/>
      <c r="AVS338" s="49"/>
      <c r="AVT338" s="44"/>
      <c r="AVZ338" s="49"/>
      <c r="AWA338" s="44"/>
      <c r="AWG338" s="49"/>
      <c r="AWH338" s="44"/>
      <c r="AWN338" s="49"/>
      <c r="AWO338" s="44"/>
      <c r="AWU338" s="49"/>
      <c r="AWV338" s="44"/>
      <c r="AXB338" s="49"/>
      <c r="AXC338" s="44"/>
      <c r="AXI338" s="49"/>
      <c r="AXJ338" s="44"/>
      <c r="AXP338" s="49"/>
      <c r="AXQ338" s="44"/>
      <c r="AXW338" s="49"/>
      <c r="AXX338" s="44"/>
      <c r="AYD338" s="49"/>
      <c r="AYE338" s="44"/>
      <c r="AYK338" s="49"/>
      <c r="AYL338" s="44"/>
      <c r="AYR338" s="49"/>
      <c r="AYS338" s="44"/>
      <c r="AYY338" s="49"/>
      <c r="AYZ338" s="44"/>
      <c r="AZF338" s="49"/>
      <c r="AZG338" s="44"/>
      <c r="AZM338" s="49"/>
      <c r="AZN338" s="44"/>
      <c r="AZT338" s="49"/>
      <c r="AZU338" s="44"/>
      <c r="BAA338" s="49"/>
      <c r="BAB338" s="44"/>
      <c r="BAH338" s="49"/>
      <c r="BAI338" s="44"/>
      <c r="BAO338" s="49"/>
      <c r="BAP338" s="44"/>
      <c r="BAV338" s="49"/>
      <c r="BAW338" s="44"/>
      <c r="BBC338" s="49"/>
      <c r="BBD338" s="44"/>
      <c r="BBJ338" s="49"/>
      <c r="BBK338" s="44"/>
      <c r="BBQ338" s="49"/>
      <c r="BBR338" s="44"/>
      <c r="BBX338" s="49"/>
      <c r="BBY338" s="44"/>
      <c r="BCE338" s="49"/>
      <c r="BCF338" s="44"/>
      <c r="BCL338" s="49"/>
      <c r="BCM338" s="44"/>
      <c r="BCS338" s="49"/>
      <c r="BCT338" s="44"/>
      <c r="BCZ338" s="49"/>
      <c r="BDA338" s="44"/>
      <c r="BDG338" s="49"/>
      <c r="BDH338" s="44"/>
      <c r="BDN338" s="49"/>
      <c r="BDO338" s="44"/>
      <c r="BDU338" s="49"/>
      <c r="BDV338" s="44"/>
      <c r="BEB338" s="49"/>
      <c r="BEC338" s="44"/>
      <c r="BEI338" s="49"/>
      <c r="BEJ338" s="44"/>
      <c r="BEP338" s="49"/>
      <c r="BEQ338" s="44"/>
      <c r="BEW338" s="49"/>
      <c r="BEX338" s="44"/>
      <c r="BFD338" s="49"/>
      <c r="BFE338" s="44"/>
      <c r="BFK338" s="49"/>
      <c r="BFL338" s="44"/>
      <c r="BFR338" s="49"/>
      <c r="BFS338" s="44"/>
      <c r="BFY338" s="49"/>
      <c r="BFZ338" s="44"/>
      <c r="BGF338" s="49"/>
      <c r="BGG338" s="44"/>
      <c r="BGM338" s="49"/>
      <c r="BGN338" s="44"/>
      <c r="BGT338" s="49"/>
      <c r="BGU338" s="44"/>
      <c r="BHA338" s="49"/>
      <c r="BHB338" s="44"/>
      <c r="BHH338" s="49"/>
      <c r="BHI338" s="44"/>
      <c r="BHO338" s="49"/>
      <c r="BHP338" s="44"/>
      <c r="BHV338" s="49"/>
      <c r="BHW338" s="44"/>
      <c r="BIC338" s="49"/>
      <c r="BID338" s="44"/>
      <c r="BIJ338" s="49"/>
      <c r="BIK338" s="44"/>
      <c r="BIQ338" s="49"/>
      <c r="BIR338" s="44"/>
      <c r="BIX338" s="49"/>
      <c r="BIY338" s="44"/>
      <c r="BJE338" s="49"/>
      <c r="BJF338" s="44"/>
      <c r="BJL338" s="49"/>
      <c r="BJM338" s="44"/>
      <c r="BJS338" s="49"/>
      <c r="BJT338" s="44"/>
      <c r="BJZ338" s="49"/>
      <c r="BKA338" s="44"/>
      <c r="BKG338" s="49"/>
      <c r="BKH338" s="44"/>
      <c r="BKN338" s="49"/>
      <c r="BKO338" s="44"/>
      <c r="BKU338" s="49"/>
      <c r="BKV338" s="44"/>
      <c r="BLB338" s="49"/>
      <c r="BLC338" s="44"/>
      <c r="BLI338" s="49"/>
      <c r="BLJ338" s="44"/>
      <c r="BLP338" s="49"/>
      <c r="BLQ338" s="44"/>
      <c r="BLW338" s="49"/>
      <c r="BLX338" s="44"/>
      <c r="BMD338" s="49"/>
      <c r="BME338" s="44"/>
      <c r="BMK338" s="49"/>
      <c r="BML338" s="44"/>
      <c r="BMR338" s="49"/>
      <c r="BMS338" s="44"/>
      <c r="BMY338" s="49"/>
      <c r="BMZ338" s="44"/>
      <c r="BNF338" s="49"/>
      <c r="BNG338" s="44"/>
      <c r="BNM338" s="49"/>
      <c r="BNN338" s="44"/>
      <c r="BNT338" s="49"/>
      <c r="BNU338" s="44"/>
      <c r="BOA338" s="49"/>
      <c r="BOB338" s="44"/>
      <c r="BOH338" s="49"/>
      <c r="BOI338" s="44"/>
      <c r="BOO338" s="49"/>
      <c r="BOP338" s="44"/>
      <c r="BOV338" s="49"/>
      <c r="BOW338" s="44"/>
      <c r="BPC338" s="49"/>
      <c r="BPD338" s="44"/>
      <c r="BPJ338" s="49"/>
      <c r="BPK338" s="44"/>
      <c r="BPQ338" s="49"/>
      <c r="BPR338" s="44"/>
      <c r="BPX338" s="49"/>
      <c r="BPY338" s="44"/>
      <c r="BQE338" s="49"/>
      <c r="BQF338" s="44"/>
      <c r="BQL338" s="49"/>
      <c r="BQM338" s="44"/>
      <c r="BQS338" s="49"/>
      <c r="BQT338" s="44"/>
      <c r="BQZ338" s="49"/>
      <c r="BRA338" s="44"/>
      <c r="BRG338" s="49"/>
      <c r="BRH338" s="44"/>
      <c r="BRN338" s="49"/>
      <c r="BRO338" s="44"/>
      <c r="BRU338" s="49"/>
      <c r="BRV338" s="44"/>
      <c r="BSB338" s="49"/>
      <c r="BSC338" s="44"/>
      <c r="BSI338" s="49"/>
      <c r="BSJ338" s="44"/>
      <c r="BSP338" s="49"/>
      <c r="BSQ338" s="44"/>
      <c r="BSW338" s="49"/>
      <c r="BSX338" s="44"/>
      <c r="BTD338" s="49"/>
      <c r="BTE338" s="44"/>
      <c r="BTK338" s="49"/>
      <c r="BTL338" s="44"/>
      <c r="BTR338" s="49"/>
      <c r="BTS338" s="44"/>
      <c r="BTY338" s="49"/>
      <c r="BTZ338" s="44"/>
      <c r="BUF338" s="49"/>
      <c r="BUG338" s="44"/>
      <c r="BUM338" s="49"/>
      <c r="BUN338" s="44"/>
      <c r="BUT338" s="49"/>
      <c r="BUU338" s="44"/>
      <c r="BVA338" s="49"/>
      <c r="BVB338" s="44"/>
      <c r="BVH338" s="49"/>
      <c r="BVI338" s="44"/>
      <c r="BVO338" s="49"/>
      <c r="BVP338" s="44"/>
      <c r="BVV338" s="49"/>
      <c r="BVW338" s="44"/>
      <c r="BWC338" s="49"/>
      <c r="BWD338" s="44"/>
      <c r="BWJ338" s="49"/>
      <c r="BWK338" s="44"/>
      <c r="BWQ338" s="49"/>
      <c r="BWR338" s="44"/>
      <c r="BWX338" s="49"/>
      <c r="BWY338" s="44"/>
      <c r="BXE338" s="49"/>
      <c r="BXF338" s="44"/>
      <c r="BXL338" s="49"/>
      <c r="BXM338" s="44"/>
      <c r="BXS338" s="49"/>
      <c r="BXT338" s="44"/>
      <c r="BXZ338" s="49"/>
      <c r="BYA338" s="44"/>
      <c r="BYG338" s="49"/>
      <c r="BYH338" s="44"/>
      <c r="BYN338" s="49"/>
      <c r="BYO338" s="44"/>
      <c r="BYU338" s="49"/>
      <c r="BYV338" s="44"/>
      <c r="BZB338" s="49"/>
      <c r="BZC338" s="44"/>
      <c r="BZI338" s="49"/>
      <c r="BZJ338" s="44"/>
      <c r="BZP338" s="49"/>
      <c r="BZQ338" s="44"/>
      <c r="BZW338" s="49"/>
      <c r="BZX338" s="44"/>
      <c r="CAD338" s="49"/>
      <c r="CAE338" s="44"/>
      <c r="CAK338" s="49"/>
      <c r="CAL338" s="44"/>
      <c r="CAR338" s="49"/>
      <c r="CAS338" s="44"/>
      <c r="CAY338" s="49"/>
      <c r="CAZ338" s="44"/>
      <c r="CBF338" s="49"/>
      <c r="CBG338" s="44"/>
      <c r="CBM338" s="49"/>
      <c r="CBN338" s="44"/>
      <c r="CBT338" s="49"/>
      <c r="CBU338" s="44"/>
      <c r="CCA338" s="49"/>
      <c r="CCB338" s="44"/>
      <c r="CCH338" s="49"/>
      <c r="CCI338" s="44"/>
      <c r="CCO338" s="49"/>
      <c r="CCP338" s="44"/>
      <c r="CCV338" s="49"/>
      <c r="CCW338" s="44"/>
      <c r="CDC338" s="49"/>
      <c r="CDD338" s="44"/>
      <c r="CDJ338" s="49"/>
      <c r="CDK338" s="44"/>
      <c r="CDQ338" s="49"/>
      <c r="CDR338" s="44"/>
      <c r="CDX338" s="49"/>
      <c r="CDY338" s="44"/>
      <c r="CEE338" s="49"/>
      <c r="CEF338" s="44"/>
      <c r="CEL338" s="49"/>
      <c r="CEM338" s="44"/>
      <c r="CES338" s="49"/>
      <c r="CET338" s="44"/>
      <c r="CEZ338" s="49"/>
      <c r="CFA338" s="44"/>
      <c r="CFG338" s="49"/>
      <c r="CFH338" s="44"/>
      <c r="CFN338" s="49"/>
      <c r="CFO338" s="44"/>
      <c r="CFU338" s="49"/>
      <c r="CFV338" s="44"/>
      <c r="CGB338" s="49"/>
      <c r="CGC338" s="44"/>
      <c r="CGI338" s="49"/>
      <c r="CGJ338" s="44"/>
      <c r="CGP338" s="49"/>
      <c r="CGQ338" s="44"/>
      <c r="CGW338" s="49"/>
      <c r="CGX338" s="44"/>
      <c r="CHD338" s="49"/>
      <c r="CHE338" s="44"/>
      <c r="CHK338" s="49"/>
      <c r="CHL338" s="44"/>
      <c r="CHR338" s="49"/>
      <c r="CHS338" s="44"/>
      <c r="CHY338" s="49"/>
      <c r="CHZ338" s="44"/>
      <c r="CIF338" s="49"/>
      <c r="CIG338" s="44"/>
      <c r="CIM338" s="49"/>
      <c r="CIN338" s="44"/>
      <c r="CIT338" s="49"/>
      <c r="CIU338" s="44"/>
      <c r="CJA338" s="49"/>
      <c r="CJB338" s="44"/>
      <c r="CJH338" s="49"/>
      <c r="CJI338" s="44"/>
      <c r="CJO338" s="49"/>
      <c r="CJP338" s="44"/>
      <c r="CJV338" s="49"/>
      <c r="CJW338" s="44"/>
      <c r="CKC338" s="49"/>
      <c r="CKD338" s="44"/>
      <c r="CKJ338" s="49"/>
      <c r="CKK338" s="44"/>
      <c r="CKQ338" s="49"/>
      <c r="CKR338" s="44"/>
      <c r="CKX338" s="49"/>
      <c r="CKY338" s="44"/>
      <c r="CLE338" s="49"/>
      <c r="CLF338" s="44"/>
      <c r="CLL338" s="49"/>
      <c r="CLM338" s="44"/>
      <c r="CLS338" s="49"/>
      <c r="CLT338" s="44"/>
      <c r="CLZ338" s="49"/>
      <c r="CMA338" s="44"/>
      <c r="CMG338" s="49"/>
      <c r="CMH338" s="44"/>
      <c r="CMN338" s="49"/>
      <c r="CMO338" s="44"/>
      <c r="CMU338" s="49"/>
      <c r="CMV338" s="44"/>
      <c r="CNB338" s="49"/>
      <c r="CNC338" s="44"/>
      <c r="CNI338" s="49"/>
      <c r="CNJ338" s="44"/>
      <c r="CNP338" s="49"/>
      <c r="CNQ338" s="44"/>
      <c r="CNW338" s="49"/>
      <c r="CNX338" s="44"/>
      <c r="COD338" s="49"/>
      <c r="COE338" s="44"/>
      <c r="COK338" s="49"/>
      <c r="COL338" s="44"/>
      <c r="COR338" s="49"/>
      <c r="COS338" s="44"/>
      <c r="COY338" s="49"/>
      <c r="COZ338" s="44"/>
      <c r="CPF338" s="49"/>
      <c r="CPG338" s="44"/>
      <c r="CPM338" s="49"/>
      <c r="CPN338" s="44"/>
      <c r="CPT338" s="49"/>
      <c r="CPU338" s="44"/>
      <c r="CQA338" s="49"/>
      <c r="CQB338" s="44"/>
      <c r="CQH338" s="49"/>
      <c r="CQI338" s="44"/>
      <c r="CQO338" s="49"/>
      <c r="CQP338" s="44"/>
      <c r="CQV338" s="49"/>
      <c r="CQW338" s="44"/>
      <c r="CRC338" s="49"/>
      <c r="CRD338" s="44"/>
      <c r="CRJ338" s="49"/>
      <c r="CRK338" s="44"/>
      <c r="CRQ338" s="49"/>
      <c r="CRR338" s="44"/>
      <c r="CRX338" s="49"/>
      <c r="CRY338" s="44"/>
      <c r="CSE338" s="49"/>
      <c r="CSF338" s="44"/>
      <c r="CSL338" s="49"/>
      <c r="CSM338" s="44"/>
      <c r="CSS338" s="49"/>
      <c r="CST338" s="44"/>
      <c r="CSZ338" s="49"/>
      <c r="CTA338" s="44"/>
      <c r="CTG338" s="49"/>
      <c r="CTH338" s="44"/>
      <c r="CTN338" s="49"/>
      <c r="CTO338" s="44"/>
      <c r="CTU338" s="49"/>
      <c r="CTV338" s="44"/>
    </row>
    <row r="339" spans="1:1023 1029:2045 2051:2570" s="4" customFormat="1" ht="30" customHeight="1" x14ac:dyDescent="0.2">
      <c r="A339" s="17" t="s">
        <v>501</v>
      </c>
      <c r="B339" s="18" t="s">
        <v>502</v>
      </c>
      <c r="C339" s="19"/>
      <c r="D339" s="18"/>
      <c r="E339" s="18"/>
      <c r="F339" s="28"/>
      <c r="G339" s="20"/>
      <c r="H339" s="18"/>
      <c r="I339" s="5"/>
      <c r="J339" s="5"/>
    </row>
    <row r="340" spans="1:1023 1029:2045 2051:2570" s="4" customFormat="1" ht="30" customHeight="1" x14ac:dyDescent="0.2">
      <c r="A340" s="17" t="s">
        <v>503</v>
      </c>
      <c r="B340" s="18" t="s">
        <v>504</v>
      </c>
      <c r="C340" s="19"/>
      <c r="D340" s="18"/>
      <c r="E340" s="18"/>
      <c r="F340" s="28"/>
      <c r="G340" s="20"/>
      <c r="H340" s="18" t="s">
        <v>505</v>
      </c>
      <c r="I340" s="5"/>
      <c r="J340" s="5"/>
    </row>
    <row r="341" spans="1:1023 1029:2045 2051:2570" s="4" customFormat="1" ht="144" customHeight="1" x14ac:dyDescent="0.2">
      <c r="A341" s="17" t="s">
        <v>506</v>
      </c>
      <c r="B341" s="18" t="s">
        <v>507</v>
      </c>
      <c r="C341" s="19" t="s">
        <v>508</v>
      </c>
      <c r="D341" s="18" t="s">
        <v>248</v>
      </c>
      <c r="E341" s="18">
        <v>1</v>
      </c>
      <c r="F341" s="28"/>
      <c r="G341" s="20">
        <f t="shared" si="6"/>
        <v>0</v>
      </c>
      <c r="H341" s="18" t="s">
        <v>509</v>
      </c>
      <c r="I341" s="5"/>
      <c r="J341" s="5"/>
    </row>
    <row r="342" spans="1:1023 1029:2045 2051:2570" s="4" customFormat="1" ht="144" customHeight="1" x14ac:dyDescent="0.2">
      <c r="A342" s="17" t="s">
        <v>510</v>
      </c>
      <c r="B342" s="18" t="s">
        <v>511</v>
      </c>
      <c r="C342" s="19" t="s">
        <v>512</v>
      </c>
      <c r="D342" s="18" t="s">
        <v>248</v>
      </c>
      <c r="E342" s="18">
        <v>1</v>
      </c>
      <c r="F342" s="28"/>
      <c r="G342" s="20">
        <f t="shared" si="6"/>
        <v>0</v>
      </c>
      <c r="H342" s="18"/>
      <c r="I342" s="5"/>
      <c r="J342" s="5"/>
    </row>
    <row r="343" spans="1:1023 1029:2045 2051:2570" s="4" customFormat="1" ht="104.1" customHeight="1" x14ac:dyDescent="0.2">
      <c r="A343" s="17" t="s">
        <v>513</v>
      </c>
      <c r="B343" s="18" t="s">
        <v>514</v>
      </c>
      <c r="C343" s="19" t="s">
        <v>515</v>
      </c>
      <c r="D343" s="18" t="s">
        <v>248</v>
      </c>
      <c r="E343" s="18">
        <v>1</v>
      </c>
      <c r="F343" s="28"/>
      <c r="G343" s="20">
        <f t="shared" si="6"/>
        <v>0</v>
      </c>
      <c r="H343" s="18" t="s">
        <v>516</v>
      </c>
      <c r="I343" s="5"/>
      <c r="J343" s="5"/>
    </row>
    <row r="344" spans="1:1023 1029:2045 2051:2570" s="4" customFormat="1" ht="114" customHeight="1" x14ac:dyDescent="0.2">
      <c r="A344" s="17" t="s">
        <v>517</v>
      </c>
      <c r="B344" s="18" t="s">
        <v>518</v>
      </c>
      <c r="C344" s="19" t="s">
        <v>519</v>
      </c>
      <c r="D344" s="18" t="s">
        <v>248</v>
      </c>
      <c r="E344" s="18">
        <v>1</v>
      </c>
      <c r="F344" s="28"/>
      <c r="G344" s="20">
        <f t="shared" si="6"/>
        <v>0</v>
      </c>
      <c r="H344" s="18" t="s">
        <v>516</v>
      </c>
      <c r="I344" s="5"/>
      <c r="J344" s="5"/>
    </row>
    <row r="345" spans="1:1023 1029:2045 2051:2570" s="4" customFormat="1" ht="114" customHeight="1" x14ac:dyDescent="0.2">
      <c r="A345" s="17" t="s">
        <v>520</v>
      </c>
      <c r="B345" s="18" t="s">
        <v>521</v>
      </c>
      <c r="C345" s="19" t="s">
        <v>522</v>
      </c>
      <c r="D345" s="18" t="s">
        <v>248</v>
      </c>
      <c r="E345" s="18">
        <v>1</v>
      </c>
      <c r="F345" s="28"/>
      <c r="G345" s="20">
        <f t="shared" si="6"/>
        <v>0</v>
      </c>
      <c r="H345" s="18"/>
      <c r="I345" s="5"/>
      <c r="J345" s="5"/>
    </row>
    <row r="346" spans="1:1023 1029:2045 2051:2570" s="4" customFormat="1" ht="141.94999999999999" customHeight="1" x14ac:dyDescent="0.2">
      <c r="A346" s="17" t="s">
        <v>523</v>
      </c>
      <c r="B346" s="18" t="s">
        <v>524</v>
      </c>
      <c r="C346" s="19" t="s">
        <v>508</v>
      </c>
      <c r="D346" s="18" t="s">
        <v>248</v>
      </c>
      <c r="E346" s="18">
        <v>1</v>
      </c>
      <c r="F346" s="28"/>
      <c r="G346" s="20">
        <f t="shared" si="6"/>
        <v>0</v>
      </c>
      <c r="H346" s="18" t="s">
        <v>509</v>
      </c>
      <c r="I346" s="5"/>
      <c r="J346" s="5"/>
    </row>
    <row r="347" spans="1:1023 1029:2045 2051:2570" s="4" customFormat="1" ht="126.95" customHeight="1" x14ac:dyDescent="0.2">
      <c r="A347" s="17" t="s">
        <v>525</v>
      </c>
      <c r="B347" s="18" t="s">
        <v>526</v>
      </c>
      <c r="C347" s="19" t="s">
        <v>527</v>
      </c>
      <c r="D347" s="18" t="s">
        <v>248</v>
      </c>
      <c r="E347" s="18">
        <v>1</v>
      </c>
      <c r="F347" s="28"/>
      <c r="G347" s="20">
        <f t="shared" si="6"/>
        <v>0</v>
      </c>
      <c r="H347" s="18" t="s">
        <v>528</v>
      </c>
      <c r="I347" s="5"/>
      <c r="J347" s="5"/>
    </row>
    <row r="348" spans="1:1023 1029:2045 2051:2570" s="4" customFormat="1" ht="105" customHeight="1" x14ac:dyDescent="0.2">
      <c r="A348" s="17" t="s">
        <v>529</v>
      </c>
      <c r="B348" s="18" t="s">
        <v>530</v>
      </c>
      <c r="C348" s="19" t="s">
        <v>522</v>
      </c>
      <c r="D348" s="18" t="s">
        <v>248</v>
      </c>
      <c r="E348" s="18">
        <v>1</v>
      </c>
      <c r="F348" s="28"/>
      <c r="G348" s="20">
        <f t="shared" si="6"/>
        <v>0</v>
      </c>
      <c r="H348" s="18"/>
      <c r="I348" s="5"/>
      <c r="J348" s="5"/>
    </row>
    <row r="349" spans="1:1023 1029:2045 2051:2570" s="4" customFormat="1" ht="105" customHeight="1" x14ac:dyDescent="0.2">
      <c r="A349" s="17" t="s">
        <v>531</v>
      </c>
      <c r="B349" s="18" t="s">
        <v>532</v>
      </c>
      <c r="C349" s="19" t="s">
        <v>533</v>
      </c>
      <c r="D349" s="18" t="s">
        <v>248</v>
      </c>
      <c r="E349" s="18">
        <v>5</v>
      </c>
      <c r="F349" s="28"/>
      <c r="G349" s="20">
        <f t="shared" si="6"/>
        <v>0</v>
      </c>
      <c r="H349" s="18" t="s">
        <v>534</v>
      </c>
      <c r="I349" s="5"/>
      <c r="J349" s="5"/>
    </row>
    <row r="350" spans="1:1023 1029:2045 2051:2570" s="4" customFormat="1" ht="306" customHeight="1" x14ac:dyDescent="0.2">
      <c r="A350" s="17" t="s">
        <v>535</v>
      </c>
      <c r="B350" s="18" t="s">
        <v>536</v>
      </c>
      <c r="C350" s="19" t="s">
        <v>537</v>
      </c>
      <c r="D350" s="18" t="s">
        <v>248</v>
      </c>
      <c r="E350" s="18">
        <v>2</v>
      </c>
      <c r="F350" s="28"/>
      <c r="G350" s="20">
        <f t="shared" si="6"/>
        <v>0</v>
      </c>
      <c r="H350" s="18" t="s">
        <v>538</v>
      </c>
      <c r="I350" s="5"/>
      <c r="J350" s="5"/>
    </row>
    <row r="351" spans="1:1023 1029:2045 2051:2570" s="4" customFormat="1" ht="30" customHeight="1" x14ac:dyDescent="0.2">
      <c r="A351" s="17" t="s">
        <v>539</v>
      </c>
      <c r="B351" s="18" t="s">
        <v>540</v>
      </c>
      <c r="C351" s="19" t="s">
        <v>541</v>
      </c>
      <c r="D351" s="18" t="s">
        <v>248</v>
      </c>
      <c r="E351" s="18">
        <v>48</v>
      </c>
      <c r="F351" s="28"/>
      <c r="G351" s="20">
        <f t="shared" si="6"/>
        <v>0</v>
      </c>
      <c r="H351" s="18" t="s">
        <v>509</v>
      </c>
      <c r="I351" s="5"/>
      <c r="J351" s="5"/>
    </row>
    <row r="352" spans="1:1023 1029:2045 2051:2570" s="4" customFormat="1" ht="30" customHeight="1" x14ac:dyDescent="0.2">
      <c r="A352" s="17" t="s">
        <v>542</v>
      </c>
      <c r="B352" s="18" t="s">
        <v>543</v>
      </c>
      <c r="C352" s="19" t="s">
        <v>541</v>
      </c>
      <c r="D352" s="18" t="s">
        <v>248</v>
      </c>
      <c r="E352" s="18">
        <v>48</v>
      </c>
      <c r="F352" s="28"/>
      <c r="G352" s="20">
        <f t="shared" si="6"/>
        <v>0</v>
      </c>
      <c r="H352" s="18" t="s">
        <v>528</v>
      </c>
      <c r="I352" s="5"/>
      <c r="J352" s="5"/>
    </row>
    <row r="353" spans="1:10" s="4" customFormat="1" ht="75" customHeight="1" x14ac:dyDescent="0.2">
      <c r="A353" s="17" t="s">
        <v>544</v>
      </c>
      <c r="B353" s="18" t="s">
        <v>545</v>
      </c>
      <c r="C353" s="19" t="s">
        <v>546</v>
      </c>
      <c r="D353" s="18" t="s">
        <v>248</v>
      </c>
      <c r="E353" s="18">
        <v>1</v>
      </c>
      <c r="F353" s="28"/>
      <c r="G353" s="20">
        <f t="shared" si="6"/>
        <v>0</v>
      </c>
      <c r="H353" s="18"/>
      <c r="I353" s="5"/>
      <c r="J353" s="5"/>
    </row>
    <row r="354" spans="1:10" s="4" customFormat="1" ht="30" customHeight="1" x14ac:dyDescent="0.2">
      <c r="A354" s="18" t="s">
        <v>547</v>
      </c>
      <c r="B354" s="18" t="s">
        <v>548</v>
      </c>
      <c r="C354" s="19"/>
      <c r="D354" s="18"/>
      <c r="E354" s="18"/>
      <c r="F354" s="28"/>
      <c r="G354" s="20"/>
      <c r="H354" s="18"/>
      <c r="I354" s="5"/>
      <c r="J354" s="5"/>
    </row>
    <row r="355" spans="1:10" s="4" customFormat="1" ht="30" customHeight="1" x14ac:dyDescent="0.2">
      <c r="A355" s="17" t="s">
        <v>549</v>
      </c>
      <c r="B355" s="18" t="s">
        <v>550</v>
      </c>
      <c r="C355" s="19" t="s">
        <v>551</v>
      </c>
      <c r="D355" s="20" t="s">
        <v>552</v>
      </c>
      <c r="E355" s="18">
        <v>2</v>
      </c>
      <c r="F355" s="28"/>
      <c r="G355" s="20">
        <f t="shared" si="6"/>
        <v>0</v>
      </c>
      <c r="H355" s="18"/>
      <c r="I355" s="5"/>
      <c r="J355" s="5"/>
    </row>
    <row r="356" spans="1:10" s="4" customFormat="1" ht="179.1" customHeight="1" x14ac:dyDescent="0.2">
      <c r="A356" s="17" t="s">
        <v>553</v>
      </c>
      <c r="B356" s="18" t="s">
        <v>554</v>
      </c>
      <c r="C356" s="19" t="s">
        <v>555</v>
      </c>
      <c r="D356" s="18" t="s">
        <v>248</v>
      </c>
      <c r="E356" s="18">
        <v>8</v>
      </c>
      <c r="F356" s="28"/>
      <c r="G356" s="20">
        <f t="shared" si="6"/>
        <v>0</v>
      </c>
      <c r="H356" s="18" t="s">
        <v>556</v>
      </c>
      <c r="I356" s="5"/>
      <c r="J356" s="5"/>
    </row>
    <row r="357" spans="1:10" s="4" customFormat="1" ht="36.950000000000003" customHeight="1" x14ac:dyDescent="0.2">
      <c r="A357" s="17" t="s">
        <v>557</v>
      </c>
      <c r="B357" s="18" t="s">
        <v>558</v>
      </c>
      <c r="C357" s="19"/>
      <c r="D357" s="18"/>
      <c r="E357" s="18"/>
      <c r="F357" s="28"/>
      <c r="G357" s="20"/>
      <c r="H357" s="18" t="s">
        <v>559</v>
      </c>
      <c r="I357" s="5"/>
      <c r="J357" s="5"/>
    </row>
    <row r="358" spans="1:10" s="4" customFormat="1" ht="207" customHeight="1" x14ac:dyDescent="0.2">
      <c r="A358" s="17" t="s">
        <v>560</v>
      </c>
      <c r="B358" s="18" t="s">
        <v>561</v>
      </c>
      <c r="C358" s="19" t="s">
        <v>562</v>
      </c>
      <c r="D358" s="18" t="s">
        <v>248</v>
      </c>
      <c r="E358" s="18">
        <v>3</v>
      </c>
      <c r="F358" s="28"/>
      <c r="G358" s="20">
        <f t="shared" si="6"/>
        <v>0</v>
      </c>
      <c r="H358" s="18" t="s">
        <v>563</v>
      </c>
      <c r="I358" s="5"/>
      <c r="J358" s="5"/>
    </row>
    <row r="359" spans="1:10" s="4" customFormat="1" ht="147.94999999999999" customHeight="1" x14ac:dyDescent="0.2">
      <c r="A359" s="17" t="s">
        <v>564</v>
      </c>
      <c r="B359" s="18" t="s">
        <v>565</v>
      </c>
      <c r="C359" s="19" t="s">
        <v>566</v>
      </c>
      <c r="D359" s="18" t="s">
        <v>248</v>
      </c>
      <c r="E359" s="18">
        <v>3</v>
      </c>
      <c r="F359" s="28"/>
      <c r="G359" s="20">
        <f t="shared" si="6"/>
        <v>0</v>
      </c>
      <c r="H359" s="18" t="s">
        <v>567</v>
      </c>
      <c r="I359" s="5"/>
      <c r="J359" s="5"/>
    </row>
    <row r="360" spans="1:10" s="4" customFormat="1" ht="105" customHeight="1" x14ac:dyDescent="0.2">
      <c r="A360" s="17" t="s">
        <v>568</v>
      </c>
      <c r="B360" s="18" t="s">
        <v>569</v>
      </c>
      <c r="C360" s="19" t="s">
        <v>570</v>
      </c>
      <c r="D360" s="18" t="s">
        <v>248</v>
      </c>
      <c r="E360" s="18">
        <v>4</v>
      </c>
      <c r="F360" s="28"/>
      <c r="G360" s="20">
        <f t="shared" si="6"/>
        <v>0</v>
      </c>
      <c r="H360" s="18"/>
      <c r="I360" s="5"/>
      <c r="J360" s="5"/>
    </row>
    <row r="361" spans="1:10" s="3" customFormat="1" ht="84.95" customHeight="1" x14ac:dyDescent="0.2">
      <c r="A361" s="17" t="s">
        <v>571</v>
      </c>
      <c r="B361" s="18" t="s">
        <v>572</v>
      </c>
      <c r="C361" s="19" t="s">
        <v>573</v>
      </c>
      <c r="D361" s="18" t="s">
        <v>248</v>
      </c>
      <c r="E361" s="18">
        <v>6</v>
      </c>
      <c r="F361" s="28"/>
      <c r="G361" s="20">
        <f t="shared" si="6"/>
        <v>0</v>
      </c>
      <c r="H361" s="18" t="s">
        <v>574</v>
      </c>
    </row>
    <row r="362" spans="1:10" s="3" customFormat="1" ht="30" customHeight="1" x14ac:dyDescent="0.2">
      <c r="A362" s="17" t="s">
        <v>575</v>
      </c>
      <c r="B362" s="18" t="s">
        <v>576</v>
      </c>
      <c r="C362" s="19" t="s">
        <v>577</v>
      </c>
      <c r="D362" s="18" t="s">
        <v>27</v>
      </c>
      <c r="E362" s="18">
        <v>1</v>
      </c>
      <c r="F362" s="28"/>
      <c r="G362" s="20">
        <f t="shared" si="6"/>
        <v>0</v>
      </c>
      <c r="H362" s="18" t="s">
        <v>578</v>
      </c>
    </row>
    <row r="363" spans="1:10" s="3" customFormat="1" ht="30" customHeight="1" x14ac:dyDescent="0.2">
      <c r="A363" s="15" t="s">
        <v>9</v>
      </c>
      <c r="B363" s="14" t="s">
        <v>10</v>
      </c>
      <c r="C363" s="16"/>
      <c r="D363" s="14"/>
      <c r="E363" s="14"/>
      <c r="F363" s="30"/>
      <c r="G363" s="20"/>
      <c r="H363" s="14"/>
    </row>
    <row r="364" spans="1:10" s="4" customFormat="1" ht="30" customHeight="1" x14ac:dyDescent="0.2">
      <c r="A364" s="18">
        <v>4.0999999999999996</v>
      </c>
      <c r="B364" s="18" t="s">
        <v>579</v>
      </c>
      <c r="C364" s="19"/>
      <c r="D364" s="18" t="s">
        <v>27</v>
      </c>
      <c r="E364" s="32">
        <v>1</v>
      </c>
      <c r="F364" s="50"/>
      <c r="G364" s="20">
        <f t="shared" si="6"/>
        <v>0</v>
      </c>
      <c r="H364" s="18"/>
      <c r="I364" s="5"/>
      <c r="J364" s="5"/>
    </row>
    <row r="365" spans="1:10" s="4" customFormat="1" ht="30" customHeight="1" x14ac:dyDescent="0.2">
      <c r="A365" s="18">
        <v>4.2</v>
      </c>
      <c r="B365" s="18" t="s">
        <v>580</v>
      </c>
      <c r="C365" s="19"/>
      <c r="D365" s="18" t="s">
        <v>27</v>
      </c>
      <c r="E365" s="32">
        <v>1</v>
      </c>
      <c r="F365" s="28"/>
      <c r="G365" s="20">
        <f t="shared" si="6"/>
        <v>0</v>
      </c>
      <c r="H365" s="18"/>
      <c r="I365" s="5"/>
      <c r="J365" s="5"/>
    </row>
    <row r="366" spans="1:10" s="7" customFormat="1" ht="30" customHeight="1" x14ac:dyDescent="0.2">
      <c r="A366" s="18">
        <v>4.3</v>
      </c>
      <c r="B366" s="18" t="s">
        <v>581</v>
      </c>
      <c r="C366" s="19"/>
      <c r="D366" s="18" t="s">
        <v>27</v>
      </c>
      <c r="E366" s="32">
        <v>1</v>
      </c>
      <c r="F366" s="28"/>
      <c r="G366" s="20">
        <f t="shared" si="6"/>
        <v>0</v>
      </c>
      <c r="H366" s="18" t="s">
        <v>582</v>
      </c>
      <c r="I366" s="5"/>
      <c r="J366" s="5"/>
    </row>
    <row r="367" spans="1:10" ht="30" customHeight="1" x14ac:dyDescent="0.2">
      <c r="A367" s="55" t="s">
        <v>583</v>
      </c>
      <c r="B367" s="56"/>
      <c r="C367" s="57"/>
      <c r="D367" s="56"/>
      <c r="E367" s="58"/>
      <c r="F367" s="55">
        <f>ROUND(SUM(G8:G366),0)</f>
        <v>0</v>
      </c>
      <c r="G367" s="58"/>
      <c r="H367" s="18" t="s">
        <v>584</v>
      </c>
    </row>
  </sheetData>
  <sheetProtection algorithmName="SHA-512" hashValue="sEEwc+8fzsBcR4dRHsvtyMjTcR0YJgMXGPqcaJEM1FQ486jHrkbeXeoYq/1aDQ0WZnB1hfBYeGe3usDOLu6tbw==" saltValue="49cVeYkW2e6Ry5uyN8M6Eg==" spinCount="100000" sheet="1" objects="1" formatCells="0" formatColumns="0" formatRows="0"/>
  <mergeCells count="5">
    <mergeCell ref="A1:H1"/>
    <mergeCell ref="A2:H2"/>
    <mergeCell ref="A367:E367"/>
    <mergeCell ref="F367:G367"/>
    <mergeCell ref="I124:I135"/>
  </mergeCells>
  <phoneticPr fontId="15" type="noConversion"/>
  <printOptions horizontalCentered="1"/>
  <pageMargins left="0.39305555555555599" right="0.31458333333333299" top="0.47222222222222199" bottom="0.39305555555555599" header="0.594444444444444" footer="0"/>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2" master="" otherUserPermission="visible"/>
  <rangeList sheetStid="1"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清单</vt:lpstr>
      <vt:lpstr>清单!Print_Area</vt:lpstr>
      <vt:lpstr>清单!Print_Titles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null</dc:creator>
  <cp:lastModifiedBy>jxt jxt</cp:lastModifiedBy>
  <dcterms:created xsi:type="dcterms:W3CDTF">2024-12-02T05:49:00Z</dcterms:created>
  <dcterms:modified xsi:type="dcterms:W3CDTF">2026-03-27T05:08:46Z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FA441D87931A4C96A805566B882EF20E_12</vt:lpwstr>
  </property>
  <property fmtid="{D5CDD505-2E9C-101B-9397-08002B2CF9AE}" pid="3" name="KSOProductBuildVer">
    <vt:lpwstr>2052-12.1.0.23542</vt:lpwstr>
  </property>
</Properties>
</file>