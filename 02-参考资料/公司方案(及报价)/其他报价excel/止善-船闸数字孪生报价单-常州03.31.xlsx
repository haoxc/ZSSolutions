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F:\销售市场\徐安坚\水务\"/>
    </mc:Choice>
  </mc:AlternateContent>
  <xr:revisionPtr revIDLastSave="0" documentId="8_{AB4CE1D4-3DE8-480D-935A-B9C56448A84F}" xr6:coauthVersionLast="47" xr6:coauthVersionMax="47" xr10:uidLastSave="{00000000-0000-0000-0000-000000000000}"/>
  <bookViews>
    <workbookView xWindow="-120" yWindow="-120" windowWidth="29040" windowHeight="15720" tabRatio="593" xr2:uid="{00000000-000D-0000-FFFF-FFFF00000000}"/>
  </bookViews>
  <sheets>
    <sheet name="报价" sheetId="3" r:id="rId1"/>
  </sheets>
  <definedNames>
    <definedName name="_xlnm.Print_Area" localSheetId="0">报价!$A$1:$E$45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D20" i="3"/>
  <c r="D19" i="3"/>
  <c r="D18" i="3"/>
  <c r="D17" i="3"/>
  <c r="D21" i="3" l="1"/>
</calcChain>
</file>

<file path=xl/sharedStrings.xml><?xml version="1.0" encoding="utf-8"?>
<sst xmlns="http://schemas.openxmlformats.org/spreadsheetml/2006/main" count="70" uniqueCount="66">
  <si>
    <t>船闸数字孪生系统</t>
  </si>
  <si>
    <t>报价单</t>
  </si>
  <si>
    <t>报价单位：南京止善智能科技研究院有限公司</t>
  </si>
  <si>
    <t>报价联系人：徐安坚 13951993645</t>
  </si>
  <si>
    <t>报价日期：2026年03月31日</t>
  </si>
  <si>
    <t>一、 公司介绍</t>
  </si>
  <si>
    <t>项目名称：船闸数字孪生</t>
  </si>
  <si>
    <t>分项报价</t>
  </si>
  <si>
    <t>序号</t>
  </si>
  <si>
    <t>系统模块</t>
  </si>
  <si>
    <t>价格（元）</t>
  </si>
  <si>
    <t>备注</t>
  </si>
  <si>
    <t>模型处理</t>
  </si>
  <si>
    <t>WebGL+UE引擎场景搭建</t>
  </si>
  <si>
    <t>核心功能模块</t>
  </si>
  <si>
    <t>接口与数据集成服务</t>
  </si>
  <si>
    <t>合计：</t>
  </si>
  <si>
    <t>驻场费用预估</t>
  </si>
  <si>
    <t>报价详情</t>
  </si>
  <si>
    <t>功能模块</t>
  </si>
  <si>
    <t>功能描述</t>
  </si>
  <si>
    <t>扫测</t>
  </si>
  <si>
    <t>前黄船闸中精度底板</t>
  </si>
  <si>
    <t>1、建设范围：电子航道图 K17+442 至 K22+980 区域
2、航道中心左右间隔 550m
3、采集面积：约 7.4 平方公里
4、精度：倾斜0.3m、高程0.25m、影像10cm
5、成果：倾斜摄影模型、影像高程数据</t>
  </si>
  <si>
    <t>前黄船闸高精度三维场景</t>
  </si>
  <si>
    <t>1、建设范围：前黄船闸周边
2、采集面积：约 3 平方公里
3、精度：3-5cm
4、成果：倾斜摄影模型</t>
  </si>
  <si>
    <t>单体建模</t>
  </si>
  <si>
    <t>船闸主体建模</t>
  </si>
  <si>
    <t>1、闸室结构（长 230m×宽 23m×深 4m）
2、闸首结构（上闸首、下闸首）
3、PBR 材质贴图</t>
  </si>
  <si>
    <t>闸门及启闭机建模</t>
  </si>
  <si>
    <t>1、人字闸门（门叶、门轴、止水）
2、启闭机（液压启闭机、电气控制柜）
3、阀门系统
4、活动部件单独建模（可动画驱动）</t>
  </si>
  <si>
    <t>引航道及附属设施建模</t>
  </si>
  <si>
    <t>1、上下游引航道（导航墙、靠船墩）
2、系船柱、护舷等附属设施
3、航道护岸</t>
  </si>
  <si>
    <t>管理区建筑建模</t>
  </si>
  <si>
    <t>1、闸首管理楼
2、机房建筑
3、围墙、道路、绿化</t>
  </si>
  <si>
    <t>其他模型</t>
  </si>
  <si>
    <t>上下游2km内的所有桥梁</t>
  </si>
  <si>
    <t>船舶建模</t>
  </si>
  <si>
    <t>1、集装箱船
2、货轮
3、拖轮
4、驳船
5、执法船
6、船队
7、其他船</t>
  </si>
  <si>
    <t>引擎场景搭建</t>
  </si>
  <si>
    <t>基础底板搭建（UE）</t>
  </si>
  <si>
    <t>1、常州苏南运河共计 49km
2、基于高程、影像搭建基础场景底板</t>
  </si>
  <si>
    <t>基础底板搭建（Unity）</t>
  </si>
  <si>
    <t>场景整合与特效制作（UE）</t>
  </si>
  <si>
    <t>1、整合模型，材质、光照、色调等效果调整。
2、根据设计方案制作相关特殊效果（水面、天气、光照、电子围栏特效、告警特效等）。</t>
  </si>
  <si>
    <t>场景整合与特效制作（Unity）</t>
  </si>
  <si>
    <t>核心功能模块开发</t>
  </si>
  <si>
    <t>UI 主界面设计</t>
  </si>
  <si>
    <t>1、界面风格设计：1 套（科技风/水利行业风格）
2、分辨率适配：1920×1080、3840×2160</t>
  </si>
  <si>
    <t>数字孪生门户开发</t>
  </si>
  <si>
    <t>统一认证、数据总览、分级访问功能，支持与现有系统集成</t>
  </si>
  <si>
    <t>三维可视化模块开发</t>
  </si>
  <si>
    <t>多图层切换、多视角展示、全要素可视、基础设施查询功能</t>
  </si>
  <si>
    <t>运营智能监测模块开发</t>
  </si>
  <si>
    <t>多源数据对接、视频汇聚联动、船舶精准监测、全域态势感知功能</t>
  </si>
  <si>
    <t>过闸智能监测模块开发</t>
  </si>
  <si>
    <t>全流程监测、异常预警处置、运营报告生成功能</t>
  </si>
  <si>
    <t>接口与集成服务</t>
  </si>
  <si>
    <t>系统接口开发</t>
  </si>
  <si>
    <t>与过闸综合辅助终端、运调系统、省市港航平台数据交互接口</t>
  </si>
  <si>
    <t>现有系统集成服务</t>
  </si>
  <si>
    <t>与常州港航现有存储、网络设备集成适配</t>
  </si>
  <si>
    <t>合计</t>
  </si>
  <si>
    <t xml:space="preserve">  1、报价有效期:1个月；
  2、本报价函仅用于签订合同前报价，实际价格以最终合同价格为准。
</t>
  </si>
  <si>
    <t xml:space="preserve">南京止善智能科技研究院有限公司
 2026年03月31日 </t>
  </si>
  <si>
    <r>
      <t xml:space="preserve"> 项目总价（不驻场） </t>
    </r>
    <r>
      <rPr>
        <b/>
        <u/>
        <sz val="12"/>
        <rFont val="宋体"/>
        <charset val="134"/>
      </rPr>
      <t xml:space="preserve"> 980120 </t>
    </r>
    <r>
      <rPr>
        <sz val="12"/>
        <rFont val="宋体"/>
        <charset val="134"/>
      </rPr>
      <t>元（</t>
    </r>
    <r>
      <rPr>
        <b/>
        <sz val="12"/>
        <rFont val="宋体"/>
        <charset val="134"/>
      </rPr>
      <t>大写玖拾捌万零壹佰贰拾元整</t>
    </r>
    <r>
      <rPr>
        <sz val="12"/>
        <rFont val="宋体"/>
        <charset val="134"/>
      </rPr>
      <t>）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</si>
</sst>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;&quot;￥&quot;\-#,##0"/>
  </numFmts>
  <fonts count="13" x14ac:knownFonts="1">
    <font>
      <sz val="10"/>
      <color theme="1"/>
      <name val="等线"/>
      <charset val="134"/>
      <scheme val="minor"/>
    </font>
    <font>
      <sz val="10"/>
      <name val="等线"/>
      <charset val="134"/>
    </font>
    <font>
      <sz val="10"/>
      <name val="宋体"/>
      <charset val="134"/>
    </font>
    <font>
      <b/>
      <sz val="2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6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sz val="9"/>
      <name val="等线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5F7F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176" fontId="9" fillId="3" borderId="8" xfId="0" applyNumberFormat="1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9" fillId="3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66FF"/>
      <color rgb="FF335EE7"/>
      <color rgb="FFF5F7FE"/>
      <color rgb="FF4D73EA"/>
      <color rgb="FF2654E5"/>
      <color rgb="FF0036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10</xdr:row>
      <xdr:rowOff>456565</xdr:rowOff>
    </xdr:from>
    <xdr:to>
      <xdr:col>4</xdr:col>
      <xdr:colOff>1228725</xdr:colOff>
      <xdr:row>11</xdr:row>
      <xdr:rowOff>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15" y="10231755"/>
          <a:ext cx="604266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288290">
            <a:lnSpc>
              <a:spcPct val="150000"/>
            </a:lnSpc>
            <a:spcBef>
              <a:spcPts val="300"/>
            </a:spcBef>
            <a:spcAft>
              <a:spcPts val="300"/>
            </a:spcAft>
          </a:pPr>
          <a:r>
            <a:rPr lang="zh-CN" altLang="zh-CN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零一数创（南京零一数创信息科技有限公司）总部坐落于六朝古都南京，在西安、北京设有子公司，致力于数字可视化技术的前沿探索与研发。企业秉持“数展实力，引创未来”的使命，通过强大的设计、研发和创新能力，为客户打造数字视窗，展示客户实力。整合地理信息、三维仿真、数字孪生等先进技术，打造高效的虚拟仿真场景和数字化应用平台，在数字孪生可视化领域已成为优秀的领军企业之一。</a:t>
          </a:r>
        </a:p>
      </xdr:txBody>
    </xdr:sp>
    <xdr:clientData/>
  </xdr:twoCellAnchor>
  <xdr:twoCellAnchor>
    <xdr:from>
      <xdr:col>0</xdr:col>
      <xdr:colOff>22225</xdr:colOff>
      <xdr:row>11</xdr:row>
      <xdr:rowOff>0</xdr:rowOff>
    </xdr:from>
    <xdr:to>
      <xdr:col>5</xdr:col>
      <xdr:colOff>0</xdr:colOff>
      <xdr:row>11</xdr:row>
      <xdr:rowOff>20955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2225" y="10231755"/>
          <a:ext cx="6067425" cy="2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indent="288290" fontAlgn="auto">
            <a:lnSpc>
              <a:spcPct val="150000"/>
            </a:lnSpc>
            <a:spcBef>
              <a:spcPts val="300"/>
            </a:spcBef>
            <a:spcAft>
              <a:spcPts val="0"/>
            </a:spcAft>
          </a:pPr>
          <a:r>
            <a:rPr lang="zh-CN" altLang="en-US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服务领域：水利、矿业、能源、军工、工厂等。在水利领域实施了基于水动力模型数据的水淹推演、长江流域崩岸预警、现代化水库运行管理矩阵、水利工程数字孪生、灌区数字孪生等众多项目，推动水利数字化和管理现代化；在矿业领域实施了综采工作面的三维仿真孪生、地应力三维可视化、洗煤厂工艺孪生可视化等孪生项目，为矿业的安全生产保驾护航，为提高生产效率添砖加瓦；在石油、天然气、风电（陆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/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海）、光伏等能源方向建成了以三维孪生可视化为底座的监测、监控、预警等信息化系统，助力能源数字化进程；军事领域主要研发海陆空天电五维一体的态势推演系统，为国防事业贡献微薄之力；工厂方面我们为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3D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打印生产制造商、污水处理厂等各行业工厂车间建成了运行稳定、性能高效的数字化系统，推动各工厂的数字化改造升级，加快数字中国建设速度。</a:t>
          </a:r>
          <a:endParaRPr lang="en-US" altLang="zh-CN" sz="1200">
            <a:solidFill>
              <a:sysClr val="windowText" lastClr="00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indent="288290" fontAlgn="auto">
            <a:lnSpc>
              <a:spcPct val="150000"/>
            </a:lnSpc>
            <a:spcBef>
              <a:spcPts val="300"/>
            </a:spcBef>
            <a:spcAft>
              <a:spcPts val="0"/>
            </a:spcAft>
          </a:pPr>
          <a:r>
            <a:rPr lang="zh-CN" altLang="en-US" sz="1200">
              <a:solidFill>
                <a:sysClr val="windowText" lastClr="00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在各个领域我们秉承让客户“安享服务”的愿景，尽心尽力服务每一位客户，水利方向已服务众多高校、水利科学研究院、水利勘测设计研究院等；矿业方向已服务中国煤科、晋能控股、焦煤集团、中国矿大、太原理工、中国地大等众多高校和矿企；军事领域已服务中国船舶集团、中电科、航天科工、航天科技、中国兵器等众多军事领域翘楚单位。</a:t>
          </a:r>
          <a:endParaRPr lang="zh-CN" altLang="zh-CN" sz="1200">
            <a:solidFill>
              <a:sysClr val="windowText" lastClr="00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view="pageBreakPreview" topLeftCell="A7" zoomScale="145" zoomScaleNormal="100" workbookViewId="0">
      <selection activeCell="E16" sqref="E16"/>
    </sheetView>
  </sheetViews>
  <sheetFormatPr defaultColWidth="11" defaultRowHeight="12.75" x14ac:dyDescent="0.2"/>
  <cols>
    <col min="1" max="1" width="14.5703125" style="1" customWidth="1"/>
    <col min="2" max="2" width="19" style="2" customWidth="1"/>
    <col min="3" max="3" width="21.140625" style="1" customWidth="1"/>
    <col min="4" max="4" width="17.5703125" style="1" customWidth="1"/>
    <col min="5" max="5" width="18.85546875" style="1" customWidth="1"/>
  </cols>
  <sheetData>
    <row r="1" spans="1:5" ht="95.1" customHeight="1" x14ac:dyDescent="0.2">
      <c r="A1" s="13"/>
      <c r="B1" s="13"/>
      <c r="C1" s="13"/>
      <c r="D1" s="13"/>
      <c r="E1" s="13"/>
    </row>
    <row r="2" spans="1:5" ht="81.95" customHeight="1" x14ac:dyDescent="0.2">
      <c r="A2" s="14" t="s">
        <v>0</v>
      </c>
      <c r="B2" s="14"/>
      <c r="C2" s="14"/>
      <c r="D2" s="14"/>
      <c r="E2" s="14"/>
    </row>
    <row r="3" spans="1:5" ht="45.95" customHeight="1" x14ac:dyDescent="0.2">
      <c r="A3" s="14" t="s">
        <v>1</v>
      </c>
      <c r="B3" s="14"/>
      <c r="C3" s="14"/>
      <c r="D3" s="14"/>
      <c r="E3" s="14"/>
    </row>
    <row r="4" spans="1:5" ht="409.5" customHeight="1" x14ac:dyDescent="0.2">
      <c r="A4" s="14"/>
      <c r="B4" s="14"/>
      <c r="C4" s="14"/>
      <c r="D4" s="14"/>
      <c r="E4" s="14"/>
    </row>
    <row r="5" spans="1:5" ht="57.6" customHeight="1" x14ac:dyDescent="0.2">
      <c r="A5" s="14"/>
      <c r="B5" s="14"/>
      <c r="C5" s="14"/>
      <c r="D5" s="14"/>
      <c r="E5" s="14"/>
    </row>
    <row r="6" spans="1:5" ht="24.95" customHeight="1" x14ac:dyDescent="0.2">
      <c r="A6" s="15" t="s">
        <v>2</v>
      </c>
      <c r="B6" s="16"/>
      <c r="C6" s="16"/>
      <c r="D6" s="16"/>
      <c r="E6" s="16"/>
    </row>
    <row r="7" spans="1:5" ht="24.95" customHeight="1" x14ac:dyDescent="0.2">
      <c r="A7" s="15" t="s">
        <v>3</v>
      </c>
      <c r="B7" s="17"/>
      <c r="C7" s="17"/>
      <c r="D7" s="17"/>
      <c r="E7" s="17"/>
    </row>
    <row r="8" spans="1:5" ht="24.95" customHeight="1" x14ac:dyDescent="0.2">
      <c r="A8" s="15" t="s">
        <v>4</v>
      </c>
      <c r="B8" s="17"/>
      <c r="C8" s="17"/>
      <c r="D8" s="17"/>
      <c r="E8" s="17"/>
    </row>
    <row r="9" spans="1:5" ht="30" customHeight="1" x14ac:dyDescent="0.2">
      <c r="A9" s="18"/>
      <c r="B9" s="19"/>
      <c r="C9" s="19"/>
      <c r="D9" s="19"/>
      <c r="E9" s="19"/>
    </row>
    <row r="10" spans="1:5" ht="9.9499999999999993" customHeight="1" x14ac:dyDescent="0.2">
      <c r="A10" s="18"/>
      <c r="B10" s="18"/>
      <c r="C10" s="18"/>
      <c r="D10" s="18"/>
      <c r="E10" s="18"/>
    </row>
    <row r="11" spans="1:5" ht="0.75" customHeight="1" x14ac:dyDescent="0.2">
      <c r="A11" s="20" t="s">
        <v>5</v>
      </c>
      <c r="B11" s="20"/>
      <c r="C11" s="20"/>
      <c r="D11" s="20"/>
      <c r="E11" s="20"/>
    </row>
    <row r="12" spans="1:5" ht="57" customHeight="1" x14ac:dyDescent="0.2">
      <c r="A12" s="21"/>
      <c r="B12" s="21"/>
      <c r="C12" s="21"/>
      <c r="D12" s="21"/>
      <c r="E12" s="21"/>
    </row>
    <row r="13" spans="1:5" ht="27.95" customHeight="1" x14ac:dyDescent="0.2">
      <c r="A13" s="22" t="s">
        <v>6</v>
      </c>
      <c r="B13" s="23"/>
      <c r="C13" s="23"/>
      <c r="D13" s="23"/>
      <c r="E13" s="24"/>
    </row>
    <row r="14" spans="1:5" ht="27.95" customHeight="1" x14ac:dyDescent="0.2">
      <c r="A14" s="51" t="s">
        <v>65</v>
      </c>
      <c r="B14" s="23"/>
      <c r="C14" s="23"/>
      <c r="D14" s="23"/>
      <c r="E14" s="24"/>
    </row>
    <row r="15" spans="1:5" ht="27.95" customHeight="1" x14ac:dyDescent="0.2">
      <c r="A15" s="25" t="s">
        <v>7</v>
      </c>
      <c r="B15" s="26"/>
      <c r="C15" s="26"/>
      <c r="D15" s="26"/>
      <c r="E15" s="27"/>
    </row>
    <row r="16" spans="1:5" ht="27.95" customHeight="1" x14ac:dyDescent="0.2">
      <c r="A16" s="3" t="s">
        <v>8</v>
      </c>
      <c r="B16" s="28" t="s">
        <v>9</v>
      </c>
      <c r="C16" s="28"/>
      <c r="D16" s="3" t="s">
        <v>10</v>
      </c>
      <c r="E16" s="3" t="s">
        <v>11</v>
      </c>
    </row>
    <row r="17" spans="1:5" ht="39.950000000000003" customHeight="1" x14ac:dyDescent="0.2">
      <c r="A17" s="4">
        <v>1</v>
      </c>
      <c r="B17" s="29" t="s">
        <v>12</v>
      </c>
      <c r="C17" s="29"/>
      <c r="D17" s="5">
        <f>E24+E25+E26+E31</f>
        <v>291460</v>
      </c>
      <c r="E17" s="6"/>
    </row>
    <row r="18" spans="1:5" ht="27.95" customHeight="1" x14ac:dyDescent="0.2">
      <c r="A18" s="4">
        <v>4</v>
      </c>
      <c r="B18" s="29" t="s">
        <v>13</v>
      </c>
      <c r="C18" s="29"/>
      <c r="D18" s="5">
        <f>E32+E33+E34+E35</f>
        <v>142200</v>
      </c>
      <c r="E18" s="7"/>
    </row>
    <row r="19" spans="1:5" ht="27.95" customHeight="1" x14ac:dyDescent="0.2">
      <c r="A19" s="4">
        <v>5</v>
      </c>
      <c r="B19" s="29" t="s">
        <v>14</v>
      </c>
      <c r="C19" s="29"/>
      <c r="D19" s="5">
        <f>E36+E37+E38+E39+E40</f>
        <v>350460</v>
      </c>
      <c r="E19" s="7"/>
    </row>
    <row r="20" spans="1:5" ht="27.95" customHeight="1" x14ac:dyDescent="0.2">
      <c r="A20" s="3"/>
      <c r="B20" s="29" t="s">
        <v>15</v>
      </c>
      <c r="C20" s="29"/>
      <c r="D20" s="5">
        <f>E41+E42</f>
        <v>196000</v>
      </c>
      <c r="E20" s="7"/>
    </row>
    <row r="21" spans="1:5" ht="27.95" customHeight="1" x14ac:dyDescent="0.2">
      <c r="A21" s="28" t="s">
        <v>16</v>
      </c>
      <c r="B21" s="28" t="s">
        <v>17</v>
      </c>
      <c r="C21" s="28"/>
      <c r="D21" s="5">
        <f>SUM(D17:D20)</f>
        <v>980120</v>
      </c>
      <c r="E21" s="7"/>
    </row>
    <row r="22" spans="1:5" ht="27.95" customHeight="1" x14ac:dyDescent="0.2">
      <c r="A22" s="30" t="s">
        <v>18</v>
      </c>
      <c r="B22" s="31"/>
      <c r="C22" s="31"/>
      <c r="D22" s="31"/>
      <c r="E22" s="32"/>
    </row>
    <row r="23" spans="1:5" ht="27" customHeight="1" x14ac:dyDescent="0.2">
      <c r="A23" s="8" t="s">
        <v>9</v>
      </c>
      <c r="B23" s="8" t="s">
        <v>19</v>
      </c>
      <c r="C23" s="33" t="s">
        <v>20</v>
      </c>
      <c r="D23" s="34"/>
      <c r="E23" s="8" t="s">
        <v>10</v>
      </c>
    </row>
    <row r="24" spans="1:5" ht="99" customHeight="1" x14ac:dyDescent="0.2">
      <c r="A24" s="45" t="s">
        <v>21</v>
      </c>
      <c r="B24" s="9" t="s">
        <v>22</v>
      </c>
      <c r="C24" s="35" t="s">
        <v>23</v>
      </c>
      <c r="D24" s="35"/>
      <c r="E24" s="10">
        <v>28830</v>
      </c>
    </row>
    <row r="25" spans="1:5" ht="65.099999999999994" customHeight="1" x14ac:dyDescent="0.2">
      <c r="A25" s="45"/>
      <c r="B25" s="9" t="s">
        <v>24</v>
      </c>
      <c r="C25" s="36" t="s">
        <v>25</v>
      </c>
      <c r="D25" s="37"/>
      <c r="E25" s="11">
        <v>29250</v>
      </c>
    </row>
    <row r="26" spans="1:5" ht="48" customHeight="1" x14ac:dyDescent="0.2">
      <c r="A26" s="46" t="s">
        <v>26</v>
      </c>
      <c r="B26" s="9" t="s">
        <v>27</v>
      </c>
      <c r="C26" s="38" t="s">
        <v>28</v>
      </c>
      <c r="D26" s="38"/>
      <c r="E26" s="48">
        <v>157550</v>
      </c>
    </row>
    <row r="27" spans="1:5" ht="53.1" customHeight="1" x14ac:dyDescent="0.2">
      <c r="A27" s="45"/>
      <c r="B27" s="9" t="s">
        <v>29</v>
      </c>
      <c r="C27" s="38" t="s">
        <v>30</v>
      </c>
      <c r="D27" s="38"/>
      <c r="E27" s="49"/>
    </row>
    <row r="28" spans="1:5" ht="48" customHeight="1" x14ac:dyDescent="0.2">
      <c r="A28" s="45"/>
      <c r="B28" s="9" t="s">
        <v>31</v>
      </c>
      <c r="C28" s="38" t="s">
        <v>32</v>
      </c>
      <c r="D28" s="38"/>
      <c r="E28" s="49"/>
    </row>
    <row r="29" spans="1:5" ht="42.95" customHeight="1" x14ac:dyDescent="0.2">
      <c r="A29" s="45"/>
      <c r="B29" s="9" t="s">
        <v>33</v>
      </c>
      <c r="C29" s="38" t="s">
        <v>34</v>
      </c>
      <c r="D29" s="38"/>
      <c r="E29" s="49"/>
    </row>
    <row r="30" spans="1:5" ht="32.1" customHeight="1" x14ac:dyDescent="0.2">
      <c r="A30" s="45"/>
      <c r="B30" s="9" t="s">
        <v>35</v>
      </c>
      <c r="C30" s="36" t="s">
        <v>36</v>
      </c>
      <c r="D30" s="37"/>
      <c r="E30" s="50"/>
    </row>
    <row r="31" spans="1:5" ht="96" customHeight="1" x14ac:dyDescent="0.2">
      <c r="A31" s="47"/>
      <c r="B31" s="9" t="s">
        <v>37</v>
      </c>
      <c r="C31" s="36" t="s">
        <v>38</v>
      </c>
      <c r="D31" s="37"/>
      <c r="E31" s="10">
        <v>75830</v>
      </c>
    </row>
    <row r="32" spans="1:5" ht="48" customHeight="1" x14ac:dyDescent="0.2">
      <c r="A32" s="46" t="s">
        <v>39</v>
      </c>
      <c r="B32" s="9" t="s">
        <v>40</v>
      </c>
      <c r="C32" s="36" t="s">
        <v>41</v>
      </c>
      <c r="D32" s="37"/>
      <c r="E32" s="10">
        <v>33880</v>
      </c>
    </row>
    <row r="33" spans="1:5" ht="48" customHeight="1" x14ac:dyDescent="0.2">
      <c r="A33" s="45"/>
      <c r="B33" s="9" t="s">
        <v>42</v>
      </c>
      <c r="C33" s="36" t="s">
        <v>41</v>
      </c>
      <c r="D33" s="37"/>
      <c r="E33" s="10">
        <v>32880</v>
      </c>
    </row>
    <row r="34" spans="1:5" ht="81" customHeight="1" x14ac:dyDescent="0.2">
      <c r="A34" s="45"/>
      <c r="B34" s="9" t="s">
        <v>43</v>
      </c>
      <c r="C34" s="36" t="s">
        <v>44</v>
      </c>
      <c r="D34" s="37"/>
      <c r="E34" s="10">
        <v>37720</v>
      </c>
    </row>
    <row r="35" spans="1:5" ht="68.099999999999994" customHeight="1" x14ac:dyDescent="0.2">
      <c r="A35" s="47"/>
      <c r="B35" s="9" t="s">
        <v>45</v>
      </c>
      <c r="C35" s="36" t="s">
        <v>44</v>
      </c>
      <c r="D35" s="37"/>
      <c r="E35" s="10">
        <v>37720</v>
      </c>
    </row>
    <row r="36" spans="1:5" ht="51" customHeight="1" x14ac:dyDescent="0.2">
      <c r="A36" s="46" t="s">
        <v>46</v>
      </c>
      <c r="B36" s="9" t="s">
        <v>47</v>
      </c>
      <c r="C36" s="36" t="s">
        <v>48</v>
      </c>
      <c r="D36" s="37"/>
      <c r="E36" s="10">
        <v>28260</v>
      </c>
    </row>
    <row r="37" spans="1:5" ht="48" customHeight="1" x14ac:dyDescent="0.2">
      <c r="A37" s="45"/>
      <c r="B37" s="9" t="s">
        <v>49</v>
      </c>
      <c r="C37" s="36" t="s">
        <v>50</v>
      </c>
      <c r="D37" s="37"/>
      <c r="E37" s="10">
        <v>82200</v>
      </c>
    </row>
    <row r="38" spans="1:5" ht="48" customHeight="1" x14ac:dyDescent="0.2">
      <c r="A38" s="45"/>
      <c r="B38" s="9" t="s">
        <v>51</v>
      </c>
      <c r="C38" s="36" t="s">
        <v>52</v>
      </c>
      <c r="D38" s="37"/>
      <c r="E38" s="10">
        <v>90750</v>
      </c>
    </row>
    <row r="39" spans="1:5" ht="48" customHeight="1" x14ac:dyDescent="0.2">
      <c r="A39" s="45"/>
      <c r="B39" s="9" t="s">
        <v>53</v>
      </c>
      <c r="C39" s="36" t="s">
        <v>54</v>
      </c>
      <c r="D39" s="37"/>
      <c r="E39" s="10">
        <v>89750</v>
      </c>
    </row>
    <row r="40" spans="1:5" ht="48" customHeight="1" x14ac:dyDescent="0.2">
      <c r="A40" s="47"/>
      <c r="B40" s="9" t="s">
        <v>55</v>
      </c>
      <c r="C40" s="36" t="s">
        <v>56</v>
      </c>
      <c r="D40" s="37"/>
      <c r="E40" s="10">
        <v>59500</v>
      </c>
    </row>
    <row r="41" spans="1:5" ht="48" customHeight="1" x14ac:dyDescent="0.2">
      <c r="A41" s="45" t="s">
        <v>57</v>
      </c>
      <c r="B41" s="9" t="s">
        <v>58</v>
      </c>
      <c r="C41" s="36" t="s">
        <v>59</v>
      </c>
      <c r="D41" s="37"/>
      <c r="E41" s="10">
        <v>101000</v>
      </c>
    </row>
    <row r="42" spans="1:5" ht="56.1" customHeight="1" x14ac:dyDescent="0.2">
      <c r="A42" s="47"/>
      <c r="B42" s="9" t="s">
        <v>60</v>
      </c>
      <c r="C42" s="38" t="s">
        <v>61</v>
      </c>
      <c r="D42" s="38"/>
      <c r="E42" s="10">
        <v>95000</v>
      </c>
    </row>
    <row r="43" spans="1:5" ht="27" customHeight="1" x14ac:dyDescent="0.2">
      <c r="A43" s="33" t="s">
        <v>62</v>
      </c>
      <c r="B43" s="39"/>
      <c r="C43" s="39"/>
      <c r="D43" s="40"/>
      <c r="E43" s="12">
        <f>SUM(E24:E42)</f>
        <v>980120</v>
      </c>
    </row>
    <row r="44" spans="1:5" ht="84" customHeight="1" x14ac:dyDescent="0.2">
      <c r="A44" s="41" t="s">
        <v>63</v>
      </c>
      <c r="B44" s="42"/>
      <c r="C44" s="42"/>
      <c r="D44" s="42"/>
      <c r="E44" s="42"/>
    </row>
    <row r="45" spans="1:5" ht="51" customHeight="1" x14ac:dyDescent="0.2">
      <c r="A45" s="43" t="s">
        <v>64</v>
      </c>
      <c r="B45" s="44"/>
      <c r="C45" s="44"/>
      <c r="D45" s="44"/>
      <c r="E45" s="44"/>
    </row>
  </sheetData>
  <mergeCells count="51">
    <mergeCell ref="A26:A31"/>
    <mergeCell ref="A32:A35"/>
    <mergeCell ref="A36:A40"/>
    <mergeCell ref="A41:A42"/>
    <mergeCell ref="E26:E30"/>
    <mergeCell ref="C41:D41"/>
    <mergeCell ref="C42:D42"/>
    <mergeCell ref="A43:D43"/>
    <mergeCell ref="A44:E44"/>
    <mergeCell ref="A45:E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A21:C21"/>
    <mergeCell ref="A22:E22"/>
    <mergeCell ref="C23:D23"/>
    <mergeCell ref="C24:D24"/>
    <mergeCell ref="C25:D25"/>
    <mergeCell ref="A24:A25"/>
    <mergeCell ref="B16:C16"/>
    <mergeCell ref="B17:C17"/>
    <mergeCell ref="B18:C18"/>
    <mergeCell ref="B19:C19"/>
    <mergeCell ref="B20:C20"/>
    <mergeCell ref="A11:E11"/>
    <mergeCell ref="A12:E12"/>
    <mergeCell ref="A13:E13"/>
    <mergeCell ref="A14:E14"/>
    <mergeCell ref="A15:E15"/>
    <mergeCell ref="A6:E6"/>
    <mergeCell ref="A7:E7"/>
    <mergeCell ref="A8:E8"/>
    <mergeCell ref="A9:E9"/>
    <mergeCell ref="A10:E10"/>
    <mergeCell ref="A1:E1"/>
    <mergeCell ref="A2:E2"/>
    <mergeCell ref="A3:E3"/>
    <mergeCell ref="A4:E4"/>
    <mergeCell ref="A5:E5"/>
  </mergeCells>
  <phoneticPr fontId="11" type="noConversion"/>
  <printOptions horizontalCentered="1"/>
  <pageMargins left="0.70866141732283505" right="0.70866141732283505" top="0.74803149606299202" bottom="0.74803149606299202" header="0.31496062992126" footer="0.31496062992126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报价</vt:lpstr>
      <vt:lpstr>报价!Print_Area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jxt jxt</dc:creator>
  <cp:lastModifiedBy>jxt jxt</cp:lastModifiedBy>
  <cp:lastPrinted>2026-03-30T09:44:00Z</cp:lastPrinted>
  <dcterms:created xsi:type="dcterms:W3CDTF">2024-10-14T07:32:00Z</dcterms:created>
  <dcterms:modified xsi:type="dcterms:W3CDTF">2026-03-31T10:35:08Z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FFCA8C2A1C4D463584951DBBB42579D0_13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