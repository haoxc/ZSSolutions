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F:\销售市场\王鹏飞\交通\"/>
    </mc:Choice>
  </mc:AlternateContent>
  <xr:revisionPtr revIDLastSave="0" documentId="8_{153CA729-B112-4696-977D-2EEF6F523D97}" xr6:coauthVersionLast="47" xr6:coauthVersionMax="47" xr10:uidLastSave="{00000000-0000-0000-0000-000000000000}"/>
  <bookViews>
    <workbookView xWindow="-120" yWindow="-120" windowWidth="1944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5" i="1" l="1"/>
  <c r="H204" i="1"/>
  <c r="H202" i="1"/>
  <c r="H178" i="1"/>
  <c r="H171" i="1"/>
  <c r="H164" i="1"/>
  <c r="H158" i="1"/>
  <c r="H133" i="1"/>
  <c r="H128" i="1"/>
  <c r="H121"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78" i="1"/>
  <c r="H77" i="1"/>
  <c r="H76" i="1"/>
  <c r="H75" i="1"/>
  <c r="H74" i="1"/>
  <c r="H73" i="1"/>
  <c r="H72" i="1"/>
  <c r="H71" i="1"/>
  <c r="H70" i="1"/>
  <c r="H69" i="1"/>
  <c r="H68" i="1"/>
  <c r="H67" i="1"/>
  <c r="H66" i="1"/>
  <c r="H65" i="1"/>
  <c r="H64" i="1"/>
  <c r="H63" i="1"/>
  <c r="H62" i="1"/>
  <c r="H61" i="1"/>
  <c r="H60" i="1"/>
  <c r="H59" i="1"/>
  <c r="H57" i="1"/>
  <c r="H56" i="1"/>
  <c r="H55" i="1"/>
  <c r="H54" i="1"/>
  <c r="H53" i="1"/>
  <c r="H52" i="1"/>
  <c r="H51" i="1"/>
  <c r="H50" i="1"/>
  <c r="H49" i="1"/>
  <c r="H48" i="1"/>
  <c r="H47" i="1"/>
  <c r="H46" i="1"/>
  <c r="H45" i="1"/>
  <c r="H44" i="1"/>
  <c r="H43" i="1"/>
  <c r="H42" i="1"/>
  <c r="H41" i="1"/>
  <c r="H40" i="1"/>
  <c r="H39" i="1"/>
  <c r="H38" i="1"/>
  <c r="H37" i="1"/>
  <c r="H36" i="1"/>
  <c r="H35" i="1"/>
  <c r="H34" i="1"/>
  <c r="H33" i="1"/>
  <c r="H31" i="1"/>
  <c r="H30" i="1"/>
  <c r="H29" i="1"/>
  <c r="H28" i="1"/>
  <c r="H27" i="1"/>
  <c r="H26" i="1"/>
  <c r="H21" i="1"/>
  <c r="H20" i="1"/>
  <c r="H19" i="1"/>
  <c r="H18" i="1"/>
  <c r="H17" i="1"/>
  <c r="H16" i="1"/>
  <c r="H15" i="1"/>
  <c r="H14" i="1"/>
  <c r="H13" i="1"/>
  <c r="H12" i="1"/>
  <c r="H11" i="1"/>
  <c r="H10" i="1"/>
  <c r="H9" i="1"/>
  <c r="H8" i="1"/>
  <c r="H7" i="1"/>
  <c r="H6" i="1"/>
  <c r="H5" i="1"/>
  <c r="H4" i="1"/>
  <c r="H3" i="1"/>
</calcChain>
</file>

<file path=xl/sharedStrings.xml><?xml version="1.0" encoding="utf-8"?>
<sst xmlns="http://schemas.openxmlformats.org/spreadsheetml/2006/main" count="558" uniqueCount="389">
  <si>
    <t>一、模型搭建清单</t>
  </si>
  <si>
    <t>序号</t>
  </si>
  <si>
    <t>模块</t>
  </si>
  <si>
    <t>子模块</t>
  </si>
  <si>
    <t>描述</t>
  </si>
  <si>
    <t>单位</t>
  </si>
  <si>
    <t>数量</t>
  </si>
  <si>
    <t>单价（元）</t>
  </si>
  <si>
    <t>总价（元）</t>
  </si>
  <si>
    <t>备注</t>
  </si>
  <si>
    <t>地图数据采集及处理</t>
  </si>
  <si>
    <t>遥感影像</t>
  </si>
  <si>
    <t>获取全域的遥感影像地图，精度≤5m；整体约100km²的建成区域面积及重要主干路、路段，可根据实际情况调整。</t>
  </si>
  <si>
    <t>km²</t>
  </si>
  <si>
    <t>无人机正摄影</t>
  </si>
  <si>
    <t>通过无人机采集全域的高精度正射影像数据，精度≤30cm；主要元素：道路、水系、绿化、重点建筑、互通立交、山体</t>
  </si>
  <si>
    <t>数据采集</t>
  </si>
  <si>
    <t>数据采集车采集道路全要数道路病害、资产(亚米级）进行采集。采集标志标线、交安设施、硬件设备（卡口、L型杆、监控、LED屏、路灯）；道路隐患排查中的病害进行采集与识别。</t>
  </si>
  <si>
    <t>km</t>
  </si>
  <si>
    <t>可视化数据处理</t>
  </si>
  <si>
    <t>路网数据解析：解析采集车、无人机采集的基础数据，用于高精度三维底座构建</t>
  </si>
  <si>
    <r>
      <rPr>
        <sz val="11"/>
        <color theme="1"/>
        <rFont val="宋体"/>
        <family val="3"/>
        <charset val="134"/>
      </rPr>
      <t>项</t>
    </r>
  </si>
  <si>
    <t>基础建模</t>
  </si>
  <si>
    <t>建筑建模</t>
  </si>
  <si>
    <t>L2级，对所在区域中的建筑进行建模。根据提供的建筑物模型数据，实现路网覆盖区域的3D建筑物模型数字渲染展示，对重点区域对建筑物进行还原，整体水平达到L2级别。</t>
  </si>
  <si>
    <t>绿化建模</t>
  </si>
  <si>
    <t>L3级，对指定的绿化进行定制化建模，还原现实中绿化的形体，高度，枝叶等。</t>
  </si>
  <si>
    <t>交通设施建模</t>
  </si>
  <si>
    <t>L3级，对区域城市道路交通设施进行建模与可视化渲染。信号灯、通讯设备、相机、雷达、护栏、隔离栏、路灯等</t>
  </si>
  <si>
    <t>路网建模</t>
  </si>
  <si>
    <t>三维高精度路网建模</t>
  </si>
  <si>
    <t>亚米级，(双边)以车辆采集的道路数据为底图，通过人工勾绘城市主要道路实现地图路网三维模型及路侧资产搭建。</t>
  </si>
  <si>
    <t>场景搭建</t>
  </si>
  <si>
    <t>水系搭建</t>
  </si>
  <si>
    <t>5m精度，对区域中的水系在引擎中进行融合和调整。实现水系模型数字渲染展示，对水系进行还原。</t>
  </si>
  <si>
    <t>绿化搭建</t>
  </si>
  <si>
    <t>对区域中的绿化在引擎中进行融合和调整。实现绿化模型数字渲染展示，对绿化进行还原。</t>
  </si>
  <si>
    <t>建筑搭建</t>
  </si>
  <si>
    <t>对区域中的建筑模型在引擎中进行融合和调整。实现建筑模型数字渲染展示，对建筑模型进行还原。</t>
  </si>
  <si>
    <t>小件模型搭建</t>
  </si>
  <si>
    <t>对区域中的小件模型在引擎中进行融合和调整。实现小件模型数字渲染展示，对小件模型进行还原。</t>
  </si>
  <si>
    <t>城市三维模型可视化渲染</t>
  </si>
  <si>
    <t>地形地貌渲染</t>
  </si>
  <si>
    <t>可以基于案例项目实现通过高精度地形高程数据对所在区域地形地貌进行建模和模型的可视化渲染</t>
  </si>
  <si>
    <t>城市环境渲染</t>
  </si>
  <si>
    <t>对目标区域中的建筑、绿化、水系等三维图层进行渲染</t>
  </si>
  <si>
    <t>交通设施渲染</t>
  </si>
  <si>
    <t>对所在区域城市道路交通设施进行可视化渲染，包括但不限于信号灯、通讯设备、相机、雷达、护栏、隔离栏、路灯等</t>
  </si>
  <si>
    <t>城市路网渲染</t>
  </si>
  <si>
    <t>实现地图路网的3D渲染可视化信息展示。实现点位地图车道级高精地图渲染，包括车道面渲染、车道线渲染、道路线渲染、停止线渲染、斑马线渲染等</t>
  </si>
  <si>
    <t>天气模拟模块</t>
  </si>
  <si>
    <t>实现城市天气系统的可视化渲染</t>
  </si>
  <si>
    <t>24小时光照模拟</t>
  </si>
  <si>
    <t>提供24小时光照模拟系统，支持同步现实进行光照模拟</t>
  </si>
  <si>
    <t>合计</t>
  </si>
  <si>
    <t>二、三维可视化展示子系统</t>
  </si>
  <si>
    <t>（1）数据处理及展示模块</t>
  </si>
  <si>
    <t>1）数据接口定制</t>
  </si>
  <si>
    <t>平台数据接口</t>
  </si>
  <si>
    <t>二维地图接口</t>
  </si>
  <si>
    <t>对接平台，处理二维地图格式，统一坐标系，匹配展示界面</t>
  </si>
  <si>
    <r>
      <rPr>
        <sz val="11"/>
        <color rgb="FF000000"/>
        <rFont val="宋体"/>
        <family val="3"/>
        <charset val="134"/>
      </rPr>
      <t>项</t>
    </r>
  </si>
  <si>
    <t>卡口流量</t>
  </si>
  <si>
    <t>对接平台，处理卡口流量数据格式，匹配展示界面</t>
  </si>
  <si>
    <t>执法记录仪</t>
  </si>
  <si>
    <t>对接平台，处理执法记录仪格式，匹配展示界面</t>
  </si>
  <si>
    <t>信控路口信息</t>
  </si>
  <si>
    <t>对接平台，处理信控路口信息格式，匹配展示界面</t>
  </si>
  <si>
    <t>AR高点数据</t>
  </si>
  <si>
    <t>对接平台，处理AR高点数据格式，匹配展示界面</t>
  </si>
  <si>
    <t>信控数据接口</t>
  </si>
  <si>
    <t>2）常态数据处理</t>
  </si>
  <si>
    <t>常态资源</t>
  </si>
  <si>
    <t>交通警情概览</t>
  </si>
  <si>
    <t>包含但不限于以大队、中队为维度统计报警总数、视频巡查警情总数并进行展示。</t>
  </si>
  <si>
    <t>警力资源概览</t>
  </si>
  <si>
    <t>支队执勤警力（民/辅警)总数，并展示在线的对讲机、警车、铁骑等终端设备的数量</t>
  </si>
  <si>
    <t>信号资源概览</t>
  </si>
  <si>
    <t>统计展示交通绿波带数量、感应控制路口数量、自适应路口数量</t>
  </si>
  <si>
    <t>信控平台处理</t>
  </si>
  <si>
    <t>接入4个信控平台信控数据，车道灯态融合处理、倒计时与模型映射处理</t>
  </si>
  <si>
    <t>交通态势概览</t>
  </si>
  <si>
    <t>统计展示苏仙、北湖区的实时交通指标</t>
  </si>
  <si>
    <t>二维交通态势地图</t>
  </si>
  <si>
    <t>基础路网图层</t>
  </si>
  <si>
    <t>对接地图厂商的路网数据，郴州城市道路的路网图层</t>
  </si>
  <si>
    <t>路况图层</t>
  </si>
  <si>
    <t>对接地图厂商的实时路况数据，可切换郴州城市道路的实时路况</t>
  </si>
  <si>
    <t>交通设备图层</t>
  </si>
  <si>
    <t>在地图上可以筛选展示卡口、电警、AR鹰眼、雷视等设备资源，点击可展示视频播放</t>
  </si>
  <si>
    <t>拥堵预警图层</t>
  </si>
  <si>
    <t>在地图筛选拥堵预警道路信息</t>
  </si>
  <si>
    <t>图上搜索</t>
  </si>
  <si>
    <t>可以搜索地图上的交通设备和勤务部署资源</t>
  </si>
  <si>
    <t>今日警情</t>
  </si>
  <si>
    <t>警情列表展示</t>
  </si>
  <si>
    <t>警情类型、警情描述、报警时间、位置等信息</t>
  </si>
  <si>
    <t>警情详情</t>
  </si>
  <si>
    <t>警情详情包括警情类型、警情描述、报警来源、报警时间、报警地点、管辖单位、警情图片等信息</t>
  </si>
  <si>
    <t>周边资源</t>
  </si>
  <si>
    <t>警情周边的视频设备，包括设备名称、并查看视频。展示警情周边的警务力量，包括警员名称、警号、查看详情。</t>
  </si>
  <si>
    <t>警情来源和类型</t>
  </si>
  <si>
    <t>警情来源包括接警、视频巡查、缉查布控、人工上报等，警情类型包括事故、拥堵、违停等</t>
  </si>
  <si>
    <t>勤务监测</t>
  </si>
  <si>
    <t>勤务部署图层（二三维融合）</t>
  </si>
  <si>
    <t>在地图上可以筛选展示在线的民警、辅警、警车、铁骑等警力资源</t>
  </si>
  <si>
    <t>警情图层（二三维融合）</t>
  </si>
  <si>
    <t>点击警情列表，图上高亮展示警情图标，右侧展示警情详细信息弹框，点击详细信息中视频设备，展示视频播放，切换高亮圈选图上200m、500m、1000m范围内的设备、人员资源点，点击设备视频预览展示</t>
  </si>
  <si>
    <t>图上搜索（二三维融合）</t>
  </si>
  <si>
    <t>时间地点选取</t>
  </si>
  <si>
    <t>用户可在三维地图上选择需要处置的地点</t>
  </si>
  <si>
    <t>警员信息展示</t>
  </si>
  <si>
    <t>通过选择事件地点后，用户可通过单点选择和批量框选的形式选择需要前往处置的警员</t>
  </si>
  <si>
    <t>实时监测</t>
  </si>
  <si>
    <t>被选中的警员以短信或指定的通知渠道获取指派信息。</t>
  </si>
  <si>
    <t>违法事故统计</t>
  </si>
  <si>
    <t>事故概览</t>
  </si>
  <si>
    <t>统计展示事故总数和趋势、大队分布、类型分布</t>
  </si>
  <si>
    <t>违法概览</t>
  </si>
  <si>
    <t>统计展示违法总数和趋势、大队分布、类型分布</t>
  </si>
  <si>
    <t>感知源数据处理</t>
  </si>
  <si>
    <t>数据融合</t>
  </si>
  <si>
    <t>接入设备历史数据与实时数据，对接入的原始数据进行清洗(去噪、修复异常值、处理缺失值)，并将不同来源、不同格式的数据进行时空对齐与标准化处理。</t>
  </si>
  <si>
    <t>车辆建档策略管理模块接口</t>
  </si>
  <si>
    <t>将多源交通数据统一转换为平台兼容的标准格式，实现数据在系统间的有效适配与复用。</t>
  </si>
  <si>
    <t>车辆分析模型服务模块接口</t>
  </si>
  <si>
    <t>（2）三维可视化界面功能开发</t>
  </si>
  <si>
    <t>天气界面功能开发</t>
  </si>
  <si>
    <t>以数据形式对今日天气情况展示功能进行开发</t>
  </si>
  <si>
    <t>全息路口</t>
  </si>
  <si>
    <t>映射第三方平台的路段交通状态信息，对全息可视化功能进行开发</t>
  </si>
  <si>
    <t>三维信控可视化</t>
  </si>
  <si>
    <t>三维模型中实时展示信号倒计时、信控方案，包括相位相续图、周期、黄灯、全红、绿闪等。</t>
  </si>
  <si>
    <t>大队事故展示界面</t>
  </si>
  <si>
    <t>对各区县大队相应图表、列表等界面功能开发，进行数据展示</t>
  </si>
  <si>
    <t>高发事故类型界面功能开发</t>
  </si>
  <si>
    <t>对相应图表、列表等界面功能开发，进行数据展示，并进行排序。</t>
  </si>
  <si>
    <t>违法类型总数展示界面功能开发</t>
  </si>
  <si>
    <t>对相应图表、列表等界面功能开发，进行数据展示，并进行分类、统计、排序。</t>
  </si>
  <si>
    <t>警情列表展示界面功能开发</t>
  </si>
  <si>
    <t>警情详情展示界面功能开发</t>
  </si>
  <si>
    <t>对资料卡片界面功能开发，进行信息展示</t>
  </si>
  <si>
    <t>大队警力资源概览界面功能开发</t>
  </si>
  <si>
    <t>对相应图表、列表等界面功能开发，进行数据展示，并进行分类、统计。</t>
  </si>
  <si>
    <t>今日接警情况界面功能开发</t>
  </si>
  <si>
    <t>对相应图表、列表、资料卡片等界面功能开发，进行数据展示，并进行分类、统计。</t>
  </si>
  <si>
    <t>小组件图标</t>
  </si>
  <si>
    <r>
      <rPr>
        <sz val="10"/>
        <color rgb="FF000000"/>
        <rFont val="宋体"/>
        <family val="3"/>
        <charset val="134"/>
      </rPr>
      <t>对包含但不限于电警、卡口、信控、执法记录仪、</t>
    </r>
    <r>
      <rPr>
        <sz val="10"/>
        <color rgb="FF000000"/>
        <rFont val="Times New Roman"/>
        <family val="1"/>
      </rPr>
      <t>AR</t>
    </r>
    <r>
      <rPr>
        <sz val="10"/>
        <color rgb="FF000000"/>
        <rFont val="宋体"/>
        <family val="3"/>
        <charset val="134"/>
      </rPr>
      <t>鹰眼、雷视等设备模型可视化功能进行开发。</t>
    </r>
  </si>
  <si>
    <t>历史交通指标展示界面功能开发</t>
  </si>
  <si>
    <t>对柱状、曲线、折线等形式数据历史展示功能开发。</t>
  </si>
  <si>
    <t>交通实时态势指标界面功能开发</t>
  </si>
  <si>
    <t>对柱状、曲线、折线等形式数据趋势展示功能开发。</t>
  </si>
  <si>
    <t>数据概览界面功能开发</t>
  </si>
  <si>
    <t>对饼状、环状等形式图表，进行展示功能开发。</t>
  </si>
  <si>
    <t>感知数据服务界面功能开发</t>
  </si>
  <si>
    <t>感知数据基础服务入口</t>
  </si>
  <si>
    <t>开发感知数据基础服务控件，实现通过点击进入感知数据基础服务模块</t>
  </si>
  <si>
    <t>人像数据基础服务入口</t>
  </si>
  <si>
    <t>开发人像数据基础服务控件，实现通过点击进入人像数据基础服务模块</t>
  </si>
  <si>
    <t>车辆数据基础服务入口</t>
  </si>
  <si>
    <t>开发车辆数据基础服务控件，实现通过点击进入车辆数据基础服务模块</t>
  </si>
  <si>
    <t>车辆建档策略管理入口</t>
  </si>
  <si>
    <t>开发车辆建档策略管理控件，实现通过点击进入车辆建档策略管理服务模块</t>
  </si>
  <si>
    <t>非机动车数据基础服务入口</t>
  </si>
  <si>
    <t>开发非机动车数据基础控件，实现通过点击进入感知数据基础服务模块</t>
  </si>
  <si>
    <t>车辆分析模型服务入口</t>
  </si>
  <si>
    <t>开发车辆分析模型服务控件，实现通过点击进入车辆分析模型服务模块</t>
  </si>
  <si>
    <t>2、数据工程实施费</t>
  </si>
  <si>
    <t>平台数据对接</t>
  </si>
  <si>
    <t>今日天气数据</t>
  </si>
  <si>
    <t>对天气数据平台接口进行开发，匹配字段接口，打通数据通道。</t>
  </si>
  <si>
    <t>事故数据</t>
  </si>
  <si>
    <t>对事故数据平台接口进行开发，匹配字段接口，打通数据通道。</t>
  </si>
  <si>
    <t>交通运行态势数据</t>
  </si>
  <si>
    <t>对交通运行态势数据平台接口进行开发，匹配字段接口，打通数据通道。</t>
  </si>
  <si>
    <t>勤务数据</t>
  </si>
  <si>
    <t>对勤务数据平台接口进行开发，匹配字段接口，打通数据通道。</t>
  </si>
  <si>
    <t>警情数据</t>
  </si>
  <si>
    <t>对警情数据平台接口进行开发，匹配字段接口，打通数据通道。</t>
  </si>
  <si>
    <t>警力资源数据</t>
  </si>
  <si>
    <t>对警力资源数据平台接口进行开发，匹配字段接口，打通数据通道。</t>
  </si>
  <si>
    <t>接警数据</t>
  </si>
  <si>
    <t>对接警数据平台接口进行开发，匹配字段接口，打通数据通道。</t>
  </si>
  <si>
    <t>对二维地图接口进行开发，匹配字段接口，打通数据通道。</t>
  </si>
  <si>
    <t>对卡口流量平台接口进行开发，匹配字段接口，打通数据通道。</t>
  </si>
  <si>
    <t>电警数据</t>
  </si>
  <si>
    <t>对电警数据平台接口进行开发，匹配字段接口，打通数据通道。</t>
  </si>
  <si>
    <t>雷视数据</t>
  </si>
  <si>
    <t>对雷视数据平台接口进行开发，匹配字段接口，打通数据通道。</t>
  </si>
  <si>
    <t>对执法记录仪平台接口进行开发，匹配字段接口，打通数据通道。</t>
  </si>
  <si>
    <t>对信控路口信息平台接口进行开发，匹配字段接口，打通数据通道。</t>
  </si>
  <si>
    <t>实时路况数据</t>
  </si>
  <si>
    <t>对实时路况数据平台接口进行开发，匹配字段接口，打通数据通道。</t>
  </si>
  <si>
    <t>对AR高点数据平台接口进行开发，匹配字段接口，打通数据通道。</t>
  </si>
  <si>
    <t>对信控平台数据接口进行开发，匹配字段接口，打通数据通道。</t>
  </si>
  <si>
    <t>对交通警情平台数据接口及进行开发，匹配字段接口，开发图表关联功能，进行数据概览。</t>
  </si>
  <si>
    <t>对警力资源平台数据接口及进行开发，匹配字段接口，开发图表关联功能，进行数据概览。</t>
  </si>
  <si>
    <t>对信号资源平台数据接口及进行开发，匹配字段接口，开发图表关联功能，进行数据概览。</t>
  </si>
  <si>
    <t>信号平台处理</t>
  </si>
  <si>
    <t>对信号平台数据接口及进行开发，匹配字段接口，开发图表关联功能，进行数据概览。</t>
  </si>
  <si>
    <t>对交通态势平台数据接口及进行开发，匹配字段接口，开发图表关联功能，进行数据概览。</t>
  </si>
  <si>
    <t>开发二维地图数据接口通道，匹配地图API，支撑进行基础路网图层管理功能开发。</t>
  </si>
  <si>
    <t>开发交通设备接口通道，匹配地图API，支撑交通设备数据展示功能开发。</t>
  </si>
  <si>
    <t>开发二维地图拥堵数据接口通道，匹配地图API，支撑拥堵状态展示功能开发。</t>
  </si>
  <si>
    <t>对交通警情平台数据接口及进行开发，匹配字段接口，开发数据列表，进行信息数据展示。</t>
  </si>
  <si>
    <t>对警情来源和类型平台数据接口及进行开发，匹配字段接口，开发数据列表，进行信息数据展示。</t>
  </si>
  <si>
    <t>开发实时数据接入接口，对勤务状态进行实时监测</t>
  </si>
  <si>
    <t>对事故资源平台数据接口及进行开发，匹配字段接口，开发图表关联功能，进行数据概览。</t>
  </si>
  <si>
    <t>对违法数据平台数据接口及进行开发，匹配字段接口，开发图表关联功能，进行数据概览。</t>
  </si>
  <si>
    <t>数据转换</t>
  </si>
  <si>
    <t>感知数据服务子系统</t>
  </si>
  <si>
    <t>感知数据基础服务模块</t>
  </si>
  <si>
    <t>开发感知数据基础服务模块接口通道，支撑感知数据基础服务模块功能开发。</t>
  </si>
  <si>
    <t>人像数据基础服务模块接口</t>
  </si>
  <si>
    <t>开发人像数据基础服务模块接口通道，支撑人像数据基础服务模块功能开发。</t>
  </si>
  <si>
    <t>车辆数据基础服务模块接口</t>
  </si>
  <si>
    <t>开发车辆数据基础服务模块接口通道，支撑车辆数据基础服务模块功能开发。</t>
  </si>
  <si>
    <t>非机动车数据基础服务模块接口</t>
  </si>
  <si>
    <t>开发非机动车数据基础服务模块接口通道，支撑非机动车数据基础服务模块功能开发。</t>
  </si>
  <si>
    <t>三、三维可视化展示子系统（公安网成品软件开发）</t>
  </si>
  <si>
    <t>（1）三维资产管理</t>
  </si>
  <si>
    <t>资产数据解析</t>
  </si>
  <si>
    <t>解析采集车采集的基础数据，用于资产自动化盘点</t>
  </si>
  <si>
    <r>
      <rPr>
        <sz val="11"/>
        <color theme="1"/>
        <rFont val="宋体"/>
        <family val="3"/>
        <charset val="134"/>
      </rPr>
      <t>套</t>
    </r>
  </si>
  <si>
    <t>资产信息管理</t>
  </si>
  <si>
    <t>对资产进行统一编码，形成唯一的身份信息，进行统一管理。</t>
  </si>
  <si>
    <t>资产信息查询</t>
  </si>
  <si>
    <t>可以根据资产类别和资产所属区域查询资产信息，点击可查看资产三维模型</t>
  </si>
  <si>
    <t>资产台账管理</t>
  </si>
  <si>
    <t>展示所有资产的寿命周期、维保情况、资产状态信息，并可批量导出资产台账表，便于统一性管理</t>
  </si>
  <si>
    <t>资产维养管理</t>
  </si>
  <si>
    <t>对所有资产的维养信息进行管理，包括：对即将维护的资产进行预警提醒；对离线、状态异常资产进行实时告警。</t>
  </si>
  <si>
    <t>桥梁信息标注</t>
  </si>
  <si>
    <t>可对桥梁进行基础信息编辑，包括：建设时间、建设单位、桥面车道数、桥面长度和宽度、维护时间</t>
  </si>
  <si>
    <t>（2）交通重点场所管理</t>
  </si>
  <si>
    <t>重点场所录入/删除</t>
  </si>
  <si>
    <t>可通过单点、区域、行政区域形式对重点场所进行录入，并进行分类选择，主要包括：政府单位（市、区、街道、乡镇）、医院、学校、车站（高铁、汽车）、避险场所、体育馆、景点、加油站、充电站、加气站、商场超市、博物馆、隧道（标注）、客货运输企业。用户可通过地图点击删除或列表批量删除形式对重点场所进行删除。</t>
  </si>
  <si>
    <t>重点场所查询</t>
  </si>
  <si>
    <t>通过地图点击、框选、模糊查询 形式，可按类型、地点、名称对重点场所进行查询。</t>
  </si>
  <si>
    <t>车企管理</t>
  </si>
  <si>
    <t>可将企业与车辆信息进行绑定关联，便于交管部门对企业车辆的管理。</t>
  </si>
  <si>
    <t>货客运源头标记</t>
  </si>
  <si>
    <t>对客货运企业的客流量、货运量进行标记，动态数据需要对接客户系统</t>
  </si>
  <si>
    <t>（3）交通仿真评价模块</t>
  </si>
  <si>
    <t xml:space="preserve">道路设计模块 </t>
  </si>
  <si>
    <t>交通组织方案录入</t>
  </si>
  <si>
    <t>将现有的交通组织方案录入，包括限速值、限车类型、单行</t>
  </si>
  <si>
    <t>路口方案设计</t>
  </si>
  <si>
    <t>可对路口的结构、信号灯、车道功能设计进行更改设计、进行仿真，对结果进行评价，利用评价体系进行评价，输出仿真结果（图表）并发布；支持立交、高架桥、平面交叉口、普通路段等典型场景三维仿真，可实时输出交通仿真结果</t>
  </si>
  <si>
    <t>干线方案设计</t>
  </si>
  <si>
    <t>可以对路段进行绿波设计，包括关键交叉口选定、绿波速度设计、公共周期设计、相位差设计。具备绿波方案自动设计功能，支持路口≥10 个</t>
  </si>
  <si>
    <t xml:space="preserve">信号控制模块 </t>
  </si>
  <si>
    <t>数据导入</t>
  </si>
  <si>
    <t>对接交通信号控制系统查询接口，实现信号控制参数：周期、相位、配时方案 参数的导入，对接交叉口车道级、路段断面级卡口数据，作为交通组织方案设计及仿真评价的车流数据输入</t>
  </si>
  <si>
    <t>交通流数据录入</t>
  </si>
  <si>
    <t>实现车辆输入、路口转向信息输入</t>
  </si>
  <si>
    <t>静态信号控制自动优化系统</t>
  </si>
  <si>
    <t>能够对框选区域内的静态信号控制进行优化，并将方案展示给用户</t>
  </si>
  <si>
    <t>信号控制方案分析与评价</t>
  </si>
  <si>
    <t>在三维交通仿真中，通过对信号配时、相位时序的基础仿真推演，结合平均车速、行程时间指标，完成信号控制方案的合理性分析与效果评价。</t>
  </si>
  <si>
    <t xml:space="preserve">仿真评价体系模型 </t>
  </si>
  <si>
    <t>检测器设置</t>
  </si>
  <si>
    <t>设置检测器，为交通流评价提供数据基础</t>
  </si>
  <si>
    <t>仿真区域框选</t>
  </si>
  <si>
    <t>能够框选区域，对区域内的路网进行交通仿真，并输出评价指标</t>
  </si>
  <si>
    <t>仿真设置</t>
  </si>
  <si>
    <t>能够实现仿真时长、加速倍数仿真参数设置，进行开始仿真、暂停仿真和结束仿真 操作</t>
  </si>
  <si>
    <t>区域评价模型</t>
  </si>
  <si>
    <t>输出区域交通评价指标</t>
  </si>
  <si>
    <t>路段评价模型</t>
  </si>
  <si>
    <t>输出行程时间、行程速度、行程延误 指标</t>
  </si>
  <si>
    <t>单点交叉口评价</t>
  </si>
  <si>
    <t>输出交通量、排队长度、饱和度</t>
  </si>
  <si>
    <t>仿真结果分析</t>
  </si>
  <si>
    <t>利用表格、曲线图 方法输出仿真结果；仿真软件仿真准确性达 85% 以上，需具备第三方测试报告</t>
  </si>
  <si>
    <t>仿真方案对标</t>
  </si>
  <si>
    <t>客户可对比任意两个方案的仿真评价指标，从而选择出较优方案。</t>
  </si>
  <si>
    <t>道路（车道）封闭仿真评价</t>
  </si>
  <si>
    <t>当面临道路施工、大型活动交通管制 场景需封闭道路或车道时，三维交通仿真推演平台模拟封闭措施对周边路网的影响</t>
  </si>
  <si>
    <t xml:space="preserve">仿真结果发布 </t>
  </si>
  <si>
    <t>仿真过程</t>
  </si>
  <si>
    <t>可以查看目标区域的三维交通仿真过程，支持高速公路、城市道路等交通典型场景三维模拟，包含边坡、高架、互通等实时建模</t>
  </si>
  <si>
    <t>仿真图表</t>
  </si>
  <si>
    <t>可图标的形式输出仿真结果</t>
  </si>
  <si>
    <t>仿真态势展示</t>
  </si>
  <si>
    <t>以热力图形式展示仿真过程的拥堵状况</t>
  </si>
  <si>
    <t>交通应急预演</t>
  </si>
  <si>
    <t>方案预演</t>
  </si>
  <si>
    <t>通过设置起点和任务点，配置车速进行特勤仿真。主要包括：任务时间监测、信号全红控制、平均速度展示</t>
  </si>
  <si>
    <t>实时数据接入</t>
  </si>
  <si>
    <t>可接入特勤/应急车辆实时位置、行车记录仪、通过点位监控画面以及即将通过的路口监控画面。</t>
  </si>
  <si>
    <t>资产展示</t>
  </si>
  <si>
    <t>展示通过路口/路段的带电设备资产详情及所在位置</t>
  </si>
  <si>
    <t>实时灯态信息</t>
  </si>
  <si>
    <t>展示车行方向左右和运动方向相邻若干个信号机的实时灯态</t>
  </si>
  <si>
    <t>事后回溯</t>
  </si>
  <si>
    <t>上述实时视频回放，车辆宏观路径查看</t>
  </si>
  <si>
    <t>（4）交通安全管理模块</t>
  </si>
  <si>
    <t>事故及违法统计</t>
  </si>
  <si>
    <t>各大队事故处理</t>
  </si>
  <si>
    <t>统计展示各区县大队本月或者本年的事故处理数量，以及变化趋势</t>
  </si>
  <si>
    <t>高发事故类型</t>
  </si>
  <si>
    <t>统计展示高发事故类型及数量</t>
  </si>
  <si>
    <t>违法处置情况</t>
  </si>
  <si>
    <t>统计展示违法类型及数量</t>
  </si>
  <si>
    <t>风险评估</t>
  </si>
  <si>
    <t>风险研判</t>
  </si>
  <si>
    <t>提供灵活的事故研判配置功能，支持自定义研判历史数据范围、研判区域及时间周期，具备数据重置与筛选能力。系统基于研判的历史数据，分析未来该区域事故率、各类型事故趋势曲线及风险位置TOP10排名并支持输出报告</t>
  </si>
  <si>
    <t>事故报告</t>
  </si>
  <si>
    <t>事故报告输出</t>
  </si>
  <si>
    <t>支持自动生成结构化交通事故分析报告，包含事故统计、事故分析、风险评估的数据图表与结论摘要</t>
  </si>
  <si>
    <t>（5）交通态势感知监测</t>
  </si>
  <si>
    <t>数据处理</t>
  </si>
  <si>
    <t>雷视数据接入后，根据已接入的数据（交通流量数据）进行清洗与预处理，并进行多源数据融合。</t>
  </si>
  <si>
    <t>车流热力图</t>
  </si>
  <si>
    <t>根据接入雷视数据，对交通流量进行宏观热力图表达。</t>
  </si>
  <si>
    <t>车流数据分析</t>
  </si>
  <si>
    <t>基于已接入的雷视数据，对热力段进行车流数据分析，点击热力段，进行车流相关数据呈现。</t>
  </si>
  <si>
    <t>多源数据融合处理</t>
  </si>
  <si>
    <t>接入设备历史数据与实时数据（交通流量数据），对接入的原始数据进行清洗（去噪、修复异常值、处理缺失值），并将不同来源、不同格式的数据进行时空对齐与标准化处理。</t>
  </si>
  <si>
    <t>实时态势感知</t>
  </si>
  <si>
    <t>实时对接雷视一体机平台已处理数据（交叉口排队长度、路段平均速度），实时呈现交通态势数据，并以图表形式展示交通评价数据，以热力图形式展示拥堵情况。</t>
  </si>
  <si>
    <t>拥堵预测可视化</t>
  </si>
  <si>
    <t>在二/三维地图上，通过热力图的方式，直观展示未来交通态势预测结果，以对拥堵情况进行预测。</t>
  </si>
  <si>
    <t>（6）三维可视化地图应用接口</t>
  </si>
  <si>
    <t>违法地图接口</t>
  </si>
  <si>
    <t>利用地图上的坐标点（POI）部署电子警察（电子眼），自动抓拍闯红灯、超速、不按导向车道行驶等违法行为。并可以通过时段、违法类型进行筛选，以热力图形式展示违章的严重程度。</t>
  </si>
  <si>
    <t>重点车辆接口（两客一危）动态监管</t>
  </si>
  <si>
    <t>实时追踪客运班车、旅游包车、危化品运输车的行驶轨迹，监控其是否偏离规定路线或违规停车</t>
  </si>
  <si>
    <t>停车资源管理及诱导</t>
  </si>
  <si>
    <t>将公共停车场、路内泊位信息接入地图，实时显示空余车位，引导车辆快速停放，减少路面巡游</t>
  </si>
  <si>
    <t>恶劣天气预警接口</t>
  </si>
  <si>
    <t>结合气象数据与地图，发布大雾、冰雪等恶劣天气影响路段，提示驾驶员减速慢行或绕行</t>
  </si>
  <si>
    <t>交通出行信息服务接口</t>
  </si>
  <si>
    <t>通过地图LED屏幕向公众发布实时路况、管制信息、出行提示，提供个性化路线推荐</t>
  </si>
  <si>
    <t>图表设计工具</t>
  </si>
  <si>
    <t>提供标准化的图表展示工具，用户可自定义设计数据关联关系，并以标准化图表进行展示。</t>
  </si>
  <si>
    <t>3、三维可视化编辑子系统</t>
  </si>
  <si>
    <t>场景编辑系统</t>
  </si>
  <si>
    <t>绿化编辑</t>
  </si>
  <si>
    <t>能够以单点，线性，和区域的方式对绿化库中的模型在三维场景中进行摆放，能够设置绿化的比例，密度和类型，绿化植物种类≥10 种；具备水系编辑功能，包含河流、湖泊设计</t>
  </si>
  <si>
    <t>底图编辑</t>
  </si>
  <si>
    <t>如果是自建项目，则可以矫正导入的底图比例，从而匹配三维场景中的模型比例</t>
  </si>
  <si>
    <t>建筑矢量数据导入</t>
  </si>
  <si>
    <t>如果是案例项目，则可以导入建筑的矢量数据，从而大批量生成建筑白模</t>
  </si>
  <si>
    <t>建筑模型编辑</t>
  </si>
  <si>
    <t>对区域内的建筑进行编辑，具体功能包括：建筑移动、缩放、旋转、增添、删除、修改位置、数据保存、数据加载等功能</t>
  </si>
  <si>
    <t>天气切换</t>
  </si>
  <si>
    <t>可以模拟和切换常见的天气类型，支持设置晴空、多云、雾、雨、雪等5种天气类型效果；可接入互联网或传感器天气数据，实时更新并渲染，展示真实天气情况</t>
  </si>
  <si>
    <t>时间调整</t>
  </si>
  <si>
    <t>可以对场景中的时间进行随意调整，从而模拟从白天到夜晚的效果。搭载 24 小时光照系统，支持自动播放和时间静止两种光照时间模式；可自定义或根据物理世界真实时间自动调节光照，自动切换白天黑夜，支持选择 / 滑动设置 24 小时光照时间。</t>
  </si>
  <si>
    <t>交通设施编辑</t>
  </si>
  <si>
    <t>可以对雷达、卡口监控、补光灯、龙门架、信号灯、路灯、道路标牌等模型进行位置移动、大小缩放、旋转、添加删除等操作，支持数据的保存与加载。可通过拖拽形式对雷达、监控、信号灯、标识标牌进行三维可视化设计；提供卡口、监控、信号机、龙门架、VMS 信息板等常见设施设备模型，构件库数量≥30 种；支持鼠标和输入框键入构件方向、离地高度等参数，支持多选、调整 X/Y/Z 轴位置，点击可实时查看设备状态及数据信息</t>
  </si>
  <si>
    <t>城市路网编辑</t>
  </si>
  <si>
    <t>提供路段编辑工具，对路段模型进行调整；支持新建道路、自定义线形与属性参数，道路模型包含道路类型、道路等级、道路名称、道路长度、车道方向、车道数、车道宽度、车道属性（人、机、非）、车道限速信息、车道状态（是否封路）等属性信息。支持道路网络三维可视化与编辑，准确体现道路线形、车道、绿化、人行道、非机动车道等要素，展现路段、路口、高架、立交等拓扑衔接关系；提供路口建模编辑工具，支持快捷添加路口，可以修改交叉口形状、交叉口车辆行驶轨迹线、交叉口转向权限、调整路口轮廓与标线。提供高架/桥梁的建模工具，支持修改高架/桥梁高度。支持道路属性、道路性质、路面平整度等参数的修改，路网数据的保存和加载；三维路网构建速度：≤2km/分，平面交叉口设计速度：≤1个/分，互通立交设计速度：≤1座/2小时</t>
  </si>
  <si>
    <t>提供路侧对象编辑功能，能够对路灯，路边树木等模型进行编辑，包括删除和位置移动</t>
  </si>
  <si>
    <t>提供标识标线库，可以对路网上自动生成的标识标线进行补充，支持所有元素自定义修改,达到更好的标识标线还原度</t>
  </si>
  <si>
    <t>提供交安设施模型库。能够实现单点和线性编辑，包括路灯，路牌，隔离栏等模型。</t>
  </si>
  <si>
    <t>提供停车场和路侧停车的编辑功能。</t>
  </si>
  <si>
    <t>支持同场景多套路网方案管理，可创建、保存、修改、切换、删除方案；可调整路侧对象样式、间距与路边位置，快捷生成/修改/删除/ 自定义添加路面标线，可视化调整路边外观样式；</t>
  </si>
  <si>
    <t>支持地形编辑，可手动定义地形高度，实现地形抬升、下降、平滑等功能</t>
  </si>
  <si>
    <t>地图工具服务</t>
  </si>
  <si>
    <t>标记功能</t>
  </si>
  <si>
    <t>在底图中，可以添加单点，线性，区域标签。可以对底图中的所有标签进行修改，飞跃，删除，搜索和隐藏等。</t>
  </si>
  <si>
    <t>截图</t>
  </si>
  <si>
    <t>能够对当视口的三维场景进行截图，可以在设置里面设置截图的保存路径</t>
  </si>
  <si>
    <t>经纬度拾取功能</t>
  </si>
  <si>
    <t>能够快速拾取鼠标点击位置的经纬度，也能够通过经纬度的输入进行快速定位</t>
  </si>
  <si>
    <t>测量功能</t>
  </si>
  <si>
    <t>提供距离、面积的测量工具，并进行标记</t>
  </si>
  <si>
    <t>场景巡游工具</t>
  </si>
  <si>
    <t>场景旋转/平移工具</t>
  </si>
  <si>
    <t>支持对镜头相机进行平移和旋转，支持超大尺度视角的无缝缩放</t>
  </si>
  <si>
    <t>漫游路径创建</t>
  </si>
  <si>
    <t>可以对漫游路径进行创建</t>
  </si>
  <si>
    <t>漫游路径修改编辑</t>
  </si>
  <si>
    <t>可以对漫游路径相关参数进行修改和删除</t>
  </si>
  <si>
    <t>漫游路径保存</t>
  </si>
  <si>
    <t>可以对漫游路径进行保存</t>
  </si>
  <si>
    <t>漫游视频录制</t>
  </si>
  <si>
    <t>可以基于漫游路径进行视频录制</t>
  </si>
  <si>
    <t>打包服务</t>
  </si>
  <si>
    <t>UPK打包</t>
  </si>
  <si>
    <t>对构建的三维场景进行地图打包和导出，客户可直接在软件中导入。</t>
  </si>
  <si>
    <t>四、巡检车车载设备</t>
  </si>
  <si>
    <t>车载巡检设备</t>
  </si>
  <si>
    <r>
      <rPr>
        <sz val="11"/>
        <color theme="1"/>
        <rFont val="宋体"/>
        <family val="3"/>
        <charset val="134"/>
      </rPr>
      <t>加装车载设备，使用巡检车对道路资产病害进行巡检，含安装。 带车载RTK高精度定位设备、双目相机、激光雷达、边缘计算终端等设备。 1、RTK设备 内置高精度RTK板卡，支持BDS B1/B2/B3。内置原极的高精度IMU模组，通过完善的组合导航算法和时空同步机制，提供实时准确的姿态，速度，位置信息。 2、AI性能要求 GPU算力：≥275 TOPS； CPU配置：≥12核ARM64位CPU（缓存：3MB L2+6MB L3） 频率≥2.2 GHz）； 深度学习加速器：带2个 DL加速器：2支持深度学习推理加速处理器； 视觉加速器：1个用于视觉处理器； 内存与存储：内存：64GB 256位LPDDR5，存储：64GB eMMC5.1（支持外部NVMe和SD卡扩展）； 视频处理能力： 编码：能力≥支持2路4K60（H.265）、16路1080p30245 解码：能力≥支持1路8K30（H.265）、22路1080p3024 摄像头接口：16通道MIPI CSI-2（支持最多6个物理摄像头或16个虚拟通道）。 3、双目摄像机 支持2K输出，支持人车及自定义对像检测，带加速度、陀螺仪、晴雨表、磁力计、温感等。 4、激光雷达 全局分辨率≥1200*128，视场角。 激光雷达波长：905nm；激光雷达原始数据采集帧率10~20 HZ；采集通道数：128； 测距能力：1~210m（10%反射率）；测距准度±5cm（典型值）；测距精度3cm（1</t>
    </r>
    <r>
      <rPr>
        <sz val="11"/>
        <color theme="1"/>
        <rFont val="Calibri"/>
        <family val="2"/>
      </rPr>
      <t>σ</t>
    </r>
    <r>
      <rPr>
        <sz val="11"/>
        <color theme="1"/>
        <rFont val="宋体"/>
        <family val="3"/>
        <charset val="134"/>
      </rPr>
      <t>）； 水平视场角120°；水平角分辨率 远距（≥7.2m）：0.1°（10Hz）、0.2°（20 Hz）；近距（0.5~7.2m）：0.2°（10Hz）、0.4°（20Hz）； 垂直视场角 25.4°（–12.5°~12.9°）； 垂直角分辨率 远距（≥7.2 m）：0.2°；近距（0.5~7.2m）：0.8；</t>
    </r>
  </si>
  <si>
    <t>套</t>
  </si>
  <si>
    <t>总计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</si>
</sst>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_);[Red]\(0\)"/>
  </numFmts>
  <fonts count="24" x14ac:knownFonts="1">
    <font>
      <sz val="11"/>
      <color theme="1"/>
      <name val="等线"/>
      <charset val="134"/>
      <scheme val="minor"/>
    </font>
    <font>
      <sz val="12"/>
      <color theme="1"/>
      <name val="微软雅黑"/>
      <family val="2"/>
      <charset val="134"/>
    </font>
    <font>
      <sz val="11"/>
      <color theme="1"/>
      <name val="Times New Roman"/>
      <family val="1"/>
    </font>
    <font>
      <b/>
      <sz val="14"/>
      <color rgb="FF000000"/>
      <name val="等线"/>
      <family val="3"/>
      <charset val="134"/>
      <scheme val="minor"/>
    </font>
    <font>
      <b/>
      <sz val="12"/>
      <color rgb="FF2972F4"/>
      <name val="微软雅黑"/>
      <family val="2"/>
      <charset val="134"/>
    </font>
    <font>
      <b/>
      <sz val="12"/>
      <color rgb="FF319B62"/>
      <name val="微软雅黑"/>
      <family val="2"/>
      <charset val="134"/>
    </font>
    <font>
      <sz val="10"/>
      <color theme="1"/>
      <name val="宋体"/>
      <family val="3"/>
      <charset val="134"/>
    </font>
    <font>
      <sz val="10"/>
      <color rgb="FF000000"/>
      <name val="宋体"/>
      <family val="3"/>
      <charset val="134"/>
    </font>
    <font>
      <b/>
      <sz val="12"/>
      <color theme="1"/>
      <name val="宋体"/>
      <family val="3"/>
      <charset val="134"/>
    </font>
    <font>
      <b/>
      <sz val="11"/>
      <color theme="1"/>
      <name val="Times New Roman"/>
      <family val="1"/>
    </font>
    <font>
      <b/>
      <sz val="10"/>
      <color rgb="FF000000"/>
      <name val="宋体"/>
      <family val="3"/>
      <charset val="134"/>
    </font>
    <font>
      <b/>
      <sz val="11"/>
      <color rgb="FF000000"/>
      <name val="宋体"/>
      <family val="3"/>
      <charset val="134"/>
    </font>
    <font>
      <sz val="11"/>
      <color rgb="FF000000"/>
      <name val="宋体"/>
      <family val="3"/>
      <charset val="134"/>
    </font>
    <font>
      <sz val="11"/>
      <color rgb="FF000000"/>
      <name val="Times New Roman"/>
      <family val="1"/>
    </font>
    <font>
      <sz val="10"/>
      <color rgb="FF000000"/>
      <name val="等线"/>
      <family val="3"/>
      <charset val="134"/>
      <scheme val="minor"/>
    </font>
    <font>
      <sz val="12"/>
      <color rgb="FF000000"/>
      <name val="微软雅黑"/>
      <family val="2"/>
      <charset val="134"/>
    </font>
    <font>
      <b/>
      <sz val="10"/>
      <color theme="1"/>
      <name val="宋体"/>
      <family val="3"/>
      <charset val="134"/>
    </font>
    <font>
      <sz val="10.5"/>
      <color theme="1"/>
      <name val="宋体"/>
      <family val="3"/>
      <charset val="134"/>
    </font>
    <font>
      <sz val="11"/>
      <color theme="1"/>
      <name val="宋体"/>
      <family val="3"/>
      <charset val="134"/>
    </font>
    <font>
      <b/>
      <sz val="16"/>
      <color theme="1"/>
      <name val="宋体"/>
      <family val="3"/>
      <charset val="134"/>
    </font>
    <font>
      <b/>
      <sz val="14"/>
      <color theme="1"/>
      <name val="宋体"/>
      <family val="3"/>
      <charset val="134"/>
    </font>
    <font>
      <sz val="11"/>
      <color theme="1"/>
      <name val="Calibri"/>
      <family val="2"/>
    </font>
    <font>
      <sz val="10"/>
      <color rgb="FF000000"/>
      <name val="Times New Roman"/>
      <family val="1"/>
    </font>
    <font>
      <sz val="9"/>
      <name val="等线"/>
      <family val="3"/>
      <charset val="134"/>
      <scheme val="minor"/>
    </font>
  </fonts>
  <fills count="9">
    <fill>
      <patternFill patternType="none"/>
    </fill>
    <fill>
      <patternFill patternType="gray125"/>
    </fill>
    <fill>
      <patternFill patternType="solid">
        <fgColor rgb="FFF2F2F2"/>
        <bgColor indexed="64"/>
      </patternFill>
    </fill>
    <fill>
      <patternFill patternType="solid">
        <fgColor rgb="FFE5EFFF"/>
        <bgColor indexed="64"/>
      </patternFill>
    </fill>
    <fill>
      <patternFill patternType="solid">
        <fgColor rgb="FFEAFAF1"/>
        <bgColor indexed="64"/>
      </patternFill>
    </fill>
    <fill>
      <patternFill patternType="solid">
        <fgColor rgb="FF92D050"/>
        <bgColor indexed="64"/>
      </patternFill>
    </fill>
    <fill>
      <patternFill patternType="solid">
        <fgColor rgb="FFD2E7F7"/>
        <bgColor indexed="64"/>
      </patternFill>
    </fill>
    <fill>
      <patternFill patternType="solid">
        <fgColor rgb="FFD8EDCF"/>
        <bgColor indexed="64"/>
      </patternFill>
    </fill>
    <fill>
      <patternFill patternType="solid">
        <fgColor theme="0"/>
        <bgColor indexed="64"/>
      </patternFill>
    </fill>
  </fills>
  <borders count="15">
    <border>
      <left/>
      <right/>
      <top/>
      <bottom/>
      <diagonal/>
    </border>
    <border>
      <left style="thin">
        <color rgb="FFC7DCFF"/>
      </left>
      <right/>
      <top/>
      <bottom style="thin">
        <color rgb="FFC7DCFF"/>
      </bottom>
      <diagonal/>
    </border>
    <border>
      <left/>
      <right/>
      <top/>
      <bottom style="thin">
        <color rgb="FFC7DCFF"/>
      </bottom>
      <diagonal/>
    </border>
    <border>
      <left style="thin">
        <color auto="1"/>
      </left>
      <right style="thin">
        <color auto="1"/>
      </right>
      <top style="thin">
        <color auto="1"/>
      </top>
      <bottom style="thin">
        <color auto="1"/>
      </bottom>
      <diagonal/>
    </border>
    <border>
      <left style="thin">
        <color rgb="FFC7DCFF"/>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rgb="FFC7DCFF"/>
      </right>
      <top/>
      <bottom style="thin">
        <color rgb="FFC7DCFF"/>
      </bottom>
      <diagonal/>
    </border>
    <border>
      <left style="thin">
        <color rgb="FFFFC9C7"/>
      </left>
      <right style="thin">
        <color rgb="FFFFC9C7"/>
      </right>
      <top style="thin">
        <color rgb="FFFFC9C7"/>
      </top>
      <bottom style="thin">
        <color rgb="FFFFC9C7"/>
      </bottom>
      <diagonal/>
    </border>
    <border>
      <left style="thin">
        <color rgb="FFD8D8D8"/>
      </left>
      <right style="thin">
        <color rgb="FFD8D8D8"/>
      </right>
      <top style="thin">
        <color rgb="FFD8D8D8"/>
      </top>
      <bottom style="thin">
        <color rgb="FFD8D8D8"/>
      </bottom>
      <diagonal/>
    </border>
    <border>
      <left/>
      <right style="thin">
        <color rgb="FFC7DCFF"/>
      </right>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90">
    <xf numFmtId="0" fontId="0" fillId="0" borderId="0" xfId="0">
      <alignment vertical="center"/>
    </xf>
    <xf numFmtId="0" fontId="1" fillId="0" borderId="0" xfId="0" applyFont="1">
      <alignment vertical="center"/>
    </xf>
    <xf numFmtId="0" fontId="0" fillId="0" borderId="0" xfId="0" applyAlignment="1">
      <alignment horizontal="center" vertical="center"/>
    </xf>
    <xf numFmtId="0" fontId="2" fillId="0" borderId="0" xfId="0" applyFont="1">
      <alignment vertical="center"/>
    </xf>
    <xf numFmtId="0" fontId="2" fillId="0" borderId="0" xfId="0" applyFont="1" applyAlignment="1">
      <alignment vertical="center" wrapText="1"/>
    </xf>
    <xf numFmtId="178" fontId="4" fillId="3" borderId="3" xfId="0" applyNumberFormat="1" applyFont="1" applyFill="1" applyBorder="1" applyAlignment="1">
      <alignment horizontal="center" vertical="center"/>
    </xf>
    <xf numFmtId="178" fontId="4" fillId="3" borderId="3" xfId="0" applyNumberFormat="1" applyFont="1" applyFill="1" applyBorder="1" applyAlignment="1">
      <alignment horizontal="center" vertical="center" wrapText="1"/>
    </xf>
    <xf numFmtId="0" fontId="4" fillId="3" borderId="3"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3" xfId="0" applyFont="1" applyFill="1" applyBorder="1" applyAlignment="1">
      <alignment horizontal="center" vertical="center" wrapText="1"/>
    </xf>
    <xf numFmtId="0" fontId="6" fillId="0" borderId="3" xfId="0" applyFont="1" applyBorder="1" applyAlignment="1">
      <alignment horizontal="center" vertical="center"/>
    </xf>
    <xf numFmtId="0" fontId="6" fillId="5" borderId="3" xfId="0" applyFont="1" applyFill="1" applyBorder="1" applyAlignment="1">
      <alignment horizontal="center" vertical="center" wrapText="1"/>
    </xf>
    <xf numFmtId="0" fontId="6" fillId="5" borderId="3" xfId="0" applyFont="1" applyFill="1" applyBorder="1" applyAlignment="1">
      <alignment horizontal="left"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7" fillId="5" borderId="3" xfId="0" applyFont="1" applyFill="1" applyBorder="1" applyAlignment="1">
      <alignment horizontal="left" vertical="center" wrapText="1"/>
    </xf>
    <xf numFmtId="0" fontId="7" fillId="5" borderId="3" xfId="0" applyFont="1" applyFill="1" applyBorder="1" applyAlignment="1">
      <alignment horizontal="center" vertical="center" wrapText="1"/>
    </xf>
    <xf numFmtId="0" fontId="9" fillId="0" borderId="3" xfId="0" applyFont="1" applyBorder="1" applyAlignment="1">
      <alignment horizontal="center" vertical="center" wrapText="1"/>
    </xf>
    <xf numFmtId="0" fontId="7" fillId="0" borderId="3" xfId="0" applyFont="1" applyBorder="1" applyAlignment="1">
      <alignment horizontal="center" vertical="center" wrapText="1"/>
    </xf>
    <xf numFmtId="0" fontId="12" fillId="5" borderId="3" xfId="0" applyFont="1" applyFill="1" applyBorder="1" applyAlignment="1">
      <alignment horizontal="left" vertical="center" wrapText="1"/>
    </xf>
    <xf numFmtId="0" fontId="13" fillId="0" borderId="3" xfId="0" applyFont="1" applyBorder="1" applyAlignment="1">
      <alignment horizontal="center" vertical="center"/>
    </xf>
    <xf numFmtId="0" fontId="14" fillId="0" borderId="0" xfId="0" applyFont="1">
      <alignment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9" xfId="0" applyFont="1" applyBorder="1">
      <alignment vertical="center"/>
    </xf>
    <xf numFmtId="0" fontId="15" fillId="0" borderId="8" xfId="0" applyFont="1" applyBorder="1" applyAlignment="1">
      <alignment horizontal="center" vertical="center"/>
    </xf>
    <xf numFmtId="0" fontId="15" fillId="0" borderId="0" xfId="0" applyFont="1">
      <alignment vertical="center"/>
    </xf>
    <xf numFmtId="0" fontId="15" fillId="0" borderId="9" xfId="0" applyFont="1" applyBorder="1" applyAlignment="1">
      <alignment horizontal="center" vertical="center"/>
    </xf>
    <xf numFmtId="0" fontId="15" fillId="0" borderId="9" xfId="0" applyFont="1" applyBorder="1">
      <alignment vertical="center"/>
    </xf>
    <xf numFmtId="0" fontId="6" fillId="0" borderId="3" xfId="0" applyFont="1" applyBorder="1" applyAlignment="1">
      <alignment horizontal="center" vertical="center" wrapText="1"/>
    </xf>
    <xf numFmtId="0" fontId="0" fillId="0" borderId="3" xfId="0" applyBorder="1">
      <alignment vertical="center"/>
    </xf>
    <xf numFmtId="0" fontId="12" fillId="0" borderId="3" xfId="0" applyFont="1" applyBorder="1" applyAlignment="1">
      <alignment horizontal="center" vertical="center"/>
    </xf>
    <xf numFmtId="0" fontId="12" fillId="0" borderId="3" xfId="0" applyFont="1" applyBorder="1" applyAlignment="1">
      <alignment horizontal="center" vertical="center" wrapText="1"/>
    </xf>
    <xf numFmtId="0" fontId="7" fillId="0" borderId="3" xfId="0" applyFont="1" applyBorder="1" applyAlignment="1">
      <alignment horizontal="left" vertical="center" wrapText="1"/>
    </xf>
    <xf numFmtId="0" fontId="12" fillId="0" borderId="3" xfId="0" applyFont="1" applyBorder="1" applyAlignment="1">
      <alignment horizontal="left" vertical="center" wrapText="1"/>
    </xf>
    <xf numFmtId="0" fontId="6" fillId="0" borderId="3" xfId="0" applyFont="1" applyBorder="1" applyAlignment="1">
      <alignment horizontal="left" vertical="center" wrapText="1"/>
    </xf>
    <xf numFmtId="0" fontId="17" fillId="0" borderId="3" xfId="0" applyFont="1" applyBorder="1" applyAlignment="1">
      <alignment horizontal="left" vertical="center" wrapText="1"/>
    </xf>
    <xf numFmtId="0" fontId="17" fillId="5" borderId="3" xfId="0" applyFont="1" applyFill="1" applyBorder="1" applyAlignment="1">
      <alignment horizontal="left" vertical="center" wrapText="1"/>
    </xf>
    <xf numFmtId="0" fontId="17" fillId="8" borderId="3" xfId="0" applyFont="1" applyFill="1" applyBorder="1" applyAlignment="1">
      <alignment horizontal="left" vertical="center" wrapText="1"/>
    </xf>
    <xf numFmtId="0" fontId="6" fillId="8" borderId="3" xfId="0" applyFont="1" applyFill="1" applyBorder="1" applyAlignment="1">
      <alignment horizontal="left" vertical="center" wrapText="1"/>
    </xf>
    <xf numFmtId="0" fontId="17" fillId="0" borderId="3" xfId="0" applyFont="1" applyBorder="1" applyAlignment="1">
      <alignment horizontal="center" vertical="center" wrapText="1"/>
    </xf>
    <xf numFmtId="0" fontId="2" fillId="0" borderId="3" xfId="0" applyFont="1" applyBorder="1" applyAlignment="1">
      <alignment horizontal="justify" vertical="center" wrapText="1"/>
    </xf>
    <xf numFmtId="0" fontId="2" fillId="0" borderId="3" xfId="0" applyFont="1" applyBorder="1">
      <alignment vertical="center"/>
    </xf>
    <xf numFmtId="0" fontId="2" fillId="0" borderId="3" xfId="0" applyFont="1" applyBorder="1" applyAlignment="1">
      <alignment vertical="center" wrapText="1"/>
    </xf>
    <xf numFmtId="0" fontId="18" fillId="0" borderId="3" xfId="0" applyFont="1" applyBorder="1" applyAlignment="1">
      <alignment horizontal="center" vertical="center"/>
    </xf>
    <xf numFmtId="0" fontId="18" fillId="0" borderId="3" xfId="0" applyFont="1" applyBorder="1" applyAlignment="1">
      <alignment horizontal="center" vertical="center" wrapText="1"/>
    </xf>
    <xf numFmtId="178" fontId="3" fillId="2" borderId="1" xfId="0" applyNumberFormat="1" applyFont="1" applyFill="1" applyBorder="1" applyAlignment="1">
      <alignment horizontal="left" vertical="center"/>
    </xf>
    <xf numFmtId="178" fontId="3" fillId="2" borderId="2" xfId="0" applyNumberFormat="1" applyFont="1" applyFill="1" applyBorder="1" applyAlignment="1">
      <alignment horizontal="left" vertical="center"/>
    </xf>
    <xf numFmtId="178" fontId="3" fillId="2" borderId="7" xfId="0" applyNumberFormat="1" applyFont="1" applyFill="1" applyBorder="1" applyAlignment="1">
      <alignment horizontal="left" vertical="center"/>
    </xf>
    <xf numFmtId="0" fontId="8" fillId="0" borderId="3" xfId="0" applyFont="1" applyBorder="1" applyAlignment="1">
      <alignment horizontal="right" vertical="center"/>
    </xf>
    <xf numFmtId="178" fontId="3" fillId="2" borderId="4" xfId="0" applyNumberFormat="1" applyFont="1" applyFill="1" applyBorder="1" applyAlignment="1">
      <alignment horizontal="left" vertical="center"/>
    </xf>
    <xf numFmtId="178" fontId="3" fillId="2" borderId="0" xfId="0" applyNumberFormat="1" applyFont="1" applyFill="1" applyAlignment="1">
      <alignment horizontal="left" vertical="center"/>
    </xf>
    <xf numFmtId="178" fontId="3" fillId="2" borderId="10" xfId="0" applyNumberFormat="1" applyFont="1" applyFill="1" applyBorder="1" applyAlignment="1">
      <alignment horizontal="left" vertical="center"/>
    </xf>
    <xf numFmtId="0" fontId="10" fillId="6" borderId="5" xfId="0" applyFont="1" applyFill="1" applyBorder="1" applyAlignment="1">
      <alignment horizontal="left" vertical="center" wrapText="1"/>
    </xf>
    <xf numFmtId="0" fontId="10" fillId="6" borderId="6" xfId="0" applyFont="1" applyFill="1" applyBorder="1" applyAlignment="1">
      <alignment horizontal="left" vertical="center" wrapText="1"/>
    </xf>
    <xf numFmtId="0" fontId="10" fillId="6" borderId="11" xfId="0" applyFont="1" applyFill="1" applyBorder="1" applyAlignment="1">
      <alignment horizontal="left" vertical="center" wrapText="1"/>
    </xf>
    <xf numFmtId="0" fontId="10" fillId="7" borderId="5" xfId="0" applyFont="1" applyFill="1" applyBorder="1" applyAlignment="1">
      <alignment horizontal="left" vertical="center" wrapText="1"/>
    </xf>
    <xf numFmtId="0" fontId="10" fillId="7" borderId="6" xfId="0" applyFont="1" applyFill="1" applyBorder="1" applyAlignment="1">
      <alignment horizontal="left" vertical="center" wrapText="1"/>
    </xf>
    <xf numFmtId="0" fontId="10" fillId="7" borderId="11" xfId="0" applyFont="1" applyFill="1" applyBorder="1" applyAlignment="1">
      <alignment horizontal="left" vertical="center" wrapText="1"/>
    </xf>
    <xf numFmtId="0" fontId="7" fillId="5" borderId="3" xfId="0" applyFont="1" applyFill="1" applyBorder="1" applyAlignment="1">
      <alignment horizontal="left" vertical="center" wrapText="1"/>
    </xf>
    <xf numFmtId="0" fontId="16" fillId="0" borderId="5" xfId="0" applyFont="1" applyBorder="1" applyAlignment="1">
      <alignment horizontal="left" vertical="center" wrapText="1"/>
    </xf>
    <xf numFmtId="0" fontId="16" fillId="0" borderId="6" xfId="0" applyFont="1" applyBorder="1" applyAlignment="1">
      <alignment horizontal="left" vertical="center" wrapText="1"/>
    </xf>
    <xf numFmtId="0" fontId="16" fillId="0" borderId="11" xfId="0" applyFont="1" applyBorder="1" applyAlignment="1">
      <alignment horizontal="left" vertical="center" wrapText="1"/>
    </xf>
    <xf numFmtId="0" fontId="6" fillId="0" borderId="3" xfId="0" applyFont="1" applyBorder="1" applyAlignment="1">
      <alignment horizontal="left" vertical="center" wrapText="1"/>
    </xf>
    <xf numFmtId="0" fontId="17" fillId="0" borderId="3" xfId="0" applyFont="1" applyBorder="1" applyAlignment="1">
      <alignment horizontal="left" vertical="center" wrapText="1"/>
    </xf>
    <xf numFmtId="0" fontId="17" fillId="5" borderId="3" xfId="0" applyFont="1" applyFill="1" applyBorder="1" applyAlignment="1">
      <alignment horizontal="left" vertical="center" wrapText="1"/>
    </xf>
    <xf numFmtId="0" fontId="6" fillId="5" borderId="3" xfId="0" applyFont="1" applyFill="1" applyBorder="1" applyAlignment="1">
      <alignment horizontal="left" vertical="center" wrapText="1"/>
    </xf>
    <xf numFmtId="0" fontId="16" fillId="0" borderId="3" xfId="0" applyFont="1" applyBorder="1" applyAlignment="1">
      <alignment horizontal="left" vertical="center" wrapText="1"/>
    </xf>
    <xf numFmtId="0" fontId="8" fillId="0" borderId="3" xfId="0" applyFont="1" applyBorder="1" applyAlignment="1">
      <alignment horizontal="center" vertical="center" wrapText="1"/>
    </xf>
    <xf numFmtId="0" fontId="18" fillId="0" borderId="3" xfId="0" applyFont="1" applyBorder="1" applyAlignment="1">
      <alignment horizontal="center" vertical="center"/>
    </xf>
    <xf numFmtId="0" fontId="19" fillId="0" borderId="3" xfId="0" applyFont="1" applyBorder="1" applyAlignment="1">
      <alignment horizontal="right" vertical="center"/>
    </xf>
    <xf numFmtId="0" fontId="20" fillId="0" borderId="3" xfId="0" applyFont="1" applyBorder="1" applyAlignment="1">
      <alignment horizontal="center" vertical="center" wrapText="1"/>
    </xf>
    <xf numFmtId="0" fontId="6" fillId="0" borderId="3" xfId="0" applyFont="1" applyBorder="1" applyAlignment="1">
      <alignment horizontal="center" vertical="center"/>
    </xf>
    <xf numFmtId="0" fontId="6" fillId="5" borderId="3" xfId="0" applyFont="1" applyFill="1" applyBorder="1" applyAlignment="1">
      <alignment horizontal="center" vertical="center" wrapText="1"/>
    </xf>
    <xf numFmtId="0" fontId="11" fillId="5" borderId="3"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2" fillId="0" borderId="3" xfId="0" applyFont="1" applyBorder="1" applyAlignment="1">
      <alignment horizontal="center" vertical="center" wrapText="1"/>
    </xf>
    <xf numFmtId="0" fontId="17" fillId="8" borderId="3" xfId="0" applyFont="1" applyFill="1" applyBorder="1" applyAlignment="1">
      <alignment horizontal="left" vertical="center" wrapText="1"/>
    </xf>
    <xf numFmtId="0" fontId="17" fillId="5" borderId="3"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6" fillId="8" borderId="3" xfId="0" applyFont="1" applyFill="1" applyBorder="1" applyAlignment="1">
      <alignment horizontal="center" vertical="center" wrapText="1"/>
    </xf>
    <xf numFmtId="0" fontId="6" fillId="8" borderId="3"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5"/>
  <sheetViews>
    <sheetView tabSelected="1" topLeftCell="A82" workbookViewId="0">
      <selection activeCell="E96" sqref="E96"/>
    </sheetView>
  </sheetViews>
  <sheetFormatPr defaultColWidth="9" defaultRowHeight="15" x14ac:dyDescent="0.2"/>
  <cols>
    <col min="2" max="2" width="13.875" customWidth="1"/>
    <col min="3" max="3" width="13.625" customWidth="1"/>
    <col min="4" max="4" width="55.125" customWidth="1"/>
    <col min="5" max="5" width="16.25" style="3" customWidth="1"/>
    <col min="6" max="6" width="13.5" style="3" customWidth="1"/>
    <col min="7" max="7" width="16.375" style="3" customWidth="1"/>
    <col min="8" max="8" width="17.125" style="4" customWidth="1"/>
    <col min="9" max="9" width="13.375" customWidth="1"/>
  </cols>
  <sheetData>
    <row r="1" spans="1:17" ht="18" x14ac:dyDescent="0.2">
      <c r="A1" s="46" t="s">
        <v>0</v>
      </c>
      <c r="B1" s="47"/>
      <c r="C1" s="47"/>
      <c r="D1" s="47"/>
      <c r="E1" s="47"/>
      <c r="F1" s="47"/>
      <c r="G1" s="47"/>
      <c r="H1" s="47"/>
      <c r="I1" s="48"/>
      <c r="J1" s="21"/>
      <c r="K1" s="22"/>
      <c r="L1" s="21"/>
      <c r="M1" s="23"/>
      <c r="N1" s="24"/>
      <c r="O1" s="24"/>
      <c r="P1" s="24"/>
      <c r="Q1" s="24"/>
    </row>
    <row r="2" spans="1:17" s="1" customFormat="1" ht="18" x14ac:dyDescent="0.2">
      <c r="A2" s="5" t="s">
        <v>1</v>
      </c>
      <c r="B2" s="5" t="s">
        <v>2</v>
      </c>
      <c r="C2" s="5" t="s">
        <v>3</v>
      </c>
      <c r="D2" s="6" t="s">
        <v>4</v>
      </c>
      <c r="E2" s="5" t="s">
        <v>5</v>
      </c>
      <c r="F2" s="7" t="s">
        <v>6</v>
      </c>
      <c r="G2" s="8" t="s">
        <v>7</v>
      </c>
      <c r="H2" s="9" t="s">
        <v>8</v>
      </c>
      <c r="I2" s="7" t="s">
        <v>9</v>
      </c>
      <c r="K2" s="25"/>
      <c r="L2" s="26"/>
      <c r="M2" s="27"/>
      <c r="N2" s="28"/>
      <c r="O2" s="28"/>
      <c r="P2" s="28"/>
      <c r="Q2" s="28"/>
    </row>
    <row r="3" spans="1:17" ht="24" x14ac:dyDescent="0.2">
      <c r="A3" s="10">
        <v>1</v>
      </c>
      <c r="B3" s="88" t="s">
        <v>10</v>
      </c>
      <c r="C3" s="89" t="s">
        <v>11</v>
      </c>
      <c r="D3" s="39" t="s">
        <v>12</v>
      </c>
      <c r="E3" s="13" t="s">
        <v>13</v>
      </c>
      <c r="F3" s="14">
        <v>100</v>
      </c>
      <c r="G3" s="14"/>
      <c r="H3" s="14">
        <f>G3*F3</f>
        <v>0</v>
      </c>
      <c r="I3" s="29"/>
    </row>
    <row r="4" spans="1:17" ht="24" x14ac:dyDescent="0.2">
      <c r="A4" s="10">
        <v>2</v>
      </c>
      <c r="B4" s="88"/>
      <c r="C4" s="89" t="s">
        <v>14</v>
      </c>
      <c r="D4" s="39" t="s">
        <v>15</v>
      </c>
      <c r="E4" s="13" t="s">
        <v>13</v>
      </c>
      <c r="F4" s="14">
        <v>100</v>
      </c>
      <c r="G4" s="14"/>
      <c r="H4" s="14">
        <f>G4*F4</f>
        <v>0</v>
      </c>
      <c r="I4" s="29"/>
    </row>
    <row r="5" spans="1:17" ht="36" x14ac:dyDescent="0.2">
      <c r="A5" s="10">
        <v>3</v>
      </c>
      <c r="B5" s="88"/>
      <c r="C5" s="89" t="s">
        <v>16</v>
      </c>
      <c r="D5" s="39" t="s">
        <v>17</v>
      </c>
      <c r="E5" s="13" t="s">
        <v>18</v>
      </c>
      <c r="F5" s="14">
        <v>210</v>
      </c>
      <c r="G5" s="14"/>
      <c r="H5" s="14">
        <f>G5*F5</f>
        <v>0</v>
      </c>
      <c r="I5" s="29"/>
    </row>
    <row r="6" spans="1:17" ht="24" x14ac:dyDescent="0.2">
      <c r="A6" s="10">
        <v>4</v>
      </c>
      <c r="B6" s="88"/>
      <c r="C6" s="89" t="s">
        <v>19</v>
      </c>
      <c r="D6" s="39" t="s">
        <v>20</v>
      </c>
      <c r="E6" s="13" t="s">
        <v>21</v>
      </c>
      <c r="F6" s="14">
        <v>1</v>
      </c>
      <c r="G6" s="14"/>
      <c r="H6" s="14">
        <f t="shared" ref="H6:H20" si="0">G6*F6</f>
        <v>0</v>
      </c>
      <c r="I6" s="29"/>
    </row>
    <row r="7" spans="1:17" ht="36" x14ac:dyDescent="0.2">
      <c r="A7" s="10">
        <v>3</v>
      </c>
      <c r="B7" s="73" t="s">
        <v>22</v>
      </c>
      <c r="C7" s="11" t="s">
        <v>23</v>
      </c>
      <c r="D7" s="12" t="s">
        <v>24</v>
      </c>
      <c r="E7" s="13" t="s">
        <v>13</v>
      </c>
      <c r="F7" s="14">
        <v>100</v>
      </c>
      <c r="G7" s="14"/>
      <c r="H7" s="14">
        <f t="shared" si="0"/>
        <v>0</v>
      </c>
      <c r="I7" s="29"/>
    </row>
    <row r="8" spans="1:17" ht="24" x14ac:dyDescent="0.2">
      <c r="A8" s="10">
        <v>4</v>
      </c>
      <c r="B8" s="73"/>
      <c r="C8" s="11" t="s">
        <v>25</v>
      </c>
      <c r="D8" s="12" t="s">
        <v>26</v>
      </c>
      <c r="E8" s="13" t="s">
        <v>13</v>
      </c>
      <c r="F8" s="14">
        <v>100</v>
      </c>
      <c r="G8" s="14"/>
      <c r="H8" s="14">
        <f t="shared" si="0"/>
        <v>0</v>
      </c>
      <c r="I8" s="29"/>
    </row>
    <row r="9" spans="1:17" ht="27" customHeight="1" x14ac:dyDescent="0.2">
      <c r="A9" s="10">
        <v>5</v>
      </c>
      <c r="B9" s="73"/>
      <c r="C9" s="11" t="s">
        <v>27</v>
      </c>
      <c r="D9" s="12" t="s">
        <v>28</v>
      </c>
      <c r="E9" s="13" t="s">
        <v>13</v>
      </c>
      <c r="F9" s="14">
        <v>100</v>
      </c>
      <c r="G9" s="14"/>
      <c r="H9" s="14">
        <f t="shared" si="0"/>
        <v>0</v>
      </c>
      <c r="I9" s="29"/>
    </row>
    <row r="10" spans="1:17" ht="24" x14ac:dyDescent="0.2">
      <c r="A10" s="10">
        <v>6</v>
      </c>
      <c r="B10" s="11" t="s">
        <v>29</v>
      </c>
      <c r="C10" s="11" t="s">
        <v>30</v>
      </c>
      <c r="D10" s="12" t="s">
        <v>31</v>
      </c>
      <c r="E10" s="13" t="s">
        <v>13</v>
      </c>
      <c r="F10" s="14">
        <v>900</v>
      </c>
      <c r="G10" s="14"/>
      <c r="H10" s="14">
        <f t="shared" si="0"/>
        <v>0</v>
      </c>
      <c r="I10" s="29"/>
    </row>
    <row r="11" spans="1:17" ht="24" x14ac:dyDescent="0.2">
      <c r="A11" s="10">
        <v>7</v>
      </c>
      <c r="B11" s="73" t="s">
        <v>32</v>
      </c>
      <c r="C11" s="11" t="s">
        <v>33</v>
      </c>
      <c r="D11" s="12" t="s">
        <v>34</v>
      </c>
      <c r="E11" s="13" t="s">
        <v>21</v>
      </c>
      <c r="F11" s="14">
        <v>1</v>
      </c>
      <c r="G11" s="14"/>
      <c r="H11" s="14">
        <f t="shared" si="0"/>
        <v>0</v>
      </c>
      <c r="I11" s="29"/>
    </row>
    <row r="12" spans="1:17" ht="24" x14ac:dyDescent="0.2">
      <c r="A12" s="10">
        <v>8</v>
      </c>
      <c r="B12" s="73"/>
      <c r="C12" s="11" t="s">
        <v>35</v>
      </c>
      <c r="D12" s="12" t="s">
        <v>36</v>
      </c>
      <c r="E12" s="13" t="s">
        <v>21</v>
      </c>
      <c r="F12" s="14">
        <v>1</v>
      </c>
      <c r="G12" s="14"/>
      <c r="H12" s="14">
        <f t="shared" si="0"/>
        <v>0</v>
      </c>
      <c r="I12" s="29"/>
    </row>
    <row r="13" spans="1:17" ht="24" x14ac:dyDescent="0.2">
      <c r="A13" s="10">
        <v>9</v>
      </c>
      <c r="B13" s="73"/>
      <c r="C13" s="11" t="s">
        <v>37</v>
      </c>
      <c r="D13" s="12" t="s">
        <v>38</v>
      </c>
      <c r="E13" s="13" t="s">
        <v>21</v>
      </c>
      <c r="F13" s="14">
        <v>1</v>
      </c>
      <c r="G13" s="14"/>
      <c r="H13" s="14">
        <f t="shared" si="0"/>
        <v>0</v>
      </c>
      <c r="I13" s="29"/>
    </row>
    <row r="14" spans="1:17" ht="24" x14ac:dyDescent="0.2">
      <c r="A14" s="10">
        <v>10</v>
      </c>
      <c r="B14" s="73"/>
      <c r="C14" s="11" t="s">
        <v>39</v>
      </c>
      <c r="D14" s="12" t="s">
        <v>40</v>
      </c>
      <c r="E14" s="13" t="s">
        <v>21</v>
      </c>
      <c r="F14" s="14">
        <v>1</v>
      </c>
      <c r="G14" s="14"/>
      <c r="H14" s="14">
        <f t="shared" si="0"/>
        <v>0</v>
      </c>
      <c r="I14" s="29"/>
    </row>
    <row r="15" spans="1:17" ht="24" x14ac:dyDescent="0.2">
      <c r="A15" s="10">
        <v>11</v>
      </c>
      <c r="B15" s="73" t="s">
        <v>41</v>
      </c>
      <c r="C15" s="11" t="s">
        <v>42</v>
      </c>
      <c r="D15" s="12" t="s">
        <v>43</v>
      </c>
      <c r="E15" s="13" t="s">
        <v>21</v>
      </c>
      <c r="F15" s="14">
        <v>1</v>
      </c>
      <c r="G15" s="14"/>
      <c r="H15" s="14">
        <f t="shared" si="0"/>
        <v>0</v>
      </c>
      <c r="I15" s="29"/>
    </row>
    <row r="16" spans="1:17" x14ac:dyDescent="0.2">
      <c r="A16" s="10">
        <v>12</v>
      </c>
      <c r="B16" s="73"/>
      <c r="C16" s="11" t="s">
        <v>44</v>
      </c>
      <c r="D16" s="12" t="s">
        <v>45</v>
      </c>
      <c r="E16" s="13" t="s">
        <v>21</v>
      </c>
      <c r="F16" s="14">
        <v>1</v>
      </c>
      <c r="G16" s="14"/>
      <c r="H16" s="14">
        <f t="shared" si="0"/>
        <v>0</v>
      </c>
      <c r="I16" s="29"/>
    </row>
    <row r="17" spans="1:17" ht="24" x14ac:dyDescent="0.2">
      <c r="A17" s="10">
        <v>13</v>
      </c>
      <c r="B17" s="73"/>
      <c r="C17" s="11" t="s">
        <v>46</v>
      </c>
      <c r="D17" s="12" t="s">
        <v>47</v>
      </c>
      <c r="E17" s="13" t="s">
        <v>21</v>
      </c>
      <c r="F17" s="14">
        <v>1</v>
      </c>
      <c r="G17" s="14"/>
      <c r="H17" s="14">
        <f t="shared" si="0"/>
        <v>0</v>
      </c>
      <c r="I17" s="29"/>
    </row>
    <row r="18" spans="1:17" ht="36" x14ac:dyDescent="0.2">
      <c r="A18" s="10">
        <v>14</v>
      </c>
      <c r="B18" s="73"/>
      <c r="C18" s="11" t="s">
        <v>48</v>
      </c>
      <c r="D18" s="15" t="s">
        <v>49</v>
      </c>
      <c r="E18" s="13" t="s">
        <v>21</v>
      </c>
      <c r="F18" s="14">
        <v>1</v>
      </c>
      <c r="G18" s="14"/>
      <c r="H18" s="14">
        <f t="shared" si="0"/>
        <v>0</v>
      </c>
      <c r="I18" s="29"/>
    </row>
    <row r="19" spans="1:17" x14ac:dyDescent="0.2">
      <c r="A19" s="10">
        <v>15</v>
      </c>
      <c r="B19" s="73"/>
      <c r="C19" s="11" t="s">
        <v>50</v>
      </c>
      <c r="D19" s="12" t="s">
        <v>51</v>
      </c>
      <c r="E19" s="13" t="s">
        <v>21</v>
      </c>
      <c r="F19" s="14">
        <v>1</v>
      </c>
      <c r="G19" s="14"/>
      <c r="H19" s="14">
        <f t="shared" si="0"/>
        <v>0</v>
      </c>
      <c r="I19" s="29"/>
    </row>
    <row r="20" spans="1:17" x14ac:dyDescent="0.2">
      <c r="A20" s="10">
        <v>16</v>
      </c>
      <c r="B20" s="73"/>
      <c r="C20" s="16" t="s">
        <v>52</v>
      </c>
      <c r="D20" s="15" t="s">
        <v>53</v>
      </c>
      <c r="E20" s="13" t="s">
        <v>21</v>
      </c>
      <c r="F20" s="14">
        <v>1</v>
      </c>
      <c r="G20" s="14"/>
      <c r="H20" s="14">
        <f t="shared" si="0"/>
        <v>0</v>
      </c>
      <c r="I20" s="29"/>
    </row>
    <row r="21" spans="1:17" ht="14.25" x14ac:dyDescent="0.2">
      <c r="A21" s="49" t="s">
        <v>54</v>
      </c>
      <c r="B21" s="49"/>
      <c r="C21" s="49"/>
      <c r="D21" s="49"/>
      <c r="E21" s="49"/>
      <c r="F21" s="49"/>
      <c r="G21" s="49"/>
      <c r="H21" s="17">
        <f>SUM(H3:H20)</f>
        <v>0</v>
      </c>
      <c r="I21" s="29"/>
    </row>
    <row r="22" spans="1:17" ht="18" x14ac:dyDescent="0.2">
      <c r="A22" s="50" t="s">
        <v>55</v>
      </c>
      <c r="B22" s="51"/>
      <c r="C22" s="51"/>
      <c r="D22" s="51"/>
      <c r="E22" s="51"/>
      <c r="F22" s="51"/>
      <c r="G22" s="51"/>
      <c r="H22" s="51"/>
      <c r="I22" s="52"/>
      <c r="J22" s="21"/>
      <c r="K22" s="22"/>
      <c r="L22" s="21"/>
      <c r="M22" s="23"/>
      <c r="N22" s="24"/>
      <c r="O22" s="24"/>
      <c r="P22" s="24"/>
      <c r="Q22" s="24"/>
    </row>
    <row r="23" spans="1:17" ht="14.25" customHeight="1" x14ac:dyDescent="0.2">
      <c r="A23" s="53" t="s">
        <v>56</v>
      </c>
      <c r="B23" s="54"/>
      <c r="C23" s="54"/>
      <c r="D23" s="54"/>
      <c r="E23" s="54"/>
      <c r="F23" s="54"/>
      <c r="G23" s="54"/>
      <c r="H23" s="54"/>
      <c r="I23" s="55"/>
    </row>
    <row r="24" spans="1:17" s="1" customFormat="1" ht="18" x14ac:dyDescent="0.2">
      <c r="A24" s="5" t="s">
        <v>1</v>
      </c>
      <c r="B24" s="5" t="s">
        <v>2</v>
      </c>
      <c r="C24" s="5" t="s">
        <v>3</v>
      </c>
      <c r="D24" s="6" t="s">
        <v>4</v>
      </c>
      <c r="E24" s="5" t="s">
        <v>5</v>
      </c>
      <c r="F24" s="7" t="s">
        <v>6</v>
      </c>
      <c r="G24" s="8" t="s">
        <v>7</v>
      </c>
      <c r="H24" s="9" t="s">
        <v>8</v>
      </c>
      <c r="I24" s="7" t="s">
        <v>9</v>
      </c>
      <c r="K24" s="25"/>
      <c r="L24" s="26"/>
      <c r="M24" s="27"/>
      <c r="N24" s="28"/>
      <c r="O24" s="28"/>
      <c r="P24" s="28"/>
      <c r="Q24" s="28"/>
    </row>
    <row r="25" spans="1:17" ht="14.25" customHeight="1" x14ac:dyDescent="0.2">
      <c r="A25" s="56" t="s">
        <v>57</v>
      </c>
      <c r="B25" s="57"/>
      <c r="C25" s="57"/>
      <c r="D25" s="57"/>
      <c r="E25" s="57"/>
      <c r="F25" s="57"/>
      <c r="G25" s="57"/>
      <c r="H25" s="57"/>
      <c r="I25" s="58"/>
    </row>
    <row r="26" spans="1:17" x14ac:dyDescent="0.2">
      <c r="A26" s="18">
        <v>1</v>
      </c>
      <c r="B26" s="74" t="s">
        <v>58</v>
      </c>
      <c r="C26" s="15" t="s">
        <v>59</v>
      </c>
      <c r="D26" s="19" t="s">
        <v>60</v>
      </c>
      <c r="E26" s="20" t="s">
        <v>61</v>
      </c>
      <c r="F26" s="20">
        <v>1</v>
      </c>
      <c r="G26" s="14"/>
      <c r="H26" s="14">
        <f>G26*F26</f>
        <v>0</v>
      </c>
      <c r="I26" s="30"/>
    </row>
    <row r="27" spans="1:17" x14ac:dyDescent="0.2">
      <c r="A27" s="18">
        <v>2</v>
      </c>
      <c r="B27" s="74"/>
      <c r="C27" s="15" t="s">
        <v>62</v>
      </c>
      <c r="D27" s="19" t="s">
        <v>63</v>
      </c>
      <c r="E27" s="20" t="s">
        <v>61</v>
      </c>
      <c r="F27" s="20">
        <v>1</v>
      </c>
      <c r="G27" s="14"/>
      <c r="H27" s="14">
        <f t="shared" ref="H27:H78" si="1">G27*F27</f>
        <v>0</v>
      </c>
      <c r="I27" s="30"/>
    </row>
    <row r="28" spans="1:17" x14ac:dyDescent="0.2">
      <c r="A28" s="18">
        <v>3</v>
      </c>
      <c r="B28" s="74"/>
      <c r="C28" s="15" t="s">
        <v>64</v>
      </c>
      <c r="D28" s="19" t="s">
        <v>65</v>
      </c>
      <c r="E28" s="20" t="s">
        <v>61</v>
      </c>
      <c r="F28" s="20">
        <v>1</v>
      </c>
      <c r="G28" s="14"/>
      <c r="H28" s="14">
        <f t="shared" si="1"/>
        <v>0</v>
      </c>
      <c r="I28" s="30"/>
    </row>
    <row r="29" spans="1:17" x14ac:dyDescent="0.2">
      <c r="A29" s="18">
        <v>4</v>
      </c>
      <c r="B29" s="74"/>
      <c r="C29" s="15" t="s">
        <v>66</v>
      </c>
      <c r="D29" s="19" t="s">
        <v>67</v>
      </c>
      <c r="E29" s="20" t="s">
        <v>61</v>
      </c>
      <c r="F29" s="20">
        <v>1</v>
      </c>
      <c r="G29" s="14"/>
      <c r="H29" s="14">
        <f t="shared" si="1"/>
        <v>0</v>
      </c>
      <c r="I29" s="30"/>
    </row>
    <row r="30" spans="1:17" x14ac:dyDescent="0.2">
      <c r="A30" s="18">
        <v>5</v>
      </c>
      <c r="B30" s="74"/>
      <c r="C30" s="15" t="s">
        <v>68</v>
      </c>
      <c r="D30" s="19" t="s">
        <v>69</v>
      </c>
      <c r="E30" s="20" t="s">
        <v>61</v>
      </c>
      <c r="F30" s="20">
        <v>1</v>
      </c>
      <c r="G30" s="14"/>
      <c r="H30" s="14">
        <f t="shared" si="1"/>
        <v>0</v>
      </c>
      <c r="I30" s="30"/>
    </row>
    <row r="31" spans="1:17" x14ac:dyDescent="0.2">
      <c r="A31" s="18">
        <v>6</v>
      </c>
      <c r="B31" s="74"/>
      <c r="C31" s="15" t="s">
        <v>70</v>
      </c>
      <c r="D31" s="19" t="s">
        <v>67</v>
      </c>
      <c r="E31" s="20" t="s">
        <v>61</v>
      </c>
      <c r="F31" s="20">
        <v>1</v>
      </c>
      <c r="G31" s="14"/>
      <c r="H31" s="14">
        <f t="shared" si="1"/>
        <v>0</v>
      </c>
      <c r="I31" s="30"/>
    </row>
    <row r="32" spans="1:17" ht="14.25" customHeight="1" x14ac:dyDescent="0.2">
      <c r="A32" s="56" t="s">
        <v>71</v>
      </c>
      <c r="B32" s="57"/>
      <c r="C32" s="57"/>
      <c r="D32" s="57"/>
      <c r="E32" s="57"/>
      <c r="F32" s="57"/>
      <c r="G32" s="57"/>
      <c r="H32" s="57"/>
      <c r="I32" s="58"/>
    </row>
    <row r="33" spans="1:9" ht="24" x14ac:dyDescent="0.2">
      <c r="A33" s="18">
        <v>7</v>
      </c>
      <c r="B33" s="74" t="s">
        <v>72</v>
      </c>
      <c r="C33" s="15" t="s">
        <v>73</v>
      </c>
      <c r="D33" s="15" t="s">
        <v>74</v>
      </c>
      <c r="E33" s="20" t="s">
        <v>61</v>
      </c>
      <c r="F33" s="20">
        <v>1</v>
      </c>
      <c r="G33" s="14"/>
      <c r="H33" s="14">
        <f t="shared" si="1"/>
        <v>0</v>
      </c>
      <c r="I33" s="30"/>
    </row>
    <row r="34" spans="1:9" ht="24" x14ac:dyDescent="0.2">
      <c r="A34" s="18">
        <v>8</v>
      </c>
      <c r="B34" s="74"/>
      <c r="C34" s="15" t="s">
        <v>75</v>
      </c>
      <c r="D34" s="15" t="s">
        <v>76</v>
      </c>
      <c r="E34" s="20" t="s">
        <v>61</v>
      </c>
      <c r="F34" s="20">
        <v>1</v>
      </c>
      <c r="G34" s="14"/>
      <c r="H34" s="14">
        <f t="shared" si="1"/>
        <v>0</v>
      </c>
      <c r="I34" s="30"/>
    </row>
    <row r="35" spans="1:9" x14ac:dyDescent="0.2">
      <c r="A35" s="18">
        <v>9</v>
      </c>
      <c r="B35" s="74"/>
      <c r="C35" s="15" t="s">
        <v>77</v>
      </c>
      <c r="D35" s="15" t="s">
        <v>78</v>
      </c>
      <c r="E35" s="20" t="s">
        <v>61</v>
      </c>
      <c r="F35" s="20">
        <v>1</v>
      </c>
      <c r="G35" s="14"/>
      <c r="H35" s="14">
        <f t="shared" si="1"/>
        <v>0</v>
      </c>
      <c r="I35" s="30"/>
    </row>
    <row r="36" spans="1:9" x14ac:dyDescent="0.2">
      <c r="A36" s="18">
        <v>10</v>
      </c>
      <c r="B36" s="74"/>
      <c r="C36" s="15" t="s">
        <v>79</v>
      </c>
      <c r="D36" s="15" t="s">
        <v>80</v>
      </c>
      <c r="E36" s="20" t="s">
        <v>61</v>
      </c>
      <c r="F36" s="20">
        <v>1</v>
      </c>
      <c r="G36" s="14"/>
      <c r="H36" s="14">
        <f t="shared" si="1"/>
        <v>0</v>
      </c>
      <c r="I36" s="30"/>
    </row>
    <row r="37" spans="1:9" x14ac:dyDescent="0.2">
      <c r="A37" s="18">
        <v>11</v>
      </c>
      <c r="B37" s="74"/>
      <c r="C37" s="15" t="s">
        <v>81</v>
      </c>
      <c r="D37" s="15" t="s">
        <v>82</v>
      </c>
      <c r="E37" s="20" t="s">
        <v>61</v>
      </c>
      <c r="F37" s="20">
        <v>1</v>
      </c>
      <c r="G37" s="14"/>
      <c r="H37" s="14">
        <f t="shared" si="1"/>
        <v>0</v>
      </c>
      <c r="I37" s="30"/>
    </row>
    <row r="38" spans="1:9" x14ac:dyDescent="0.2">
      <c r="A38" s="18">
        <v>12</v>
      </c>
      <c r="B38" s="74" t="s">
        <v>83</v>
      </c>
      <c r="C38" s="15" t="s">
        <v>84</v>
      </c>
      <c r="D38" s="15" t="s">
        <v>85</v>
      </c>
      <c r="E38" s="20" t="s">
        <v>61</v>
      </c>
      <c r="F38" s="20">
        <v>1</v>
      </c>
      <c r="G38" s="14"/>
      <c r="H38" s="14">
        <f t="shared" si="1"/>
        <v>0</v>
      </c>
      <c r="I38" s="30"/>
    </row>
    <row r="39" spans="1:9" x14ac:dyDescent="0.2">
      <c r="A39" s="18">
        <v>13</v>
      </c>
      <c r="B39" s="74"/>
      <c r="C39" s="15" t="s">
        <v>86</v>
      </c>
      <c r="D39" s="15" t="s">
        <v>87</v>
      </c>
      <c r="E39" s="20" t="s">
        <v>61</v>
      </c>
      <c r="F39" s="20">
        <v>1</v>
      </c>
      <c r="G39" s="14"/>
      <c r="H39" s="14">
        <f t="shared" si="1"/>
        <v>0</v>
      </c>
      <c r="I39" s="30"/>
    </row>
    <row r="40" spans="1:9" ht="24" x14ac:dyDescent="0.2">
      <c r="A40" s="18">
        <v>14</v>
      </c>
      <c r="B40" s="74"/>
      <c r="C40" s="15" t="s">
        <v>88</v>
      </c>
      <c r="D40" s="15" t="s">
        <v>89</v>
      </c>
      <c r="E40" s="20" t="s">
        <v>61</v>
      </c>
      <c r="F40" s="20">
        <v>1</v>
      </c>
      <c r="G40" s="14"/>
      <c r="H40" s="14">
        <f t="shared" si="1"/>
        <v>0</v>
      </c>
      <c r="I40" s="30"/>
    </row>
    <row r="41" spans="1:9" x14ac:dyDescent="0.2">
      <c r="A41" s="18">
        <v>15</v>
      </c>
      <c r="B41" s="74"/>
      <c r="C41" s="15" t="s">
        <v>90</v>
      </c>
      <c r="D41" s="15" t="s">
        <v>91</v>
      </c>
      <c r="E41" s="20" t="s">
        <v>61</v>
      </c>
      <c r="F41" s="20">
        <v>1</v>
      </c>
      <c r="G41" s="14"/>
      <c r="H41" s="14">
        <f t="shared" si="1"/>
        <v>0</v>
      </c>
      <c r="I41" s="30"/>
    </row>
    <row r="42" spans="1:9" x14ac:dyDescent="0.2">
      <c r="A42" s="18">
        <v>16</v>
      </c>
      <c r="B42" s="74"/>
      <c r="C42" s="15" t="s">
        <v>92</v>
      </c>
      <c r="D42" s="15" t="s">
        <v>93</v>
      </c>
      <c r="E42" s="20" t="s">
        <v>61</v>
      </c>
      <c r="F42" s="20">
        <v>1</v>
      </c>
      <c r="G42" s="14"/>
      <c r="H42" s="14">
        <f t="shared" si="1"/>
        <v>0</v>
      </c>
      <c r="I42" s="30"/>
    </row>
    <row r="43" spans="1:9" x14ac:dyDescent="0.2">
      <c r="A43" s="18">
        <v>17</v>
      </c>
      <c r="B43" s="74" t="s">
        <v>94</v>
      </c>
      <c r="C43" s="15" t="s">
        <v>95</v>
      </c>
      <c r="D43" s="15" t="s">
        <v>96</v>
      </c>
      <c r="E43" s="20" t="s">
        <v>61</v>
      </c>
      <c r="F43" s="20">
        <v>1</v>
      </c>
      <c r="G43" s="14"/>
      <c r="H43" s="14">
        <f t="shared" si="1"/>
        <v>0</v>
      </c>
      <c r="I43" s="30"/>
    </row>
    <row r="44" spans="1:9" ht="24" x14ac:dyDescent="0.2">
      <c r="A44" s="18">
        <v>18</v>
      </c>
      <c r="B44" s="74"/>
      <c r="C44" s="15" t="s">
        <v>97</v>
      </c>
      <c r="D44" s="15" t="s">
        <v>98</v>
      </c>
      <c r="E44" s="20" t="s">
        <v>61</v>
      </c>
      <c r="F44" s="20">
        <v>1</v>
      </c>
      <c r="G44" s="14"/>
      <c r="H44" s="14">
        <f t="shared" si="1"/>
        <v>0</v>
      </c>
      <c r="I44" s="30"/>
    </row>
    <row r="45" spans="1:9" ht="24" x14ac:dyDescent="0.2">
      <c r="A45" s="18">
        <v>19</v>
      </c>
      <c r="B45" s="74"/>
      <c r="C45" s="15" t="s">
        <v>99</v>
      </c>
      <c r="D45" s="15" t="s">
        <v>100</v>
      </c>
      <c r="E45" s="20" t="s">
        <v>61</v>
      </c>
      <c r="F45" s="20">
        <v>1</v>
      </c>
      <c r="G45" s="14"/>
      <c r="H45" s="14">
        <f t="shared" si="1"/>
        <v>0</v>
      </c>
      <c r="I45" s="30"/>
    </row>
    <row r="46" spans="1:9" ht="24" x14ac:dyDescent="0.2">
      <c r="A46" s="18">
        <v>20</v>
      </c>
      <c r="B46" s="74"/>
      <c r="C46" s="15" t="s">
        <v>101</v>
      </c>
      <c r="D46" s="15" t="s">
        <v>102</v>
      </c>
      <c r="E46" s="20" t="s">
        <v>61</v>
      </c>
      <c r="F46" s="20">
        <v>1</v>
      </c>
      <c r="G46" s="14"/>
      <c r="H46" s="14">
        <f t="shared" si="1"/>
        <v>0</v>
      </c>
      <c r="I46" s="30"/>
    </row>
    <row r="47" spans="1:9" ht="24" x14ac:dyDescent="0.2">
      <c r="A47" s="18">
        <v>21</v>
      </c>
      <c r="B47" s="74" t="s">
        <v>103</v>
      </c>
      <c r="C47" s="15" t="s">
        <v>104</v>
      </c>
      <c r="D47" s="15" t="s">
        <v>105</v>
      </c>
      <c r="E47" s="20" t="s">
        <v>61</v>
      </c>
      <c r="F47" s="20">
        <v>1</v>
      </c>
      <c r="G47" s="14"/>
      <c r="H47" s="14">
        <f t="shared" si="1"/>
        <v>0</v>
      </c>
      <c r="I47" s="30"/>
    </row>
    <row r="48" spans="1:9" ht="36" x14ac:dyDescent="0.2">
      <c r="A48" s="18">
        <v>22</v>
      </c>
      <c r="B48" s="74"/>
      <c r="C48" s="15" t="s">
        <v>106</v>
      </c>
      <c r="D48" s="15" t="s">
        <v>107</v>
      </c>
      <c r="E48" s="20" t="s">
        <v>61</v>
      </c>
      <c r="F48" s="20">
        <v>1</v>
      </c>
      <c r="G48" s="14"/>
      <c r="H48" s="14">
        <f t="shared" si="1"/>
        <v>0</v>
      </c>
      <c r="I48" s="30"/>
    </row>
    <row r="49" spans="1:9" ht="24" x14ac:dyDescent="0.2">
      <c r="A49" s="18">
        <v>23</v>
      </c>
      <c r="B49" s="74"/>
      <c r="C49" s="15" t="s">
        <v>108</v>
      </c>
      <c r="D49" s="15" t="s">
        <v>93</v>
      </c>
      <c r="E49" s="20" t="s">
        <v>61</v>
      </c>
      <c r="F49" s="20">
        <v>1</v>
      </c>
      <c r="G49" s="14"/>
      <c r="H49" s="14">
        <f t="shared" si="1"/>
        <v>0</v>
      </c>
      <c r="I49" s="30"/>
    </row>
    <row r="50" spans="1:9" x14ac:dyDescent="0.2">
      <c r="A50" s="18">
        <v>24</v>
      </c>
      <c r="B50" s="74"/>
      <c r="C50" s="15" t="s">
        <v>109</v>
      </c>
      <c r="D50" s="15" t="s">
        <v>110</v>
      </c>
      <c r="E50" s="20" t="s">
        <v>61</v>
      </c>
      <c r="F50" s="20">
        <v>1</v>
      </c>
      <c r="G50" s="14"/>
      <c r="H50" s="14">
        <f t="shared" si="1"/>
        <v>0</v>
      </c>
      <c r="I50" s="30"/>
    </row>
    <row r="51" spans="1:9" ht="24" x14ac:dyDescent="0.2">
      <c r="A51" s="18">
        <v>25</v>
      </c>
      <c r="B51" s="74"/>
      <c r="C51" s="15" t="s">
        <v>111</v>
      </c>
      <c r="D51" s="15" t="s">
        <v>112</v>
      </c>
      <c r="E51" s="20" t="s">
        <v>61</v>
      </c>
      <c r="F51" s="20">
        <v>1</v>
      </c>
      <c r="G51" s="14"/>
      <c r="H51" s="14">
        <f t="shared" si="1"/>
        <v>0</v>
      </c>
      <c r="I51" s="30"/>
    </row>
    <row r="52" spans="1:9" x14ac:dyDescent="0.2">
      <c r="A52" s="18">
        <v>26</v>
      </c>
      <c r="B52" s="74"/>
      <c r="C52" s="15" t="s">
        <v>113</v>
      </c>
      <c r="D52" s="15" t="s">
        <v>114</v>
      </c>
      <c r="E52" s="20" t="s">
        <v>61</v>
      </c>
      <c r="F52" s="20">
        <v>1</v>
      </c>
      <c r="G52" s="14"/>
      <c r="H52" s="14">
        <f t="shared" si="1"/>
        <v>0</v>
      </c>
      <c r="I52" s="30"/>
    </row>
    <row r="53" spans="1:9" x14ac:dyDescent="0.2">
      <c r="A53" s="18">
        <v>27</v>
      </c>
      <c r="B53" s="74" t="s">
        <v>115</v>
      </c>
      <c r="C53" s="15" t="s">
        <v>116</v>
      </c>
      <c r="D53" s="15" t="s">
        <v>117</v>
      </c>
      <c r="E53" s="20" t="s">
        <v>61</v>
      </c>
      <c r="F53" s="20">
        <v>1</v>
      </c>
      <c r="G53" s="14"/>
      <c r="H53" s="14">
        <f t="shared" si="1"/>
        <v>0</v>
      </c>
      <c r="I53" s="30"/>
    </row>
    <row r="54" spans="1:9" x14ac:dyDescent="0.2">
      <c r="A54" s="18">
        <v>28</v>
      </c>
      <c r="B54" s="74"/>
      <c r="C54" s="15" t="s">
        <v>118</v>
      </c>
      <c r="D54" s="15" t="s">
        <v>119</v>
      </c>
      <c r="E54" s="20" t="s">
        <v>61</v>
      </c>
      <c r="F54" s="20">
        <v>1</v>
      </c>
      <c r="G54" s="14"/>
      <c r="H54" s="14">
        <f t="shared" si="1"/>
        <v>0</v>
      </c>
      <c r="I54" s="30"/>
    </row>
    <row r="55" spans="1:9" ht="36" x14ac:dyDescent="0.2">
      <c r="A55" s="18">
        <v>29</v>
      </c>
      <c r="B55" s="74" t="s">
        <v>120</v>
      </c>
      <c r="C55" s="15" t="s">
        <v>121</v>
      </c>
      <c r="D55" s="15" t="s">
        <v>122</v>
      </c>
      <c r="E55" s="20" t="s">
        <v>61</v>
      </c>
      <c r="F55" s="20">
        <v>1</v>
      </c>
      <c r="G55" s="14"/>
      <c r="H55" s="14">
        <f t="shared" si="1"/>
        <v>0</v>
      </c>
      <c r="I55" s="30"/>
    </row>
    <row r="56" spans="1:9" ht="24" x14ac:dyDescent="0.2">
      <c r="A56" s="18">
        <v>30</v>
      </c>
      <c r="B56" s="74"/>
      <c r="C56" s="15" t="s">
        <v>123</v>
      </c>
      <c r="D56" s="15" t="s">
        <v>124</v>
      </c>
      <c r="E56" s="20" t="s">
        <v>61</v>
      </c>
      <c r="F56" s="20">
        <v>1</v>
      </c>
      <c r="G56" s="14"/>
      <c r="H56" s="14">
        <f t="shared" si="1"/>
        <v>0</v>
      </c>
      <c r="I56" s="30"/>
    </row>
    <row r="57" spans="1:9" ht="24" x14ac:dyDescent="0.2">
      <c r="A57" s="18">
        <v>31</v>
      </c>
      <c r="B57" s="74"/>
      <c r="C57" s="15" t="s">
        <v>125</v>
      </c>
      <c r="D57" s="15" t="s">
        <v>124</v>
      </c>
      <c r="E57" s="20" t="s">
        <v>61</v>
      </c>
      <c r="F57" s="20">
        <v>1</v>
      </c>
      <c r="G57" s="14"/>
      <c r="H57" s="14">
        <f t="shared" si="1"/>
        <v>0</v>
      </c>
      <c r="I57" s="30"/>
    </row>
    <row r="58" spans="1:9" ht="14.25" customHeight="1" x14ac:dyDescent="0.2">
      <c r="A58" s="56" t="s">
        <v>126</v>
      </c>
      <c r="B58" s="57"/>
      <c r="C58" s="57"/>
      <c r="D58" s="57"/>
      <c r="E58" s="57"/>
      <c r="F58" s="57"/>
      <c r="G58" s="57"/>
      <c r="H58" s="57"/>
      <c r="I58" s="58"/>
    </row>
    <row r="59" spans="1:9" x14ac:dyDescent="0.2">
      <c r="A59" s="18">
        <v>32</v>
      </c>
      <c r="B59" s="59" t="s">
        <v>127</v>
      </c>
      <c r="C59" s="59"/>
      <c r="D59" s="15" t="s">
        <v>128</v>
      </c>
      <c r="E59" s="20" t="s">
        <v>61</v>
      </c>
      <c r="F59" s="20">
        <v>1</v>
      </c>
      <c r="G59" s="14"/>
      <c r="H59" s="14">
        <f t="shared" si="1"/>
        <v>0</v>
      </c>
      <c r="I59" s="30"/>
    </row>
    <row r="60" spans="1:9" x14ac:dyDescent="0.2">
      <c r="A60" s="18">
        <v>33</v>
      </c>
      <c r="B60" s="59" t="s">
        <v>129</v>
      </c>
      <c r="C60" s="59"/>
      <c r="D60" s="15" t="s">
        <v>130</v>
      </c>
      <c r="E60" s="20" t="s">
        <v>61</v>
      </c>
      <c r="F60" s="20">
        <v>1</v>
      </c>
      <c r="G60" s="14"/>
      <c r="H60" s="14">
        <f t="shared" si="1"/>
        <v>0</v>
      </c>
      <c r="I60" s="30"/>
    </row>
    <row r="61" spans="1:9" ht="24" x14ac:dyDescent="0.2">
      <c r="A61" s="18">
        <v>34</v>
      </c>
      <c r="B61" s="59" t="s">
        <v>131</v>
      </c>
      <c r="C61" s="59"/>
      <c r="D61" s="15" t="s">
        <v>132</v>
      </c>
      <c r="E61" s="20" t="s">
        <v>61</v>
      </c>
      <c r="F61" s="20">
        <v>1</v>
      </c>
      <c r="G61" s="14"/>
      <c r="H61" s="14">
        <f t="shared" si="1"/>
        <v>0</v>
      </c>
      <c r="I61" s="30"/>
    </row>
    <row r="62" spans="1:9" x14ac:dyDescent="0.2">
      <c r="A62" s="18">
        <v>35</v>
      </c>
      <c r="B62" s="59" t="s">
        <v>133</v>
      </c>
      <c r="C62" s="59"/>
      <c r="D62" s="15" t="s">
        <v>134</v>
      </c>
      <c r="E62" s="20" t="s">
        <v>61</v>
      </c>
      <c r="F62" s="20">
        <v>1</v>
      </c>
      <c r="G62" s="14"/>
      <c r="H62" s="14">
        <f t="shared" si="1"/>
        <v>0</v>
      </c>
      <c r="I62" s="30"/>
    </row>
    <row r="63" spans="1:9" x14ac:dyDescent="0.2">
      <c r="A63" s="18">
        <v>36</v>
      </c>
      <c r="B63" s="59" t="s">
        <v>135</v>
      </c>
      <c r="C63" s="59"/>
      <c r="D63" s="15" t="s">
        <v>136</v>
      </c>
      <c r="E63" s="20" t="s">
        <v>61</v>
      </c>
      <c r="F63" s="20">
        <v>1</v>
      </c>
      <c r="G63" s="14"/>
      <c r="H63" s="14">
        <f t="shared" si="1"/>
        <v>0</v>
      </c>
      <c r="I63" s="30"/>
    </row>
    <row r="64" spans="1:9" ht="24" x14ac:dyDescent="0.2">
      <c r="A64" s="18">
        <v>37</v>
      </c>
      <c r="B64" s="59" t="s">
        <v>137</v>
      </c>
      <c r="C64" s="59"/>
      <c r="D64" s="15" t="s">
        <v>138</v>
      </c>
      <c r="E64" s="20" t="s">
        <v>61</v>
      </c>
      <c r="F64" s="20">
        <v>1</v>
      </c>
      <c r="G64" s="14"/>
      <c r="H64" s="14">
        <f t="shared" si="1"/>
        <v>0</v>
      </c>
      <c r="I64" s="30"/>
    </row>
    <row r="65" spans="1:17" ht="24" x14ac:dyDescent="0.2">
      <c r="A65" s="18">
        <v>38</v>
      </c>
      <c r="B65" s="59" t="s">
        <v>139</v>
      </c>
      <c r="C65" s="59"/>
      <c r="D65" s="15" t="s">
        <v>138</v>
      </c>
      <c r="E65" s="20" t="s">
        <v>61</v>
      </c>
      <c r="F65" s="20">
        <v>1</v>
      </c>
      <c r="G65" s="14"/>
      <c r="H65" s="14">
        <f t="shared" si="1"/>
        <v>0</v>
      </c>
      <c r="I65" s="30"/>
    </row>
    <row r="66" spans="1:17" x14ac:dyDescent="0.2">
      <c r="A66" s="18">
        <v>39</v>
      </c>
      <c r="B66" s="59" t="s">
        <v>140</v>
      </c>
      <c r="C66" s="59"/>
      <c r="D66" s="15" t="s">
        <v>141</v>
      </c>
      <c r="E66" s="20" t="s">
        <v>61</v>
      </c>
      <c r="F66" s="20">
        <v>1</v>
      </c>
      <c r="G66" s="14"/>
      <c r="H66" s="14">
        <f t="shared" si="1"/>
        <v>0</v>
      </c>
      <c r="I66" s="30"/>
    </row>
    <row r="67" spans="1:17" ht="24" customHeight="1" x14ac:dyDescent="0.2">
      <c r="A67" s="18">
        <v>40</v>
      </c>
      <c r="B67" s="59" t="s">
        <v>142</v>
      </c>
      <c r="C67" s="59"/>
      <c r="D67" s="15" t="s">
        <v>143</v>
      </c>
      <c r="E67" s="20" t="s">
        <v>61</v>
      </c>
      <c r="F67" s="20">
        <v>1</v>
      </c>
      <c r="G67" s="14"/>
      <c r="H67" s="14">
        <f t="shared" si="1"/>
        <v>0</v>
      </c>
      <c r="I67" s="30"/>
    </row>
    <row r="68" spans="1:17" ht="24" x14ac:dyDescent="0.2">
      <c r="A68" s="18">
        <v>41</v>
      </c>
      <c r="B68" s="59" t="s">
        <v>144</v>
      </c>
      <c r="C68" s="59"/>
      <c r="D68" s="15" t="s">
        <v>145</v>
      </c>
      <c r="E68" s="20" t="s">
        <v>61</v>
      </c>
      <c r="F68" s="20">
        <v>1</v>
      </c>
      <c r="G68" s="14"/>
      <c r="H68" s="14">
        <f t="shared" si="1"/>
        <v>0</v>
      </c>
      <c r="I68" s="30"/>
    </row>
    <row r="69" spans="1:17" ht="24.75" x14ac:dyDescent="0.2">
      <c r="A69" s="18">
        <v>42</v>
      </c>
      <c r="B69" s="59" t="s">
        <v>146</v>
      </c>
      <c r="C69" s="59"/>
      <c r="D69" s="15" t="s">
        <v>147</v>
      </c>
      <c r="E69" s="20" t="s">
        <v>61</v>
      </c>
      <c r="F69" s="20">
        <v>1</v>
      </c>
      <c r="G69" s="14"/>
      <c r="H69" s="14">
        <f t="shared" si="1"/>
        <v>0</v>
      </c>
      <c r="I69" s="30"/>
    </row>
    <row r="70" spans="1:17" ht="24" customHeight="1" x14ac:dyDescent="0.2">
      <c r="A70" s="18">
        <v>43</v>
      </c>
      <c r="B70" s="59" t="s">
        <v>148</v>
      </c>
      <c r="C70" s="59"/>
      <c r="D70" s="15" t="s">
        <v>149</v>
      </c>
      <c r="E70" s="20" t="s">
        <v>61</v>
      </c>
      <c r="F70" s="20">
        <v>1</v>
      </c>
      <c r="G70" s="14"/>
      <c r="H70" s="14">
        <f t="shared" si="1"/>
        <v>0</v>
      </c>
      <c r="I70" s="30"/>
    </row>
    <row r="71" spans="1:17" ht="24" customHeight="1" x14ac:dyDescent="0.2">
      <c r="A71" s="18">
        <v>44</v>
      </c>
      <c r="B71" s="59" t="s">
        <v>150</v>
      </c>
      <c r="C71" s="59"/>
      <c r="D71" s="15" t="s">
        <v>151</v>
      </c>
      <c r="E71" s="20" t="s">
        <v>61</v>
      </c>
      <c r="F71" s="20">
        <v>1</v>
      </c>
      <c r="G71" s="14"/>
      <c r="H71" s="14">
        <f t="shared" si="1"/>
        <v>0</v>
      </c>
      <c r="I71" s="30"/>
    </row>
    <row r="72" spans="1:17" x14ac:dyDescent="0.2">
      <c r="A72" s="18">
        <v>45</v>
      </c>
      <c r="B72" s="59" t="s">
        <v>152</v>
      </c>
      <c r="C72" s="59"/>
      <c r="D72" s="15" t="s">
        <v>153</v>
      </c>
      <c r="E72" s="20" t="s">
        <v>61</v>
      </c>
      <c r="F72" s="20">
        <v>1</v>
      </c>
      <c r="G72" s="14"/>
      <c r="H72" s="14">
        <f t="shared" si="1"/>
        <v>0</v>
      </c>
      <c r="I72" s="30"/>
    </row>
    <row r="73" spans="1:17" ht="27" x14ac:dyDescent="0.2">
      <c r="A73" s="18">
        <v>46</v>
      </c>
      <c r="B73" s="75" t="s">
        <v>154</v>
      </c>
      <c r="C73" s="15" t="s">
        <v>155</v>
      </c>
      <c r="D73" s="19" t="s">
        <v>156</v>
      </c>
      <c r="E73" s="20" t="s">
        <v>61</v>
      </c>
      <c r="F73" s="20">
        <v>1</v>
      </c>
      <c r="G73" s="14"/>
      <c r="H73" s="14">
        <f t="shared" si="1"/>
        <v>0</v>
      </c>
      <c r="I73" s="30"/>
    </row>
    <row r="74" spans="1:17" ht="27" x14ac:dyDescent="0.2">
      <c r="A74" s="18">
        <v>47</v>
      </c>
      <c r="B74" s="75"/>
      <c r="C74" s="15" t="s">
        <v>157</v>
      </c>
      <c r="D74" s="19" t="s">
        <v>158</v>
      </c>
      <c r="E74" s="20" t="s">
        <v>61</v>
      </c>
      <c r="F74" s="20">
        <v>1</v>
      </c>
      <c r="G74" s="14"/>
      <c r="H74" s="14">
        <f t="shared" si="1"/>
        <v>0</v>
      </c>
      <c r="I74" s="30"/>
    </row>
    <row r="75" spans="1:17" ht="27" x14ac:dyDescent="0.2">
      <c r="A75" s="18">
        <v>48</v>
      </c>
      <c r="B75" s="75"/>
      <c r="C75" s="15" t="s">
        <v>159</v>
      </c>
      <c r="D75" s="19" t="s">
        <v>160</v>
      </c>
      <c r="E75" s="20" t="s">
        <v>61</v>
      </c>
      <c r="F75" s="20">
        <v>1</v>
      </c>
      <c r="G75" s="14"/>
      <c r="H75" s="14">
        <f t="shared" si="1"/>
        <v>0</v>
      </c>
      <c r="I75" s="30"/>
    </row>
    <row r="76" spans="1:17" ht="27" x14ac:dyDescent="0.2">
      <c r="A76" s="18">
        <v>49</v>
      </c>
      <c r="B76" s="75"/>
      <c r="C76" s="15" t="s">
        <v>161</v>
      </c>
      <c r="D76" s="19" t="s">
        <v>162</v>
      </c>
      <c r="E76" s="20" t="s">
        <v>61</v>
      </c>
      <c r="F76" s="20">
        <v>1</v>
      </c>
      <c r="G76" s="14"/>
      <c r="H76" s="14">
        <f t="shared" si="1"/>
        <v>0</v>
      </c>
      <c r="I76" s="30"/>
    </row>
    <row r="77" spans="1:17" ht="27" x14ac:dyDescent="0.2">
      <c r="A77" s="18">
        <v>50</v>
      </c>
      <c r="B77" s="75"/>
      <c r="C77" s="15" t="s">
        <v>163</v>
      </c>
      <c r="D77" s="19" t="s">
        <v>164</v>
      </c>
      <c r="E77" s="20" t="s">
        <v>61</v>
      </c>
      <c r="F77" s="20">
        <v>1</v>
      </c>
      <c r="G77" s="14"/>
      <c r="H77" s="14">
        <f t="shared" si="1"/>
        <v>0</v>
      </c>
      <c r="I77" s="30"/>
    </row>
    <row r="78" spans="1:17" ht="27" x14ac:dyDescent="0.2">
      <c r="A78" s="18">
        <v>51</v>
      </c>
      <c r="B78" s="75"/>
      <c r="C78" s="15" t="s">
        <v>165</v>
      </c>
      <c r="D78" s="19" t="s">
        <v>166</v>
      </c>
      <c r="E78" s="20" t="s">
        <v>61</v>
      </c>
      <c r="F78" s="20">
        <v>1</v>
      </c>
      <c r="G78" s="14"/>
      <c r="H78" s="14">
        <f t="shared" si="1"/>
        <v>0</v>
      </c>
      <c r="I78" s="30"/>
    </row>
    <row r="79" spans="1:17" ht="14.25" customHeight="1" x14ac:dyDescent="0.2">
      <c r="A79" s="56" t="s">
        <v>167</v>
      </c>
      <c r="B79" s="57"/>
      <c r="C79" s="57"/>
      <c r="D79" s="57"/>
      <c r="E79" s="57"/>
      <c r="F79" s="57"/>
      <c r="G79" s="57"/>
      <c r="H79" s="57"/>
      <c r="I79" s="58"/>
    </row>
    <row r="80" spans="1:17" s="1" customFormat="1" ht="18" x14ac:dyDescent="0.2">
      <c r="A80" s="5" t="s">
        <v>1</v>
      </c>
      <c r="B80" s="5" t="s">
        <v>2</v>
      </c>
      <c r="C80" s="5" t="s">
        <v>3</v>
      </c>
      <c r="D80" s="6" t="s">
        <v>4</v>
      </c>
      <c r="E80" s="5" t="s">
        <v>5</v>
      </c>
      <c r="F80" s="7" t="s">
        <v>6</v>
      </c>
      <c r="G80" s="8" t="s">
        <v>7</v>
      </c>
      <c r="H80" s="9" t="s">
        <v>8</v>
      </c>
      <c r="I80" s="7" t="s">
        <v>9</v>
      </c>
      <c r="K80" s="25"/>
      <c r="L80" s="26"/>
      <c r="M80" s="27"/>
      <c r="N80" s="28"/>
      <c r="O80" s="28"/>
      <c r="P80" s="28"/>
      <c r="Q80" s="28"/>
    </row>
    <row r="81" spans="1:9" x14ac:dyDescent="0.2">
      <c r="A81" s="31">
        <v>1</v>
      </c>
      <c r="B81" s="76" t="s">
        <v>168</v>
      </c>
      <c r="C81" s="33" t="s">
        <v>169</v>
      </c>
      <c r="D81" s="34" t="s">
        <v>170</v>
      </c>
      <c r="E81" s="20" t="s">
        <v>61</v>
      </c>
      <c r="F81" s="20">
        <v>1</v>
      </c>
      <c r="G81" s="14"/>
      <c r="H81" s="14">
        <f t="shared" ref="H81:H116" si="2">G81*F81</f>
        <v>0</v>
      </c>
      <c r="I81" s="30"/>
    </row>
    <row r="82" spans="1:9" x14ac:dyDescent="0.2">
      <c r="A82" s="31">
        <v>2</v>
      </c>
      <c r="B82" s="76"/>
      <c r="C82" s="33" t="s">
        <v>171</v>
      </c>
      <c r="D82" s="34" t="s">
        <v>172</v>
      </c>
      <c r="E82" s="20" t="s">
        <v>61</v>
      </c>
      <c r="F82" s="20">
        <v>1</v>
      </c>
      <c r="G82" s="14"/>
      <c r="H82" s="14">
        <f t="shared" si="2"/>
        <v>0</v>
      </c>
      <c r="I82" s="30"/>
    </row>
    <row r="83" spans="1:9" ht="27" x14ac:dyDescent="0.2">
      <c r="A83" s="31">
        <v>3</v>
      </c>
      <c r="B83" s="76"/>
      <c r="C83" s="33" t="s">
        <v>173</v>
      </c>
      <c r="D83" s="34" t="s">
        <v>174</v>
      </c>
      <c r="E83" s="20" t="s">
        <v>61</v>
      </c>
      <c r="F83" s="20">
        <v>1</v>
      </c>
      <c r="G83" s="14"/>
      <c r="H83" s="14">
        <f t="shared" si="2"/>
        <v>0</v>
      </c>
      <c r="I83" s="30"/>
    </row>
    <row r="84" spans="1:9" x14ac:dyDescent="0.2">
      <c r="A84" s="31">
        <v>4</v>
      </c>
      <c r="B84" s="76"/>
      <c r="C84" s="33" t="s">
        <v>175</v>
      </c>
      <c r="D84" s="34" t="s">
        <v>176</v>
      </c>
      <c r="E84" s="20" t="s">
        <v>61</v>
      </c>
      <c r="F84" s="20">
        <v>1</v>
      </c>
      <c r="G84" s="14"/>
      <c r="H84" s="14">
        <f t="shared" si="2"/>
        <v>0</v>
      </c>
      <c r="I84" s="30"/>
    </row>
    <row r="85" spans="1:9" x14ac:dyDescent="0.2">
      <c r="A85" s="31">
        <v>5</v>
      </c>
      <c r="B85" s="76"/>
      <c r="C85" s="33" t="s">
        <v>177</v>
      </c>
      <c r="D85" s="34" t="s">
        <v>178</v>
      </c>
      <c r="E85" s="20" t="s">
        <v>61</v>
      </c>
      <c r="F85" s="20">
        <v>1</v>
      </c>
      <c r="G85" s="14"/>
      <c r="H85" s="14">
        <f t="shared" si="2"/>
        <v>0</v>
      </c>
      <c r="I85" s="30"/>
    </row>
    <row r="86" spans="1:9" ht="27" x14ac:dyDescent="0.2">
      <c r="A86" s="31">
        <v>6</v>
      </c>
      <c r="B86" s="76"/>
      <c r="C86" s="33" t="s">
        <v>179</v>
      </c>
      <c r="D86" s="34" t="s">
        <v>180</v>
      </c>
      <c r="E86" s="20" t="s">
        <v>61</v>
      </c>
      <c r="F86" s="20">
        <v>1</v>
      </c>
      <c r="G86" s="14"/>
      <c r="H86" s="14">
        <f t="shared" si="2"/>
        <v>0</v>
      </c>
      <c r="I86" s="30"/>
    </row>
    <row r="87" spans="1:9" x14ac:dyDescent="0.2">
      <c r="A87" s="31">
        <v>7</v>
      </c>
      <c r="B87" s="76"/>
      <c r="C87" s="33" t="s">
        <v>181</v>
      </c>
      <c r="D87" s="34" t="s">
        <v>182</v>
      </c>
      <c r="E87" s="20" t="s">
        <v>61</v>
      </c>
      <c r="F87" s="20">
        <v>1</v>
      </c>
      <c r="G87" s="14"/>
      <c r="H87" s="14">
        <f t="shared" si="2"/>
        <v>0</v>
      </c>
      <c r="I87" s="30"/>
    </row>
    <row r="88" spans="1:9" x14ac:dyDescent="0.2">
      <c r="A88" s="31">
        <v>8</v>
      </c>
      <c r="B88" s="76"/>
      <c r="C88" s="33" t="s">
        <v>59</v>
      </c>
      <c r="D88" s="34" t="s">
        <v>183</v>
      </c>
      <c r="E88" s="20" t="s">
        <v>61</v>
      </c>
      <c r="F88" s="20">
        <v>1</v>
      </c>
      <c r="G88" s="14"/>
      <c r="H88" s="14">
        <f t="shared" si="2"/>
        <v>0</v>
      </c>
      <c r="I88" s="30"/>
    </row>
    <row r="89" spans="1:9" x14ac:dyDescent="0.2">
      <c r="A89" s="31">
        <v>9</v>
      </c>
      <c r="B89" s="76"/>
      <c r="C89" s="33" t="s">
        <v>62</v>
      </c>
      <c r="D89" s="34" t="s">
        <v>184</v>
      </c>
      <c r="E89" s="20" t="s">
        <v>61</v>
      </c>
      <c r="F89" s="20">
        <v>1</v>
      </c>
      <c r="G89" s="14"/>
      <c r="H89" s="14">
        <f t="shared" si="2"/>
        <v>0</v>
      </c>
      <c r="I89" s="30"/>
    </row>
    <row r="90" spans="1:9" x14ac:dyDescent="0.2">
      <c r="A90" s="31">
        <v>10</v>
      </c>
      <c r="B90" s="76"/>
      <c r="C90" s="33" t="s">
        <v>185</v>
      </c>
      <c r="D90" s="34" t="s">
        <v>186</v>
      </c>
      <c r="E90" s="20" t="s">
        <v>61</v>
      </c>
      <c r="F90" s="20">
        <v>1</v>
      </c>
      <c r="G90" s="14"/>
      <c r="H90" s="14">
        <f t="shared" si="2"/>
        <v>0</v>
      </c>
      <c r="I90" s="30"/>
    </row>
    <row r="91" spans="1:9" x14ac:dyDescent="0.2">
      <c r="A91" s="31">
        <v>11</v>
      </c>
      <c r="B91" s="76"/>
      <c r="C91" s="33" t="s">
        <v>187</v>
      </c>
      <c r="D91" s="34" t="s">
        <v>188</v>
      </c>
      <c r="E91" s="20" t="s">
        <v>61</v>
      </c>
      <c r="F91" s="20">
        <v>1</v>
      </c>
      <c r="G91" s="14"/>
      <c r="H91" s="14">
        <f t="shared" si="2"/>
        <v>0</v>
      </c>
      <c r="I91" s="30"/>
    </row>
    <row r="92" spans="1:9" x14ac:dyDescent="0.2">
      <c r="A92" s="31">
        <v>12</v>
      </c>
      <c r="B92" s="76"/>
      <c r="C92" s="33" t="s">
        <v>64</v>
      </c>
      <c r="D92" s="34" t="s">
        <v>189</v>
      </c>
      <c r="E92" s="20" t="s">
        <v>61</v>
      </c>
      <c r="F92" s="20">
        <v>1</v>
      </c>
      <c r="G92" s="14"/>
      <c r="H92" s="14">
        <f t="shared" si="2"/>
        <v>0</v>
      </c>
      <c r="I92" s="30"/>
    </row>
    <row r="93" spans="1:9" ht="27" x14ac:dyDescent="0.2">
      <c r="A93" s="31">
        <v>13</v>
      </c>
      <c r="B93" s="76"/>
      <c r="C93" s="33" t="s">
        <v>66</v>
      </c>
      <c r="D93" s="34" t="s">
        <v>190</v>
      </c>
      <c r="E93" s="20" t="s">
        <v>61</v>
      </c>
      <c r="F93" s="20">
        <v>1</v>
      </c>
      <c r="G93" s="14"/>
      <c r="H93" s="14">
        <f t="shared" si="2"/>
        <v>0</v>
      </c>
      <c r="I93" s="30"/>
    </row>
    <row r="94" spans="1:9" ht="27" x14ac:dyDescent="0.2">
      <c r="A94" s="31">
        <v>14</v>
      </c>
      <c r="B94" s="76"/>
      <c r="C94" s="33" t="s">
        <v>191</v>
      </c>
      <c r="D94" s="34" t="s">
        <v>192</v>
      </c>
      <c r="E94" s="20" t="s">
        <v>61</v>
      </c>
      <c r="F94" s="20">
        <v>1</v>
      </c>
      <c r="G94" s="14"/>
      <c r="H94" s="14">
        <f t="shared" si="2"/>
        <v>0</v>
      </c>
      <c r="I94" s="30"/>
    </row>
    <row r="95" spans="1:9" x14ac:dyDescent="0.2">
      <c r="A95" s="31">
        <v>15</v>
      </c>
      <c r="B95" s="76"/>
      <c r="C95" s="33" t="s">
        <v>68</v>
      </c>
      <c r="D95" s="34" t="s">
        <v>193</v>
      </c>
      <c r="E95" s="20" t="s">
        <v>61</v>
      </c>
      <c r="F95" s="20">
        <v>1</v>
      </c>
      <c r="G95" s="14"/>
      <c r="H95" s="14">
        <f t="shared" si="2"/>
        <v>0</v>
      </c>
      <c r="I95" s="30"/>
    </row>
    <row r="96" spans="1:9" x14ac:dyDescent="0.2">
      <c r="A96" s="31">
        <v>16</v>
      </c>
      <c r="B96" s="76"/>
      <c r="C96" s="33" t="s">
        <v>70</v>
      </c>
      <c r="D96" s="34" t="s">
        <v>194</v>
      </c>
      <c r="E96" s="20" t="s">
        <v>61</v>
      </c>
      <c r="F96" s="20">
        <v>1</v>
      </c>
      <c r="G96" s="14"/>
      <c r="H96" s="14">
        <f t="shared" si="2"/>
        <v>0</v>
      </c>
      <c r="I96" s="30"/>
    </row>
    <row r="97" spans="1:9" ht="27" x14ac:dyDescent="0.2">
      <c r="A97" s="31">
        <v>17</v>
      </c>
      <c r="B97" s="76" t="s">
        <v>72</v>
      </c>
      <c r="C97" s="33" t="s">
        <v>73</v>
      </c>
      <c r="D97" s="34" t="s">
        <v>195</v>
      </c>
      <c r="E97" s="20" t="s">
        <v>61</v>
      </c>
      <c r="F97" s="20">
        <v>1</v>
      </c>
      <c r="G97" s="14"/>
      <c r="H97" s="14">
        <f t="shared" si="2"/>
        <v>0</v>
      </c>
      <c r="I97" s="30"/>
    </row>
    <row r="98" spans="1:9" ht="27" x14ac:dyDescent="0.2">
      <c r="A98" s="31">
        <v>18</v>
      </c>
      <c r="B98" s="76"/>
      <c r="C98" s="33" t="s">
        <v>75</v>
      </c>
      <c r="D98" s="34" t="s">
        <v>196</v>
      </c>
      <c r="E98" s="20" t="s">
        <v>61</v>
      </c>
      <c r="F98" s="20">
        <v>1</v>
      </c>
      <c r="G98" s="14"/>
      <c r="H98" s="14">
        <f t="shared" si="2"/>
        <v>0</v>
      </c>
      <c r="I98" s="30"/>
    </row>
    <row r="99" spans="1:9" ht="27" x14ac:dyDescent="0.2">
      <c r="A99" s="31">
        <v>19</v>
      </c>
      <c r="B99" s="76"/>
      <c r="C99" s="33" t="s">
        <v>77</v>
      </c>
      <c r="D99" s="34" t="s">
        <v>197</v>
      </c>
      <c r="E99" s="20" t="s">
        <v>61</v>
      </c>
      <c r="F99" s="20">
        <v>1</v>
      </c>
      <c r="G99" s="14"/>
      <c r="H99" s="14">
        <f t="shared" si="2"/>
        <v>0</v>
      </c>
      <c r="I99" s="30"/>
    </row>
    <row r="100" spans="1:9" ht="27" x14ac:dyDescent="0.2">
      <c r="A100" s="31">
        <v>20</v>
      </c>
      <c r="B100" s="76"/>
      <c r="C100" s="33" t="s">
        <v>198</v>
      </c>
      <c r="D100" s="34" t="s">
        <v>199</v>
      </c>
      <c r="E100" s="20" t="s">
        <v>61</v>
      </c>
      <c r="F100" s="20">
        <v>1</v>
      </c>
      <c r="G100" s="14"/>
      <c r="H100" s="14">
        <f t="shared" si="2"/>
        <v>0</v>
      </c>
      <c r="I100" s="30"/>
    </row>
    <row r="101" spans="1:9" ht="27" x14ac:dyDescent="0.2">
      <c r="A101" s="31">
        <v>21</v>
      </c>
      <c r="B101" s="76"/>
      <c r="C101" s="33" t="s">
        <v>81</v>
      </c>
      <c r="D101" s="34" t="s">
        <v>200</v>
      </c>
      <c r="E101" s="20" t="s">
        <v>61</v>
      </c>
      <c r="F101" s="20">
        <v>1</v>
      </c>
      <c r="G101" s="14"/>
      <c r="H101" s="14">
        <f t="shared" si="2"/>
        <v>0</v>
      </c>
      <c r="I101" s="30"/>
    </row>
    <row r="102" spans="1:9" ht="27" x14ac:dyDescent="0.2">
      <c r="A102" s="31">
        <v>22</v>
      </c>
      <c r="B102" s="76" t="s">
        <v>83</v>
      </c>
      <c r="C102" s="33" t="s">
        <v>84</v>
      </c>
      <c r="D102" s="34" t="s">
        <v>201</v>
      </c>
      <c r="E102" s="20" t="s">
        <v>61</v>
      </c>
      <c r="F102" s="20">
        <v>1</v>
      </c>
      <c r="G102" s="14"/>
      <c r="H102" s="14">
        <f t="shared" si="2"/>
        <v>0</v>
      </c>
      <c r="I102" s="30"/>
    </row>
    <row r="103" spans="1:9" ht="27" x14ac:dyDescent="0.2">
      <c r="A103" s="31">
        <v>23</v>
      </c>
      <c r="B103" s="76"/>
      <c r="C103" s="33" t="s">
        <v>86</v>
      </c>
      <c r="D103" s="34" t="s">
        <v>201</v>
      </c>
      <c r="E103" s="20" t="s">
        <v>61</v>
      </c>
      <c r="F103" s="20">
        <v>1</v>
      </c>
      <c r="G103" s="14"/>
      <c r="H103" s="14">
        <f t="shared" si="2"/>
        <v>0</v>
      </c>
      <c r="I103" s="30"/>
    </row>
    <row r="104" spans="1:9" ht="27" x14ac:dyDescent="0.2">
      <c r="A104" s="31">
        <v>24</v>
      </c>
      <c r="B104" s="76"/>
      <c r="C104" s="33" t="s">
        <v>88</v>
      </c>
      <c r="D104" s="34" t="s">
        <v>202</v>
      </c>
      <c r="E104" s="20" t="s">
        <v>61</v>
      </c>
      <c r="F104" s="20">
        <v>1</v>
      </c>
      <c r="G104" s="14"/>
      <c r="H104" s="14">
        <f t="shared" si="2"/>
        <v>0</v>
      </c>
      <c r="I104" s="30"/>
    </row>
    <row r="105" spans="1:9" ht="27" x14ac:dyDescent="0.2">
      <c r="A105" s="31">
        <v>25</v>
      </c>
      <c r="B105" s="76"/>
      <c r="C105" s="33" t="s">
        <v>90</v>
      </c>
      <c r="D105" s="34" t="s">
        <v>203</v>
      </c>
      <c r="E105" s="20" t="s">
        <v>61</v>
      </c>
      <c r="F105" s="20">
        <v>1</v>
      </c>
      <c r="G105" s="14"/>
      <c r="H105" s="14">
        <f t="shared" si="2"/>
        <v>0</v>
      </c>
      <c r="I105" s="30"/>
    </row>
    <row r="106" spans="1:9" ht="27" x14ac:dyDescent="0.2">
      <c r="A106" s="31">
        <v>26</v>
      </c>
      <c r="B106" s="76" t="s">
        <v>94</v>
      </c>
      <c r="C106" s="33" t="s">
        <v>95</v>
      </c>
      <c r="D106" s="34" t="s">
        <v>204</v>
      </c>
      <c r="E106" s="20" t="s">
        <v>61</v>
      </c>
      <c r="F106" s="20">
        <v>1</v>
      </c>
      <c r="G106" s="14"/>
      <c r="H106" s="14">
        <f t="shared" si="2"/>
        <v>0</v>
      </c>
      <c r="I106" s="30"/>
    </row>
    <row r="107" spans="1:9" ht="27" x14ac:dyDescent="0.2">
      <c r="A107" s="31">
        <v>27</v>
      </c>
      <c r="B107" s="76"/>
      <c r="C107" s="33" t="s">
        <v>101</v>
      </c>
      <c r="D107" s="34" t="s">
        <v>205</v>
      </c>
      <c r="E107" s="20" t="s">
        <v>61</v>
      </c>
      <c r="F107" s="20">
        <v>1</v>
      </c>
      <c r="G107" s="14"/>
      <c r="H107" s="14">
        <f t="shared" si="2"/>
        <v>0</v>
      </c>
      <c r="I107" s="30"/>
    </row>
    <row r="108" spans="1:9" x14ac:dyDescent="0.2">
      <c r="A108" s="31">
        <v>28</v>
      </c>
      <c r="B108" s="32" t="s">
        <v>103</v>
      </c>
      <c r="C108" s="33" t="s">
        <v>113</v>
      </c>
      <c r="D108" s="34" t="s">
        <v>206</v>
      </c>
      <c r="E108" s="20" t="s">
        <v>61</v>
      </c>
      <c r="F108" s="20">
        <v>1</v>
      </c>
      <c r="G108" s="14"/>
      <c r="H108" s="14">
        <f t="shared" si="2"/>
        <v>0</v>
      </c>
      <c r="I108" s="30"/>
    </row>
    <row r="109" spans="1:9" ht="27" x14ac:dyDescent="0.2">
      <c r="A109" s="31">
        <v>29</v>
      </c>
      <c r="B109" s="76" t="s">
        <v>115</v>
      </c>
      <c r="C109" s="33" t="s">
        <v>116</v>
      </c>
      <c r="D109" s="34" t="s">
        <v>207</v>
      </c>
      <c r="E109" s="20" t="s">
        <v>61</v>
      </c>
      <c r="F109" s="20">
        <v>1</v>
      </c>
      <c r="G109" s="14"/>
      <c r="H109" s="14">
        <f t="shared" si="2"/>
        <v>0</v>
      </c>
      <c r="I109" s="30"/>
    </row>
    <row r="110" spans="1:9" ht="27" x14ac:dyDescent="0.2">
      <c r="A110" s="31">
        <v>30</v>
      </c>
      <c r="B110" s="76"/>
      <c r="C110" s="33" t="s">
        <v>118</v>
      </c>
      <c r="D110" s="34" t="s">
        <v>208</v>
      </c>
      <c r="E110" s="20" t="s">
        <v>61</v>
      </c>
      <c r="F110" s="20">
        <v>1</v>
      </c>
      <c r="G110" s="14"/>
      <c r="H110" s="14">
        <f t="shared" si="2"/>
        <v>0</v>
      </c>
      <c r="I110" s="30"/>
    </row>
    <row r="111" spans="1:9" ht="36" x14ac:dyDescent="0.2">
      <c r="A111" s="31">
        <v>31</v>
      </c>
      <c r="B111" s="76" t="s">
        <v>120</v>
      </c>
      <c r="C111" s="33" t="s">
        <v>121</v>
      </c>
      <c r="D111" s="33" t="s">
        <v>122</v>
      </c>
      <c r="E111" s="20" t="s">
        <v>61</v>
      </c>
      <c r="F111" s="20">
        <v>1</v>
      </c>
      <c r="G111" s="14"/>
      <c r="H111" s="14">
        <f t="shared" si="2"/>
        <v>0</v>
      </c>
      <c r="I111" s="30"/>
    </row>
    <row r="112" spans="1:9" ht="24" x14ac:dyDescent="0.2">
      <c r="A112" s="31">
        <v>32</v>
      </c>
      <c r="B112" s="76"/>
      <c r="C112" s="33" t="s">
        <v>209</v>
      </c>
      <c r="D112" s="33" t="s">
        <v>124</v>
      </c>
      <c r="E112" s="20" t="s">
        <v>61</v>
      </c>
      <c r="F112" s="20">
        <v>1</v>
      </c>
      <c r="G112" s="14"/>
      <c r="H112" s="14">
        <f t="shared" si="2"/>
        <v>0</v>
      </c>
      <c r="I112" s="30"/>
    </row>
    <row r="113" spans="1:17" ht="27" x14ac:dyDescent="0.2">
      <c r="A113" s="31">
        <v>33</v>
      </c>
      <c r="B113" s="76" t="s">
        <v>210</v>
      </c>
      <c r="C113" s="33" t="s">
        <v>211</v>
      </c>
      <c r="D113" s="34" t="s">
        <v>212</v>
      </c>
      <c r="E113" s="20" t="s">
        <v>61</v>
      </c>
      <c r="F113" s="20">
        <v>1</v>
      </c>
      <c r="G113" s="14"/>
      <c r="H113" s="14">
        <f t="shared" si="2"/>
        <v>0</v>
      </c>
      <c r="I113" s="30"/>
    </row>
    <row r="114" spans="1:17" ht="27" x14ac:dyDescent="0.2">
      <c r="A114" s="31">
        <v>34</v>
      </c>
      <c r="B114" s="76"/>
      <c r="C114" s="33" t="s">
        <v>213</v>
      </c>
      <c r="D114" s="34" t="s">
        <v>214</v>
      </c>
      <c r="E114" s="20" t="s">
        <v>61</v>
      </c>
      <c r="F114" s="20">
        <v>1</v>
      </c>
      <c r="G114" s="14"/>
      <c r="H114" s="14">
        <f t="shared" si="2"/>
        <v>0</v>
      </c>
      <c r="I114" s="30"/>
    </row>
    <row r="115" spans="1:17" ht="27" x14ac:dyDescent="0.2">
      <c r="A115" s="31">
        <v>35</v>
      </c>
      <c r="B115" s="76"/>
      <c r="C115" s="33" t="s">
        <v>215</v>
      </c>
      <c r="D115" s="34" t="s">
        <v>216</v>
      </c>
      <c r="E115" s="20" t="s">
        <v>61</v>
      </c>
      <c r="F115" s="20">
        <v>1</v>
      </c>
      <c r="G115" s="14"/>
      <c r="H115" s="14">
        <f t="shared" si="2"/>
        <v>0</v>
      </c>
      <c r="I115" s="30"/>
    </row>
    <row r="116" spans="1:17" ht="27" x14ac:dyDescent="0.2">
      <c r="A116" s="31">
        <v>36</v>
      </c>
      <c r="B116" s="76"/>
      <c r="C116" s="33" t="s">
        <v>217</v>
      </c>
      <c r="D116" s="34" t="s">
        <v>218</v>
      </c>
      <c r="E116" s="20" t="s">
        <v>61</v>
      </c>
      <c r="F116" s="20">
        <v>1</v>
      </c>
      <c r="G116" s="14"/>
      <c r="H116" s="14">
        <f t="shared" si="2"/>
        <v>0</v>
      </c>
      <c r="I116" s="30"/>
    </row>
    <row r="117" spans="1:17" ht="14.25" x14ac:dyDescent="0.2">
      <c r="A117" s="49" t="s">
        <v>54</v>
      </c>
      <c r="B117" s="49"/>
      <c r="C117" s="49"/>
      <c r="D117" s="49"/>
      <c r="E117" s="49"/>
      <c r="F117" s="49"/>
      <c r="G117" s="49"/>
      <c r="H117" s="17">
        <f>SUM(H26:H116)</f>
        <v>0</v>
      </c>
      <c r="I117" s="29"/>
    </row>
    <row r="118" spans="1:17" ht="18" x14ac:dyDescent="0.2">
      <c r="A118" s="50" t="s">
        <v>219</v>
      </c>
      <c r="B118" s="51"/>
      <c r="C118" s="51"/>
      <c r="D118" s="51"/>
      <c r="E118" s="51"/>
      <c r="F118" s="51"/>
      <c r="G118" s="51"/>
      <c r="H118" s="51"/>
      <c r="I118" s="52"/>
      <c r="J118" s="21"/>
      <c r="K118" s="22"/>
      <c r="L118" s="21"/>
      <c r="M118" s="23"/>
      <c r="N118" s="24"/>
      <c r="O118" s="24"/>
      <c r="P118" s="24"/>
      <c r="Q118" s="24"/>
    </row>
    <row r="119" spans="1:17" s="1" customFormat="1" ht="18" x14ac:dyDescent="0.2">
      <c r="A119" s="5" t="s">
        <v>1</v>
      </c>
      <c r="B119" s="5" t="s">
        <v>2</v>
      </c>
      <c r="C119" s="5" t="s">
        <v>3</v>
      </c>
      <c r="D119" s="6" t="s">
        <v>4</v>
      </c>
      <c r="E119" s="5" t="s">
        <v>5</v>
      </c>
      <c r="F119" s="7" t="s">
        <v>6</v>
      </c>
      <c r="G119" s="8" t="s">
        <v>7</v>
      </c>
      <c r="H119" s="9" t="s">
        <v>8</v>
      </c>
      <c r="I119" s="7" t="s">
        <v>9</v>
      </c>
      <c r="K119" s="25"/>
      <c r="L119" s="26"/>
      <c r="M119" s="27"/>
      <c r="N119" s="28"/>
      <c r="O119" s="28"/>
      <c r="P119" s="28"/>
      <c r="Q119" s="28"/>
    </row>
    <row r="120" spans="1:17" ht="14.25" customHeight="1" x14ac:dyDescent="0.2">
      <c r="A120" s="60" t="s">
        <v>220</v>
      </c>
      <c r="B120" s="61"/>
      <c r="C120" s="61"/>
      <c r="D120" s="61"/>
      <c r="E120" s="61"/>
      <c r="F120" s="61"/>
      <c r="G120" s="61"/>
      <c r="H120" s="61"/>
      <c r="I120" s="62"/>
    </row>
    <row r="121" spans="1:17" ht="14.25" x14ac:dyDescent="0.2">
      <c r="A121" s="10">
        <v>1</v>
      </c>
      <c r="B121" s="63" t="s">
        <v>221</v>
      </c>
      <c r="C121" s="63"/>
      <c r="D121" s="35" t="s">
        <v>222</v>
      </c>
      <c r="E121" s="79" t="s">
        <v>223</v>
      </c>
      <c r="F121" s="79">
        <v>1</v>
      </c>
      <c r="G121" s="82"/>
      <c r="H121" s="79">
        <f>G121*F121</f>
        <v>0</v>
      </c>
      <c r="I121" s="85"/>
    </row>
    <row r="122" spans="1:17" ht="14.25" x14ac:dyDescent="0.2">
      <c r="A122" s="10">
        <v>2</v>
      </c>
      <c r="B122" s="63" t="s">
        <v>224</v>
      </c>
      <c r="C122" s="63"/>
      <c r="D122" s="35" t="s">
        <v>225</v>
      </c>
      <c r="E122" s="80"/>
      <c r="F122" s="80"/>
      <c r="G122" s="83"/>
      <c r="H122" s="80"/>
      <c r="I122" s="86"/>
    </row>
    <row r="123" spans="1:17" ht="14.25" x14ac:dyDescent="0.2">
      <c r="A123" s="10">
        <v>3</v>
      </c>
      <c r="B123" s="63" t="s">
        <v>226</v>
      </c>
      <c r="C123" s="63"/>
      <c r="D123" s="35" t="s">
        <v>227</v>
      </c>
      <c r="E123" s="80"/>
      <c r="F123" s="80"/>
      <c r="G123" s="83"/>
      <c r="H123" s="80"/>
      <c r="I123" s="86"/>
    </row>
    <row r="124" spans="1:17" ht="24" x14ac:dyDescent="0.2">
      <c r="A124" s="10">
        <v>4</v>
      </c>
      <c r="B124" s="63" t="s">
        <v>228</v>
      </c>
      <c r="C124" s="63"/>
      <c r="D124" s="35" t="s">
        <v>229</v>
      </c>
      <c r="E124" s="80"/>
      <c r="F124" s="80"/>
      <c r="G124" s="83"/>
      <c r="H124" s="80"/>
      <c r="I124" s="86"/>
    </row>
    <row r="125" spans="1:17" ht="24" x14ac:dyDescent="0.2">
      <c r="A125" s="10">
        <v>5</v>
      </c>
      <c r="B125" s="63" t="s">
        <v>230</v>
      </c>
      <c r="C125" s="63"/>
      <c r="D125" s="35" t="s">
        <v>231</v>
      </c>
      <c r="E125" s="80"/>
      <c r="F125" s="80"/>
      <c r="G125" s="83"/>
      <c r="H125" s="80"/>
      <c r="I125" s="86"/>
    </row>
    <row r="126" spans="1:17" ht="24" x14ac:dyDescent="0.2">
      <c r="A126" s="10">
        <v>6</v>
      </c>
      <c r="B126" s="63" t="s">
        <v>232</v>
      </c>
      <c r="C126" s="63"/>
      <c r="D126" s="35" t="s">
        <v>233</v>
      </c>
      <c r="E126" s="81"/>
      <c r="F126" s="81"/>
      <c r="G126" s="84"/>
      <c r="H126" s="81"/>
      <c r="I126" s="87"/>
    </row>
    <row r="127" spans="1:17" ht="14.25" customHeight="1" x14ac:dyDescent="0.2">
      <c r="A127" s="60" t="s">
        <v>234</v>
      </c>
      <c r="B127" s="61"/>
      <c r="C127" s="61"/>
      <c r="D127" s="61"/>
      <c r="E127" s="61"/>
      <c r="F127" s="61"/>
      <c r="G127" s="61"/>
      <c r="H127" s="61"/>
      <c r="I127" s="62"/>
    </row>
    <row r="128" spans="1:17" ht="60" x14ac:dyDescent="0.2">
      <c r="A128" s="10">
        <v>1</v>
      </c>
      <c r="B128" s="64" t="s">
        <v>235</v>
      </c>
      <c r="C128" s="64"/>
      <c r="D128" s="35" t="s">
        <v>236</v>
      </c>
      <c r="E128" s="79" t="s">
        <v>223</v>
      </c>
      <c r="F128" s="79">
        <v>1</v>
      </c>
      <c r="G128" s="82"/>
      <c r="H128" s="79">
        <f>G128*F128</f>
        <v>0</v>
      </c>
      <c r="I128" s="85"/>
    </row>
    <row r="129" spans="1:9" ht="24" x14ac:dyDescent="0.2">
      <c r="A129" s="10">
        <v>2</v>
      </c>
      <c r="B129" s="65" t="s">
        <v>237</v>
      </c>
      <c r="C129" s="65"/>
      <c r="D129" s="12" t="s">
        <v>238</v>
      </c>
      <c r="E129" s="80"/>
      <c r="F129" s="80"/>
      <c r="G129" s="83"/>
      <c r="H129" s="80"/>
      <c r="I129" s="86"/>
    </row>
    <row r="130" spans="1:9" ht="14.25" x14ac:dyDescent="0.2">
      <c r="A130" s="10">
        <v>3</v>
      </c>
      <c r="B130" s="65" t="s">
        <v>239</v>
      </c>
      <c r="C130" s="65"/>
      <c r="D130" s="12" t="s">
        <v>240</v>
      </c>
      <c r="E130" s="80"/>
      <c r="F130" s="80"/>
      <c r="G130" s="83"/>
      <c r="H130" s="80"/>
      <c r="I130" s="86"/>
    </row>
    <row r="131" spans="1:9" ht="14.25" x14ac:dyDescent="0.2">
      <c r="A131" s="10">
        <v>4</v>
      </c>
      <c r="B131" s="65" t="s">
        <v>241</v>
      </c>
      <c r="C131" s="65"/>
      <c r="D131" s="12" t="s">
        <v>242</v>
      </c>
      <c r="E131" s="81"/>
      <c r="F131" s="81"/>
      <c r="G131" s="84"/>
      <c r="H131" s="81"/>
      <c r="I131" s="87"/>
    </row>
    <row r="132" spans="1:9" ht="14.25" customHeight="1" x14ac:dyDescent="0.2">
      <c r="A132" s="60" t="s">
        <v>243</v>
      </c>
      <c r="B132" s="61"/>
      <c r="C132" s="61"/>
      <c r="D132" s="61"/>
      <c r="E132" s="61"/>
      <c r="F132" s="61"/>
      <c r="G132" s="61"/>
      <c r="H132" s="61"/>
      <c r="I132" s="62"/>
    </row>
    <row r="133" spans="1:9" ht="25.5" x14ac:dyDescent="0.2">
      <c r="A133" s="10">
        <v>1</v>
      </c>
      <c r="B133" s="65" t="s">
        <v>244</v>
      </c>
      <c r="C133" s="37" t="s">
        <v>245</v>
      </c>
      <c r="D133" s="12" t="s">
        <v>246</v>
      </c>
      <c r="E133" s="79" t="s">
        <v>223</v>
      </c>
      <c r="F133" s="79">
        <v>1</v>
      </c>
      <c r="G133" s="82"/>
      <c r="H133" s="79">
        <f>G133*F133</f>
        <v>0</v>
      </c>
      <c r="I133" s="85"/>
    </row>
    <row r="134" spans="1:9" ht="48" x14ac:dyDescent="0.2">
      <c r="A134" s="10">
        <v>2</v>
      </c>
      <c r="B134" s="65"/>
      <c r="C134" s="37" t="s">
        <v>247</v>
      </c>
      <c r="D134" s="12" t="s">
        <v>248</v>
      </c>
      <c r="E134" s="80"/>
      <c r="F134" s="80"/>
      <c r="G134" s="83"/>
      <c r="H134" s="80"/>
      <c r="I134" s="86"/>
    </row>
    <row r="135" spans="1:9" ht="24" x14ac:dyDescent="0.2">
      <c r="A135" s="10">
        <v>3</v>
      </c>
      <c r="B135" s="65"/>
      <c r="C135" s="37" t="s">
        <v>249</v>
      </c>
      <c r="D135" s="12" t="s">
        <v>250</v>
      </c>
      <c r="E135" s="80"/>
      <c r="F135" s="80"/>
      <c r="G135" s="83"/>
      <c r="H135" s="80"/>
      <c r="I135" s="86"/>
    </row>
    <row r="136" spans="1:9" ht="36" x14ac:dyDescent="0.2">
      <c r="A136" s="10">
        <v>4</v>
      </c>
      <c r="B136" s="77" t="s">
        <v>251</v>
      </c>
      <c r="C136" s="38" t="s">
        <v>252</v>
      </c>
      <c r="D136" s="39" t="s">
        <v>253</v>
      </c>
      <c r="E136" s="80"/>
      <c r="F136" s="80"/>
      <c r="G136" s="83"/>
      <c r="H136" s="80"/>
      <c r="I136" s="86"/>
    </row>
    <row r="137" spans="1:9" ht="14.25" customHeight="1" x14ac:dyDescent="0.2">
      <c r="A137" s="10">
        <v>5</v>
      </c>
      <c r="B137" s="77"/>
      <c r="C137" s="38" t="s">
        <v>254</v>
      </c>
      <c r="D137" s="39" t="s">
        <v>255</v>
      </c>
      <c r="E137" s="80"/>
      <c r="F137" s="80"/>
      <c r="G137" s="83"/>
      <c r="H137" s="80"/>
      <c r="I137" s="86"/>
    </row>
    <row r="138" spans="1:9" ht="25.5" x14ac:dyDescent="0.2">
      <c r="A138" s="10">
        <v>6</v>
      </c>
      <c r="B138" s="77"/>
      <c r="C138" s="38" t="s">
        <v>256</v>
      </c>
      <c r="D138" s="39" t="s">
        <v>257</v>
      </c>
      <c r="E138" s="80"/>
      <c r="F138" s="80"/>
      <c r="G138" s="83"/>
      <c r="H138" s="80"/>
      <c r="I138" s="86"/>
    </row>
    <row r="139" spans="1:9" ht="25.5" x14ac:dyDescent="0.2">
      <c r="A139" s="10">
        <v>7</v>
      </c>
      <c r="B139" s="77"/>
      <c r="C139" s="38" t="s">
        <v>258</v>
      </c>
      <c r="D139" s="39" t="s">
        <v>259</v>
      </c>
      <c r="E139" s="80"/>
      <c r="F139" s="80"/>
      <c r="G139" s="83"/>
      <c r="H139" s="80"/>
      <c r="I139" s="86"/>
    </row>
    <row r="140" spans="1:9" ht="14.25" customHeight="1" x14ac:dyDescent="0.2">
      <c r="A140" s="10">
        <v>8</v>
      </c>
      <c r="B140" s="64" t="s">
        <v>260</v>
      </c>
      <c r="C140" s="36" t="s">
        <v>261</v>
      </c>
      <c r="D140" s="35" t="s">
        <v>262</v>
      </c>
      <c r="E140" s="80"/>
      <c r="F140" s="80"/>
      <c r="G140" s="83"/>
      <c r="H140" s="80"/>
      <c r="I140" s="86"/>
    </row>
    <row r="141" spans="1:9" ht="14.25" customHeight="1" x14ac:dyDescent="0.2">
      <c r="A141" s="10">
        <v>9</v>
      </c>
      <c r="B141" s="64"/>
      <c r="C141" s="36" t="s">
        <v>263</v>
      </c>
      <c r="D141" s="35" t="s">
        <v>264</v>
      </c>
      <c r="E141" s="80"/>
      <c r="F141" s="80"/>
      <c r="G141" s="83"/>
      <c r="H141" s="80"/>
      <c r="I141" s="86"/>
    </row>
    <row r="142" spans="1:9" ht="24" x14ac:dyDescent="0.2">
      <c r="A142" s="10">
        <v>10</v>
      </c>
      <c r="B142" s="64"/>
      <c r="C142" s="36" t="s">
        <v>265</v>
      </c>
      <c r="D142" s="35" t="s">
        <v>266</v>
      </c>
      <c r="E142" s="80"/>
      <c r="F142" s="80"/>
      <c r="G142" s="83"/>
      <c r="H142" s="80"/>
      <c r="I142" s="86"/>
    </row>
    <row r="143" spans="1:9" ht="14.25" customHeight="1" x14ac:dyDescent="0.2">
      <c r="A143" s="10">
        <v>11</v>
      </c>
      <c r="B143" s="64"/>
      <c r="C143" s="36" t="s">
        <v>267</v>
      </c>
      <c r="D143" s="35" t="s">
        <v>268</v>
      </c>
      <c r="E143" s="80"/>
      <c r="F143" s="80"/>
      <c r="G143" s="83"/>
      <c r="H143" s="80"/>
      <c r="I143" s="86"/>
    </row>
    <row r="144" spans="1:9" ht="14.25" customHeight="1" x14ac:dyDescent="0.2">
      <c r="A144" s="10">
        <v>12</v>
      </c>
      <c r="B144" s="64"/>
      <c r="C144" s="36" t="s">
        <v>269</v>
      </c>
      <c r="D144" s="35" t="s">
        <v>270</v>
      </c>
      <c r="E144" s="80"/>
      <c r="F144" s="80"/>
      <c r="G144" s="83"/>
      <c r="H144" s="80"/>
      <c r="I144" s="86"/>
    </row>
    <row r="145" spans="1:9" ht="14.25" customHeight="1" x14ac:dyDescent="0.2">
      <c r="A145" s="10">
        <v>13</v>
      </c>
      <c r="B145" s="64"/>
      <c r="C145" s="36" t="s">
        <v>271</v>
      </c>
      <c r="D145" s="35" t="s">
        <v>272</v>
      </c>
      <c r="E145" s="80"/>
      <c r="F145" s="80"/>
      <c r="G145" s="83"/>
      <c r="H145" s="80"/>
      <c r="I145" s="86"/>
    </row>
    <row r="146" spans="1:9" ht="24" x14ac:dyDescent="0.2">
      <c r="A146" s="10">
        <v>14</v>
      </c>
      <c r="B146" s="64"/>
      <c r="C146" s="36" t="s">
        <v>273</v>
      </c>
      <c r="D146" s="35" t="s">
        <v>274</v>
      </c>
      <c r="E146" s="80"/>
      <c r="F146" s="80"/>
      <c r="G146" s="83"/>
      <c r="H146" s="80"/>
      <c r="I146" s="86"/>
    </row>
    <row r="147" spans="1:9" ht="14.25" customHeight="1" x14ac:dyDescent="0.2">
      <c r="A147" s="10">
        <v>15</v>
      </c>
      <c r="B147" s="64"/>
      <c r="C147" s="36" t="s">
        <v>275</v>
      </c>
      <c r="D147" s="35" t="s">
        <v>276</v>
      </c>
      <c r="E147" s="80"/>
      <c r="F147" s="80"/>
      <c r="G147" s="83"/>
      <c r="H147" s="80"/>
      <c r="I147" s="86"/>
    </row>
    <row r="148" spans="1:9" ht="25.5" x14ac:dyDescent="0.2">
      <c r="A148" s="10">
        <v>16</v>
      </c>
      <c r="B148" s="64"/>
      <c r="C148" s="36" t="s">
        <v>277</v>
      </c>
      <c r="D148" s="35" t="s">
        <v>278</v>
      </c>
      <c r="E148" s="80"/>
      <c r="F148" s="80"/>
      <c r="G148" s="83"/>
      <c r="H148" s="80"/>
      <c r="I148" s="86"/>
    </row>
    <row r="149" spans="1:9" ht="24" x14ac:dyDescent="0.2">
      <c r="A149" s="10">
        <v>17</v>
      </c>
      <c r="B149" s="64" t="s">
        <v>279</v>
      </c>
      <c r="C149" s="36" t="s">
        <v>280</v>
      </c>
      <c r="D149" s="35" t="s">
        <v>281</v>
      </c>
      <c r="E149" s="80"/>
      <c r="F149" s="80"/>
      <c r="G149" s="83"/>
      <c r="H149" s="80"/>
      <c r="I149" s="86"/>
    </row>
    <row r="150" spans="1:9" ht="14.25" x14ac:dyDescent="0.2">
      <c r="A150" s="10">
        <v>18</v>
      </c>
      <c r="B150" s="64"/>
      <c r="C150" s="36" t="s">
        <v>282</v>
      </c>
      <c r="D150" s="35" t="s">
        <v>283</v>
      </c>
      <c r="E150" s="80"/>
      <c r="F150" s="80"/>
      <c r="G150" s="83"/>
      <c r="H150" s="80"/>
      <c r="I150" s="86"/>
    </row>
    <row r="151" spans="1:9" ht="14.25" x14ac:dyDescent="0.2">
      <c r="A151" s="10">
        <v>19</v>
      </c>
      <c r="B151" s="64"/>
      <c r="C151" s="36" t="s">
        <v>284</v>
      </c>
      <c r="D151" s="35" t="s">
        <v>285</v>
      </c>
      <c r="E151" s="80"/>
      <c r="F151" s="80"/>
      <c r="G151" s="83"/>
      <c r="H151" s="80"/>
      <c r="I151" s="86"/>
    </row>
    <row r="152" spans="1:9" ht="24" x14ac:dyDescent="0.2">
      <c r="A152" s="10">
        <v>20</v>
      </c>
      <c r="B152" s="65" t="s">
        <v>286</v>
      </c>
      <c r="C152" s="37" t="s">
        <v>287</v>
      </c>
      <c r="D152" s="12" t="s">
        <v>288</v>
      </c>
      <c r="E152" s="80"/>
      <c r="F152" s="80"/>
      <c r="G152" s="83"/>
      <c r="H152" s="80"/>
      <c r="I152" s="86"/>
    </row>
    <row r="153" spans="1:9" ht="24" x14ac:dyDescent="0.2">
      <c r="A153" s="10">
        <v>21</v>
      </c>
      <c r="B153" s="65"/>
      <c r="C153" s="37" t="s">
        <v>289</v>
      </c>
      <c r="D153" s="12" t="s">
        <v>290</v>
      </c>
      <c r="E153" s="80"/>
      <c r="F153" s="80"/>
      <c r="G153" s="83"/>
      <c r="H153" s="80"/>
      <c r="I153" s="86"/>
    </row>
    <row r="154" spans="1:9" ht="14.25" x14ac:dyDescent="0.2">
      <c r="A154" s="10">
        <v>22</v>
      </c>
      <c r="B154" s="65"/>
      <c r="C154" s="37" t="s">
        <v>291</v>
      </c>
      <c r="D154" s="12" t="s">
        <v>292</v>
      </c>
      <c r="E154" s="80"/>
      <c r="F154" s="80"/>
      <c r="G154" s="83"/>
      <c r="H154" s="80"/>
      <c r="I154" s="86"/>
    </row>
    <row r="155" spans="1:9" ht="14.25" x14ac:dyDescent="0.2">
      <c r="A155" s="10">
        <v>23</v>
      </c>
      <c r="B155" s="65"/>
      <c r="C155" s="37" t="s">
        <v>293</v>
      </c>
      <c r="D155" s="12" t="s">
        <v>294</v>
      </c>
      <c r="E155" s="80"/>
      <c r="F155" s="80"/>
      <c r="G155" s="83"/>
      <c r="H155" s="80"/>
      <c r="I155" s="86"/>
    </row>
    <row r="156" spans="1:9" ht="14.25" x14ac:dyDescent="0.2">
      <c r="A156" s="10">
        <v>24</v>
      </c>
      <c r="B156" s="65"/>
      <c r="C156" s="37" t="s">
        <v>295</v>
      </c>
      <c r="D156" s="12" t="s">
        <v>296</v>
      </c>
      <c r="E156" s="81"/>
      <c r="F156" s="81"/>
      <c r="G156" s="84"/>
      <c r="H156" s="81"/>
      <c r="I156" s="87"/>
    </row>
    <row r="157" spans="1:9" ht="14.25" customHeight="1" x14ac:dyDescent="0.2">
      <c r="A157" s="60" t="s">
        <v>297</v>
      </c>
      <c r="B157" s="61"/>
      <c r="C157" s="61"/>
      <c r="D157" s="61"/>
      <c r="E157" s="61"/>
      <c r="F157" s="61"/>
      <c r="G157" s="61"/>
      <c r="H157" s="61"/>
      <c r="I157" s="62"/>
    </row>
    <row r="158" spans="1:9" ht="14.25" customHeight="1" x14ac:dyDescent="0.2">
      <c r="A158" s="10">
        <v>1</v>
      </c>
      <c r="B158" s="78" t="s">
        <v>298</v>
      </c>
      <c r="C158" s="37" t="s">
        <v>299</v>
      </c>
      <c r="D158" s="12" t="s">
        <v>300</v>
      </c>
      <c r="E158" s="79" t="s">
        <v>223</v>
      </c>
      <c r="F158" s="79">
        <v>1</v>
      </c>
      <c r="G158" s="82"/>
      <c r="H158" s="79">
        <f>G158*F158</f>
        <v>0</v>
      </c>
      <c r="I158" s="85"/>
    </row>
    <row r="159" spans="1:9" ht="14.25" customHeight="1" x14ac:dyDescent="0.2">
      <c r="A159" s="10">
        <v>2</v>
      </c>
      <c r="B159" s="78"/>
      <c r="C159" s="37" t="s">
        <v>301</v>
      </c>
      <c r="D159" s="12" t="s">
        <v>302</v>
      </c>
      <c r="E159" s="80"/>
      <c r="F159" s="80"/>
      <c r="G159" s="83"/>
      <c r="H159" s="80"/>
      <c r="I159" s="86"/>
    </row>
    <row r="160" spans="1:9" ht="14.25" customHeight="1" x14ac:dyDescent="0.2">
      <c r="A160" s="10">
        <v>3</v>
      </c>
      <c r="B160" s="78"/>
      <c r="C160" s="37" t="s">
        <v>303</v>
      </c>
      <c r="D160" s="12" t="s">
        <v>304</v>
      </c>
      <c r="E160" s="80"/>
      <c r="F160" s="80"/>
      <c r="G160" s="83"/>
      <c r="H160" s="80"/>
      <c r="I160" s="86"/>
    </row>
    <row r="161" spans="1:9" ht="36" x14ac:dyDescent="0.2">
      <c r="A161" s="10">
        <v>4</v>
      </c>
      <c r="B161" s="40" t="s">
        <v>305</v>
      </c>
      <c r="C161" s="36" t="s">
        <v>306</v>
      </c>
      <c r="D161" s="35" t="s">
        <v>307</v>
      </c>
      <c r="E161" s="80"/>
      <c r="F161" s="80"/>
      <c r="G161" s="83"/>
      <c r="H161" s="80"/>
      <c r="I161" s="86"/>
    </row>
    <row r="162" spans="1:9" ht="24" x14ac:dyDescent="0.2">
      <c r="A162" s="10">
        <v>5</v>
      </c>
      <c r="B162" s="40" t="s">
        <v>308</v>
      </c>
      <c r="C162" s="36" t="s">
        <v>309</v>
      </c>
      <c r="D162" s="35" t="s">
        <v>310</v>
      </c>
      <c r="E162" s="81"/>
      <c r="F162" s="81"/>
      <c r="G162" s="83"/>
      <c r="H162" s="81"/>
      <c r="I162" s="87"/>
    </row>
    <row r="163" spans="1:9" ht="14.25" customHeight="1" x14ac:dyDescent="0.2">
      <c r="A163" s="60" t="s">
        <v>311</v>
      </c>
      <c r="B163" s="61"/>
      <c r="C163" s="61"/>
      <c r="D163" s="61"/>
      <c r="E163" s="61"/>
      <c r="F163" s="61"/>
      <c r="G163" s="61"/>
      <c r="H163" s="61"/>
      <c r="I163" s="62"/>
    </row>
    <row r="164" spans="1:9" ht="24" x14ac:dyDescent="0.2">
      <c r="A164" s="10">
        <v>1</v>
      </c>
      <c r="B164" s="63" t="s">
        <v>312</v>
      </c>
      <c r="C164" s="63"/>
      <c r="D164" s="35" t="s">
        <v>313</v>
      </c>
      <c r="E164" s="79" t="s">
        <v>223</v>
      </c>
      <c r="F164" s="79">
        <v>1</v>
      </c>
      <c r="G164" s="82"/>
      <c r="H164" s="79">
        <f>G164*F164</f>
        <v>0</v>
      </c>
      <c r="I164" s="85"/>
    </row>
    <row r="165" spans="1:9" ht="14.25" x14ac:dyDescent="0.2">
      <c r="A165" s="10">
        <v>2</v>
      </c>
      <c r="B165" s="66" t="s">
        <v>314</v>
      </c>
      <c r="C165" s="66"/>
      <c r="D165" s="12" t="s">
        <v>315</v>
      </c>
      <c r="E165" s="80"/>
      <c r="F165" s="80"/>
      <c r="G165" s="83"/>
      <c r="H165" s="80"/>
      <c r="I165" s="86"/>
    </row>
    <row r="166" spans="1:9" ht="24" x14ac:dyDescent="0.2">
      <c r="A166" s="10">
        <v>3</v>
      </c>
      <c r="B166" s="66" t="s">
        <v>316</v>
      </c>
      <c r="C166" s="66"/>
      <c r="D166" s="12" t="s">
        <v>317</v>
      </c>
      <c r="E166" s="80"/>
      <c r="F166" s="80"/>
      <c r="G166" s="83"/>
      <c r="H166" s="80"/>
      <c r="I166" s="86"/>
    </row>
    <row r="167" spans="1:9" ht="36" x14ac:dyDescent="0.2">
      <c r="A167" s="10">
        <v>4</v>
      </c>
      <c r="B167" s="66" t="s">
        <v>318</v>
      </c>
      <c r="C167" s="66"/>
      <c r="D167" s="12" t="s">
        <v>319</v>
      </c>
      <c r="E167" s="80"/>
      <c r="F167" s="80"/>
      <c r="G167" s="83"/>
      <c r="H167" s="80"/>
      <c r="I167" s="86"/>
    </row>
    <row r="168" spans="1:9" ht="36" x14ac:dyDescent="0.2">
      <c r="A168" s="10">
        <v>5</v>
      </c>
      <c r="B168" s="66" t="s">
        <v>320</v>
      </c>
      <c r="C168" s="66"/>
      <c r="D168" s="12" t="s">
        <v>321</v>
      </c>
      <c r="E168" s="80"/>
      <c r="F168" s="80"/>
      <c r="G168" s="83"/>
      <c r="H168" s="80"/>
      <c r="I168" s="86"/>
    </row>
    <row r="169" spans="1:9" ht="24" x14ac:dyDescent="0.2">
      <c r="A169" s="10">
        <v>6</v>
      </c>
      <c r="B169" s="66" t="s">
        <v>322</v>
      </c>
      <c r="C169" s="66"/>
      <c r="D169" s="12" t="s">
        <v>323</v>
      </c>
      <c r="E169" s="81"/>
      <c r="F169" s="81"/>
      <c r="G169" s="84"/>
      <c r="H169" s="81"/>
      <c r="I169" s="87"/>
    </row>
    <row r="170" spans="1:9" ht="14.25" customHeight="1" x14ac:dyDescent="0.2">
      <c r="A170" s="60" t="s">
        <v>324</v>
      </c>
      <c r="B170" s="61"/>
      <c r="C170" s="61"/>
      <c r="D170" s="61"/>
      <c r="E170" s="61"/>
      <c r="F170" s="61"/>
      <c r="G170" s="61"/>
      <c r="H170" s="61"/>
      <c r="I170" s="62"/>
    </row>
    <row r="171" spans="1:9" ht="36" x14ac:dyDescent="0.2">
      <c r="A171" s="10">
        <v>1</v>
      </c>
      <c r="B171" s="65" t="s">
        <v>325</v>
      </c>
      <c r="C171" s="65"/>
      <c r="D171" s="12" t="s">
        <v>326</v>
      </c>
      <c r="E171" s="79" t="s">
        <v>223</v>
      </c>
      <c r="F171" s="79">
        <v>1</v>
      </c>
      <c r="G171" s="82"/>
      <c r="H171" s="79">
        <f>G171*F171</f>
        <v>0</v>
      </c>
      <c r="I171" s="85"/>
    </row>
    <row r="172" spans="1:9" ht="25.5" customHeight="1" x14ac:dyDescent="0.2">
      <c r="A172" s="10">
        <v>2</v>
      </c>
      <c r="B172" s="64" t="s">
        <v>327</v>
      </c>
      <c r="C172" s="64"/>
      <c r="D172" s="35" t="s">
        <v>328</v>
      </c>
      <c r="E172" s="80"/>
      <c r="F172" s="80"/>
      <c r="G172" s="83"/>
      <c r="H172" s="80"/>
      <c r="I172" s="86"/>
    </row>
    <row r="173" spans="1:9" ht="24" x14ac:dyDescent="0.2">
      <c r="A173" s="10">
        <v>3</v>
      </c>
      <c r="B173" s="65" t="s">
        <v>329</v>
      </c>
      <c r="C173" s="65"/>
      <c r="D173" s="12" t="s">
        <v>330</v>
      </c>
      <c r="E173" s="80"/>
      <c r="F173" s="80"/>
      <c r="G173" s="83"/>
      <c r="H173" s="80"/>
      <c r="I173" s="86"/>
    </row>
    <row r="174" spans="1:9" ht="24" x14ac:dyDescent="0.2">
      <c r="A174" s="10">
        <v>4</v>
      </c>
      <c r="B174" s="65" t="s">
        <v>331</v>
      </c>
      <c r="C174" s="65"/>
      <c r="D174" s="12" t="s">
        <v>332</v>
      </c>
      <c r="E174" s="80"/>
      <c r="F174" s="80"/>
      <c r="G174" s="83"/>
      <c r="H174" s="80"/>
      <c r="I174" s="86"/>
    </row>
    <row r="175" spans="1:9" ht="24" x14ac:dyDescent="0.2">
      <c r="A175" s="10">
        <v>5</v>
      </c>
      <c r="B175" s="65" t="s">
        <v>333</v>
      </c>
      <c r="C175" s="65"/>
      <c r="D175" s="12" t="s">
        <v>334</v>
      </c>
      <c r="E175" s="80"/>
      <c r="F175" s="80"/>
      <c r="G175" s="83"/>
      <c r="H175" s="80"/>
      <c r="I175" s="86"/>
    </row>
    <row r="176" spans="1:9" ht="24" x14ac:dyDescent="0.2">
      <c r="A176" s="10">
        <v>6</v>
      </c>
      <c r="B176" s="64" t="s">
        <v>335</v>
      </c>
      <c r="C176" s="64"/>
      <c r="D176" s="35" t="s">
        <v>336</v>
      </c>
      <c r="E176" s="81"/>
      <c r="F176" s="81"/>
      <c r="G176" s="84"/>
      <c r="H176" s="81"/>
      <c r="I176" s="87"/>
    </row>
    <row r="177" spans="1:9" x14ac:dyDescent="0.2">
      <c r="A177" s="67" t="s">
        <v>337</v>
      </c>
      <c r="B177" s="67"/>
      <c r="C177" s="67"/>
      <c r="D177" s="67"/>
      <c r="E177" s="67"/>
      <c r="F177" s="41"/>
      <c r="G177" s="42"/>
      <c r="H177" s="43"/>
      <c r="I177" s="30"/>
    </row>
    <row r="178" spans="1:9" ht="36" x14ac:dyDescent="0.2">
      <c r="A178" s="10">
        <v>1</v>
      </c>
      <c r="B178" s="63" t="s">
        <v>338</v>
      </c>
      <c r="C178" s="35" t="s">
        <v>339</v>
      </c>
      <c r="D178" s="35" t="s">
        <v>340</v>
      </c>
      <c r="E178" s="82" t="s">
        <v>21</v>
      </c>
      <c r="F178" s="79">
        <v>1</v>
      </c>
      <c r="G178" s="82"/>
      <c r="H178" s="79">
        <f>G178*F178</f>
        <v>0</v>
      </c>
      <c r="I178" s="85"/>
    </row>
    <row r="179" spans="1:9" ht="24" x14ac:dyDescent="0.2">
      <c r="A179" s="10">
        <v>2</v>
      </c>
      <c r="B179" s="63"/>
      <c r="C179" s="35" t="s">
        <v>341</v>
      </c>
      <c r="D179" s="35" t="s">
        <v>342</v>
      </c>
      <c r="E179" s="83"/>
      <c r="F179" s="80"/>
      <c r="G179" s="83"/>
      <c r="H179" s="80"/>
      <c r="I179" s="86"/>
    </row>
    <row r="180" spans="1:9" ht="14.25" x14ac:dyDescent="0.2">
      <c r="A180" s="10">
        <v>3</v>
      </c>
      <c r="B180" s="63"/>
      <c r="C180" s="35" t="s">
        <v>343</v>
      </c>
      <c r="D180" s="35" t="s">
        <v>344</v>
      </c>
      <c r="E180" s="83"/>
      <c r="F180" s="80"/>
      <c r="G180" s="83"/>
      <c r="H180" s="80"/>
      <c r="I180" s="86"/>
    </row>
    <row r="181" spans="1:9" ht="24" x14ac:dyDescent="0.2">
      <c r="A181" s="10">
        <v>4</v>
      </c>
      <c r="B181" s="63"/>
      <c r="C181" s="35" t="s">
        <v>345</v>
      </c>
      <c r="D181" s="35" t="s">
        <v>346</v>
      </c>
      <c r="E181" s="83"/>
      <c r="F181" s="80"/>
      <c r="G181" s="83"/>
      <c r="H181" s="80"/>
      <c r="I181" s="86"/>
    </row>
    <row r="182" spans="1:9" ht="36" x14ac:dyDescent="0.2">
      <c r="A182" s="10">
        <v>5</v>
      </c>
      <c r="B182" s="63"/>
      <c r="C182" s="12" t="s">
        <v>347</v>
      </c>
      <c r="D182" s="12" t="s">
        <v>348</v>
      </c>
      <c r="E182" s="83"/>
      <c r="F182" s="80"/>
      <c r="G182" s="83"/>
      <c r="H182" s="80"/>
      <c r="I182" s="86"/>
    </row>
    <row r="183" spans="1:9" ht="48" x14ac:dyDescent="0.2">
      <c r="A183" s="10">
        <v>6</v>
      </c>
      <c r="B183" s="63"/>
      <c r="C183" s="12" t="s">
        <v>349</v>
      </c>
      <c r="D183" s="12" t="s">
        <v>350</v>
      </c>
      <c r="E183" s="83"/>
      <c r="F183" s="80"/>
      <c r="G183" s="83"/>
      <c r="H183" s="80"/>
      <c r="I183" s="86"/>
    </row>
    <row r="184" spans="1:9" ht="72" x14ac:dyDescent="0.2">
      <c r="A184" s="10">
        <v>7</v>
      </c>
      <c r="B184" s="63"/>
      <c r="C184" s="35" t="s">
        <v>351</v>
      </c>
      <c r="D184" s="35" t="s">
        <v>352</v>
      </c>
      <c r="E184" s="83"/>
      <c r="F184" s="80"/>
      <c r="G184" s="83"/>
      <c r="H184" s="80"/>
      <c r="I184" s="86"/>
    </row>
    <row r="185" spans="1:9" ht="132" x14ac:dyDescent="0.2">
      <c r="A185" s="72">
        <v>8</v>
      </c>
      <c r="B185" s="63"/>
      <c r="C185" s="63" t="s">
        <v>353</v>
      </c>
      <c r="D185" s="35" t="s">
        <v>354</v>
      </c>
      <c r="E185" s="83"/>
      <c r="F185" s="80"/>
      <c r="G185" s="83"/>
      <c r="H185" s="80"/>
      <c r="I185" s="86"/>
    </row>
    <row r="186" spans="1:9" ht="24" x14ac:dyDescent="0.2">
      <c r="A186" s="72"/>
      <c r="B186" s="63"/>
      <c r="C186" s="63"/>
      <c r="D186" s="35" t="s">
        <v>355</v>
      </c>
      <c r="E186" s="83"/>
      <c r="F186" s="80"/>
      <c r="G186" s="83"/>
      <c r="H186" s="80"/>
      <c r="I186" s="86"/>
    </row>
    <row r="187" spans="1:9" ht="24" x14ac:dyDescent="0.2">
      <c r="A187" s="72"/>
      <c r="B187" s="63"/>
      <c r="C187" s="63"/>
      <c r="D187" s="35" t="s">
        <v>356</v>
      </c>
      <c r="E187" s="83"/>
      <c r="F187" s="80"/>
      <c r="G187" s="83"/>
      <c r="H187" s="80"/>
      <c r="I187" s="86"/>
    </row>
    <row r="188" spans="1:9" ht="24" x14ac:dyDescent="0.2">
      <c r="A188" s="72"/>
      <c r="B188" s="63"/>
      <c r="C188" s="63"/>
      <c r="D188" s="35" t="s">
        <v>357</v>
      </c>
      <c r="E188" s="83"/>
      <c r="F188" s="80"/>
      <c r="G188" s="83"/>
      <c r="H188" s="80"/>
      <c r="I188" s="86"/>
    </row>
    <row r="189" spans="1:9" ht="14.25" x14ac:dyDescent="0.2">
      <c r="A189" s="72"/>
      <c r="B189" s="63"/>
      <c r="C189" s="63"/>
      <c r="D189" s="35" t="s">
        <v>358</v>
      </c>
      <c r="E189" s="83"/>
      <c r="F189" s="80"/>
      <c r="G189" s="83"/>
      <c r="H189" s="80"/>
      <c r="I189" s="86"/>
    </row>
    <row r="190" spans="1:9" ht="36" x14ac:dyDescent="0.2">
      <c r="A190" s="72"/>
      <c r="B190" s="63"/>
      <c r="C190" s="63"/>
      <c r="D190" s="35" t="s">
        <v>359</v>
      </c>
      <c r="E190" s="83"/>
      <c r="F190" s="80"/>
      <c r="G190" s="83"/>
      <c r="H190" s="80"/>
      <c r="I190" s="86"/>
    </row>
    <row r="191" spans="1:9" ht="14.25" x14ac:dyDescent="0.2">
      <c r="A191" s="72"/>
      <c r="B191" s="63"/>
      <c r="C191" s="63"/>
      <c r="D191" s="35" t="s">
        <v>360</v>
      </c>
      <c r="E191" s="83"/>
      <c r="F191" s="80"/>
      <c r="G191" s="83"/>
      <c r="H191" s="80"/>
      <c r="I191" s="86"/>
    </row>
    <row r="192" spans="1:9" ht="24" x14ac:dyDescent="0.2">
      <c r="A192" s="10">
        <v>9</v>
      </c>
      <c r="B192" s="63" t="s">
        <v>361</v>
      </c>
      <c r="C192" s="35" t="s">
        <v>362</v>
      </c>
      <c r="D192" s="35" t="s">
        <v>363</v>
      </c>
      <c r="E192" s="83"/>
      <c r="F192" s="80"/>
      <c r="G192" s="83"/>
      <c r="H192" s="80"/>
      <c r="I192" s="86"/>
    </row>
    <row r="193" spans="1:9" ht="14.25" x14ac:dyDescent="0.2">
      <c r="A193" s="10">
        <v>10</v>
      </c>
      <c r="B193" s="63"/>
      <c r="C193" s="12" t="s">
        <v>364</v>
      </c>
      <c r="D193" s="12" t="s">
        <v>365</v>
      </c>
      <c r="E193" s="83"/>
      <c r="F193" s="80"/>
      <c r="G193" s="83"/>
      <c r="H193" s="80"/>
      <c r="I193" s="86"/>
    </row>
    <row r="194" spans="1:9" ht="24" x14ac:dyDescent="0.2">
      <c r="A194" s="10">
        <v>11</v>
      </c>
      <c r="B194" s="63"/>
      <c r="C194" s="12" t="s">
        <v>366</v>
      </c>
      <c r="D194" s="12" t="s">
        <v>367</v>
      </c>
      <c r="E194" s="83"/>
      <c r="F194" s="80"/>
      <c r="G194" s="83"/>
      <c r="H194" s="80"/>
      <c r="I194" s="86"/>
    </row>
    <row r="195" spans="1:9" ht="14.25" x14ac:dyDescent="0.2">
      <c r="A195" s="10">
        <v>12</v>
      </c>
      <c r="B195" s="63"/>
      <c r="C195" s="12" t="s">
        <v>368</v>
      </c>
      <c r="D195" s="12" t="s">
        <v>369</v>
      </c>
      <c r="E195" s="83"/>
      <c r="F195" s="80"/>
      <c r="G195" s="83"/>
      <c r="H195" s="80"/>
      <c r="I195" s="86"/>
    </row>
    <row r="196" spans="1:9" ht="24" x14ac:dyDescent="0.2">
      <c r="A196" s="10">
        <v>13</v>
      </c>
      <c r="B196" s="63" t="s">
        <v>370</v>
      </c>
      <c r="C196" s="15" t="s">
        <v>371</v>
      </c>
      <c r="D196" s="12" t="s">
        <v>372</v>
      </c>
      <c r="E196" s="83"/>
      <c r="F196" s="80"/>
      <c r="G196" s="83"/>
      <c r="H196" s="80"/>
      <c r="I196" s="86"/>
    </row>
    <row r="197" spans="1:9" ht="14.25" x14ac:dyDescent="0.2">
      <c r="A197" s="10">
        <v>14</v>
      </c>
      <c r="B197" s="63"/>
      <c r="C197" s="35" t="s">
        <v>373</v>
      </c>
      <c r="D197" s="35" t="s">
        <v>374</v>
      </c>
      <c r="E197" s="83"/>
      <c r="F197" s="80"/>
      <c r="G197" s="83"/>
      <c r="H197" s="80"/>
      <c r="I197" s="86"/>
    </row>
    <row r="198" spans="1:9" ht="14.25" x14ac:dyDescent="0.2">
      <c r="A198" s="10">
        <v>15</v>
      </c>
      <c r="B198" s="63"/>
      <c r="C198" s="35" t="s">
        <v>375</v>
      </c>
      <c r="D198" s="35" t="s">
        <v>376</v>
      </c>
      <c r="E198" s="83"/>
      <c r="F198" s="80"/>
      <c r="G198" s="83"/>
      <c r="H198" s="80"/>
      <c r="I198" s="86"/>
    </row>
    <row r="199" spans="1:9" ht="14.25" x14ac:dyDescent="0.2">
      <c r="A199" s="10">
        <v>16</v>
      </c>
      <c r="B199" s="63"/>
      <c r="C199" s="35" t="s">
        <v>377</v>
      </c>
      <c r="D199" s="35" t="s">
        <v>378</v>
      </c>
      <c r="E199" s="83"/>
      <c r="F199" s="80"/>
      <c r="G199" s="83"/>
      <c r="H199" s="80"/>
      <c r="I199" s="86"/>
    </row>
    <row r="200" spans="1:9" ht="14.25" x14ac:dyDescent="0.2">
      <c r="A200" s="10">
        <v>17</v>
      </c>
      <c r="B200" s="63"/>
      <c r="C200" s="35" t="s">
        <v>379</v>
      </c>
      <c r="D200" s="35" t="s">
        <v>380</v>
      </c>
      <c r="E200" s="83"/>
      <c r="F200" s="80"/>
      <c r="G200" s="83"/>
      <c r="H200" s="80"/>
      <c r="I200" s="86"/>
    </row>
    <row r="201" spans="1:9" ht="14.25" x14ac:dyDescent="0.2">
      <c r="A201" s="10">
        <v>18</v>
      </c>
      <c r="B201" s="35" t="s">
        <v>381</v>
      </c>
      <c r="C201" s="35" t="s">
        <v>382</v>
      </c>
      <c r="D201" s="35" t="s">
        <v>383</v>
      </c>
      <c r="E201" s="84"/>
      <c r="F201" s="81"/>
      <c r="G201" s="84"/>
      <c r="H201" s="81"/>
      <c r="I201" s="87"/>
    </row>
    <row r="202" spans="1:9" ht="14.25" x14ac:dyDescent="0.2">
      <c r="A202" s="49" t="s">
        <v>54</v>
      </c>
      <c r="B202" s="49"/>
      <c r="C202" s="49"/>
      <c r="D202" s="49"/>
      <c r="E202" s="49"/>
      <c r="F202" s="49"/>
      <c r="G202" s="49"/>
      <c r="H202" s="68">
        <f>H178+H171+H164+H158+H133+H128+H121</f>
        <v>0</v>
      </c>
      <c r="I202" s="68"/>
    </row>
    <row r="203" spans="1:9" ht="15.75" customHeight="1" x14ac:dyDescent="0.2">
      <c r="A203" s="50" t="s">
        <v>384</v>
      </c>
      <c r="B203" s="51"/>
      <c r="C203" s="51"/>
      <c r="D203" s="51"/>
      <c r="E203" s="51"/>
      <c r="F203" s="51"/>
      <c r="G203" s="51"/>
      <c r="H203" s="51"/>
      <c r="I203" s="52"/>
    </row>
    <row r="204" spans="1:9" s="2" customFormat="1" ht="312" x14ac:dyDescent="0.2">
      <c r="A204" s="44">
        <v>1</v>
      </c>
      <c r="B204" s="69" t="s">
        <v>385</v>
      </c>
      <c r="C204" s="69"/>
      <c r="D204" s="45" t="s">
        <v>386</v>
      </c>
      <c r="E204" s="44" t="s">
        <v>387</v>
      </c>
      <c r="F204" s="44">
        <v>1</v>
      </c>
      <c r="G204" s="44"/>
      <c r="H204" s="45">
        <f>G204*F204</f>
        <v>0</v>
      </c>
      <c r="I204" s="45"/>
    </row>
    <row r="205" spans="1:9" ht="20.25" x14ac:dyDescent="0.2">
      <c r="A205" s="70" t="s">
        <v>388</v>
      </c>
      <c r="B205" s="70"/>
      <c r="C205" s="70"/>
      <c r="D205" s="70"/>
      <c r="E205" s="70"/>
      <c r="F205" s="70"/>
      <c r="G205" s="70"/>
      <c r="H205" s="71">
        <f>H202+H117+H21+H204</f>
        <v>0</v>
      </c>
      <c r="I205" s="71"/>
    </row>
  </sheetData>
  <mergeCells count="124">
    <mergeCell ref="H133:H156"/>
    <mergeCell ref="H158:H162"/>
    <mergeCell ref="H164:H169"/>
    <mergeCell ref="H171:H176"/>
    <mergeCell ref="H178:H201"/>
    <mergeCell ref="I121:I126"/>
    <mergeCell ref="I128:I131"/>
    <mergeCell ref="I133:I156"/>
    <mergeCell ref="I158:I162"/>
    <mergeCell ref="I164:I169"/>
    <mergeCell ref="I171:I176"/>
    <mergeCell ref="I178:I201"/>
    <mergeCell ref="A203:I203"/>
    <mergeCell ref="B204:C204"/>
    <mergeCell ref="A205:G205"/>
    <mergeCell ref="H205:I205"/>
    <mergeCell ref="A185:A191"/>
    <mergeCell ref="B3:B6"/>
    <mergeCell ref="B7:B9"/>
    <mergeCell ref="B11:B14"/>
    <mergeCell ref="B15:B20"/>
    <mergeCell ref="B26:B31"/>
    <mergeCell ref="B33:B37"/>
    <mergeCell ref="B38:B42"/>
    <mergeCell ref="B43:B46"/>
    <mergeCell ref="B47:B52"/>
    <mergeCell ref="B53:B54"/>
    <mergeCell ref="B55:B57"/>
    <mergeCell ref="B73:B78"/>
    <mergeCell ref="B81:B96"/>
    <mergeCell ref="B97:B101"/>
    <mergeCell ref="B102:B105"/>
    <mergeCell ref="B106:B107"/>
    <mergeCell ref="B109:B110"/>
    <mergeCell ref="B111:B112"/>
    <mergeCell ref="B113:B116"/>
    <mergeCell ref="A170:I170"/>
    <mergeCell ref="B171:C171"/>
    <mergeCell ref="B172:C172"/>
    <mergeCell ref="B173:C173"/>
    <mergeCell ref="B174:C174"/>
    <mergeCell ref="B175:C175"/>
    <mergeCell ref="B176:C176"/>
    <mergeCell ref="A177:E177"/>
    <mergeCell ref="A202:G202"/>
    <mergeCell ref="H202:I202"/>
    <mergeCell ref="B178:B191"/>
    <mergeCell ref="B192:B195"/>
    <mergeCell ref="B196:B200"/>
    <mergeCell ref="C185:C191"/>
    <mergeCell ref="E171:E176"/>
    <mergeCell ref="E178:E201"/>
    <mergeCell ref="F171:F176"/>
    <mergeCell ref="F178:F201"/>
    <mergeCell ref="G171:G176"/>
    <mergeCell ref="G178:G201"/>
    <mergeCell ref="A132:I132"/>
    <mergeCell ref="A157:I157"/>
    <mergeCell ref="A163:I163"/>
    <mergeCell ref="B164:C164"/>
    <mergeCell ref="B165:C165"/>
    <mergeCell ref="B166:C166"/>
    <mergeCell ref="B167:C167"/>
    <mergeCell ref="B168:C168"/>
    <mergeCell ref="B169:C169"/>
    <mergeCell ref="B133:B135"/>
    <mergeCell ref="B136:B139"/>
    <mergeCell ref="B140:B148"/>
    <mergeCell ref="B149:B151"/>
    <mergeCell ref="B152:B156"/>
    <mergeCell ref="B158:B160"/>
    <mergeCell ref="E133:E156"/>
    <mergeCell ref="E158:E162"/>
    <mergeCell ref="E164:E169"/>
    <mergeCell ref="F133:F156"/>
    <mergeCell ref="F158:F162"/>
    <mergeCell ref="F164:F169"/>
    <mergeCell ref="G133:G156"/>
    <mergeCell ref="G158:G162"/>
    <mergeCell ref="G164:G169"/>
    <mergeCell ref="B123:C123"/>
    <mergeCell ref="B124:C124"/>
    <mergeCell ref="B125:C125"/>
    <mergeCell ref="B126:C126"/>
    <mergeCell ref="A127:I127"/>
    <mergeCell ref="B128:C128"/>
    <mergeCell ref="B129:C129"/>
    <mergeCell ref="B130:C130"/>
    <mergeCell ref="B131:C131"/>
    <mergeCell ref="E121:E126"/>
    <mergeCell ref="E128:E131"/>
    <mergeCell ref="F121:F126"/>
    <mergeCell ref="F128:F131"/>
    <mergeCell ref="G121:G126"/>
    <mergeCell ref="G128:G131"/>
    <mergeCell ref="H121:H126"/>
    <mergeCell ref="H128:H131"/>
    <mergeCell ref="B70:C70"/>
    <mergeCell ref="B71:C71"/>
    <mergeCell ref="B72:C72"/>
    <mergeCell ref="A79:I79"/>
    <mergeCell ref="A117:G117"/>
    <mergeCell ref="A118:I118"/>
    <mergeCell ref="A120:I120"/>
    <mergeCell ref="B121:C121"/>
    <mergeCell ref="B122:C122"/>
    <mergeCell ref="B61:C61"/>
    <mergeCell ref="B62:C62"/>
    <mergeCell ref="B63:C63"/>
    <mergeCell ref="B64:C64"/>
    <mergeCell ref="B65:C65"/>
    <mergeCell ref="B66:C66"/>
    <mergeCell ref="B67:C67"/>
    <mergeCell ref="B68:C68"/>
    <mergeCell ref="B69:C69"/>
    <mergeCell ref="A1:I1"/>
    <mergeCell ref="A21:G21"/>
    <mergeCell ref="A22:I22"/>
    <mergeCell ref="A23:I23"/>
    <mergeCell ref="A25:I25"/>
    <mergeCell ref="A32:I32"/>
    <mergeCell ref="A58:I58"/>
    <mergeCell ref="B59:C59"/>
    <mergeCell ref="B60:C60"/>
  </mergeCells>
  <phoneticPr fontId="2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peng hao</dc:creator>
  <cp:lastModifiedBy>jxt jxt</cp:lastModifiedBy>
  <dcterms:created xsi:type="dcterms:W3CDTF">2026-04-15T13:03:00Z</dcterms:created>
  <dcterms:modified xsi:type="dcterms:W3CDTF">2026-04-21T02:30:24Z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96FCB2717DC04F4F8B254B8CF0DE7E07_13</vt:lpwstr>
  </property>
  <property fmtid="{D5CDD505-2E9C-101B-9397-08002B2CF9AE}" pid="3" name="KSOProductBuildVer">
    <vt:lpwstr>2052-12.1.0.20305</vt:lpwstr>
  </property>
  <property fmtid="{D5CDD505-2E9C-101B-9397-08002B2CF9AE}" pid="4" name="CalculationRule">
    <vt:i4>0</vt:i4>
  </property>
</Properties>
</file>