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9635" windowHeight="837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<sst xmlns="http://schemas.openxmlformats.org/spreadsheetml/2006/main" count="489" uniqueCount="301">
  <si>
    <t>序号</t>
  </si>
  <si>
    <t>工程项目或费用名称</t>
  </si>
  <si>
    <t>材质/技术参数</t>
  </si>
  <si>
    <t>单位</t>
  </si>
  <si>
    <t>数量</t>
  </si>
  <si>
    <t>单价（万元）</t>
  </si>
  <si>
    <t>合计（万元）</t>
  </si>
  <si>
    <t>合计</t>
  </si>
  <si>
    <t>备注</t>
  </si>
  <si>
    <t>名称</t>
  </si>
  <si>
    <t>品牌</t>
  </si>
  <si>
    <t>型号</t>
  </si>
  <si>
    <t>参数</t>
  </si>
  <si>
    <t>单价</t>
  </si>
  <si>
    <t>设备购置费</t>
  </si>
  <si>
    <t>主要材料费</t>
  </si>
  <si>
    <t>安装费</t>
  </si>
  <si>
    <t>建筑工程费</t>
  </si>
  <si>
    <t>工程费含增值税</t>
  </si>
  <si>
    <t>增值税</t>
  </si>
  <si>
    <t>工程费（不含增值税）</t>
  </si>
  <si>
    <t>一</t>
  </si>
  <si>
    <t>智慧场站Ⅲ区系统平台软件及服务内容</t>
  </si>
  <si>
    <t>智慧场站Ⅲ区系统平台及智慧无人值守场站基础部署硬件</t>
  </si>
  <si>
    <t>大数据平台服务器</t>
  </si>
  <si>
    <t>CPU： 2*海光X86CPU 16C 2.0GHz
内存：16* 64GB DDR4 
硬盘：4块1.92TB SSD
          4块12TB 7.2k SATA HDD
          6块2.4TB 10k SAS HDD
RAID: 1*4G 8口 RAID卡
网卡：1*板载双口千兆网口RJ45
      1*双口千兆网口RJ45      
      2*双口万兆电口网卡
电源：冗余电源</t>
  </si>
  <si>
    <t>台</t>
  </si>
  <si>
    <t>海光服务器</t>
  </si>
  <si>
    <t>宇视</t>
  </si>
  <si>
    <t>定制机型，原型机：VS-R6320-B2T</t>
  </si>
  <si>
    <t>CPU: Hygon 5380 (16核32线程，2.5GHz) * 2
内存: 64GB DDR4 * 16，内存插槽数量16个
硬盘: 【2.5寸 SATA SSD】 1.92TB * 4
      【2.5寸 10K SAS】 2.4TB * 6
      【3.5寸 7.2K SATA】 12TB * 4
Raid卡: 8口RAID卡(4G缓存，支持raid0、1、5、6、10、50等) * 1
网口: 1GB 双口千兆电卡 * 1
      1GB 千兆电口（板载） * 2
      10GB 四口万兆光卡（含光模块） * 1
USB: USB 接口 * 4
VGA: VGA接口 * 1
PCI-E插槽: 最大支持6个PCI-E插槽
电源: 800W电源模块 * 2</t>
  </si>
  <si>
    <t>大数据核心交换机</t>
  </si>
  <si>
    <t>24个100M/1/2.5/5/10G以太网端口,4个25G SFP28,2个100G QSFP28,单子卡槽位,PoE++,双电源</t>
  </si>
  <si>
    <t>华为</t>
  </si>
  <si>
    <t>华为（HUAWEI）S5731-S24UN4X2Q核心交换机 24个100M/1/2.5G以太网端口,4个10G SFP+,2个40G QSFP,PoE++ 含单电</t>
  </si>
  <si>
    <t>交换机</t>
  </si>
  <si>
    <t xml:space="preserve">24个10/100/1000BASE-T以太网端口,4个万兆SFP+,2个12GE堆叠口,不含电源) /  80W交流模块（66mm宽外壳，左右风道）*2 </t>
  </si>
  <si>
    <t>华为坤灵25GE上行三层核心交换机S550-24T8Y 24个GE电口+8个25GE光口 双风扇双电源</t>
  </si>
  <si>
    <t>工作站</t>
  </si>
  <si>
    <t>i5-10400/8G/1T/集成显卡/win10 home 64/键鼠/24寸显示器</t>
  </si>
  <si>
    <t>DELL</t>
  </si>
  <si>
    <t>戴尔（DELL）灵越/成就3881 3888 3890 办公家用商用台式电脑主机全套高配 主机+23.8英寸显示器+键鼠_好礼与优惠请咨询客 i5-10400_8G_1T+256G固态_集显</t>
  </si>
  <si>
    <t>大数据基础支撑平台</t>
  </si>
  <si>
    <t>具备设备物联接入、数据存储、数据计算（包括数据流处理及批处理）、数据共享能力，支撑新能源风电、光伏等业务数据的接入需求，实现海量数据的存储计算与分析共享。
1）具备良好的开放性和可扩展性。平台基于开源架构构建，具备可扩展性，能够支持资产扩容需求。
2）具备设备建模能力。具备针对不同设备类型、设备型号建立设备模型的能力，并具备模型的自定义及扩展能力。
3）具备数据存储能力。平台所使用的数据库依托于开源构建，包括关系数据库、Key-Value数据库、时序数据库。
4）具备流处理能力，具备通用数据处理方法的沉淀能力；具备大数据任务调度能力，具备支撑SHELL、SQL、MAPREDUCE等任务类型的能力。
5）具备数据共享能力，具备将系统平台功能以API和SDK的形式开放的能力。</t>
  </si>
  <si>
    <t>套</t>
  </si>
  <si>
    <t>华风</t>
  </si>
  <si>
    <t>场站监视管理及绩效管理</t>
  </si>
  <si>
    <t>1.实时监控实时发电量，实现场站、设备一体化监视。电量透明：统计实际发电量，计算理论应发电量，按客户要求自动计算各原因损失电量，并与计划发电量、设计发电量对比差异；
2）提供场站及发电设备告警监测与历史事件查询、设备数据统计与报表管理、核心数据分析等多业务一体化集中监控支撑。
3）固化行业内风电场绩效常用指标，对风场发电能力智能评估并对损失电量进行分解，实现风场绩效透明
4）智能统计报表：支持场站综合报表、发电量报表、停机记录表、首发故障表、状态明细表、升压站报表、长停风机报表，无故障风场报表等
5）支持展示过去一段时间内单个/多个升压站场站总体的馈线发电量、上网电量、下网电量、场用电量/率、变损和线损指标总体数据
6）完善的告警服务功能支持用户设置简单的弹窗提示方式，或创建复杂的告警通知规则，以适合自己的方式获得提醒，提高告警发生时的响应度</t>
  </si>
  <si>
    <t>风机大部件智能预警诊断系统</t>
  </si>
  <si>
    <t>1）通过风机SCADA数据、CMS振动数据，进行大数据分析可发现风机主轴承、齿轮箱、联轴器、发电机等机械传动链问题，评估部件健康度，及时提出维护与检修建议。
2）对传动链中的关键部件（主轴、齿轮箱和发电机）进行亚健康的识别、诊断及早期故障预警，提前识别故障，避免非计划性停机
3）控制系统预警聚焦风机控制系统，采用风机历史运行数据，基于机器学习以及累计异常检测算法，针对影响风机功率曲线性能的偏航设备、变桨系统以及转矩系统，实现因风机设备性能不佳导致的发电性能跌落告警。
4）降容预警采用风机历史运行数据，运用数据深度挖掘、大数据全面统计分析算法，结合物理特征和环境信息进行风机功率状态判别，涵盖风机主动停机状态识别、风机设备故障停机、电网限电状态、功率非物理性状态识别、以及风机降容状态识别，对风机主控系统设备故障导致的风机降容进行预警，并深度分析风机降容运行的原理，以及导致的风机发电量损失的潜在风险。
5）传感器预警采用风机历史运行数据，基于空间经纬度邻近算法进行目标风机的邻近风机计算选择，基于机器学习的随机森林算法进行环境因素精准回归，基于累计异常算法以及滑动窗口算法对数据残差序列进行异常检测，实现传感器的性能监控以及异常预警。</t>
  </si>
  <si>
    <t>监视管理及绩效管理接入实施</t>
  </si>
  <si>
    <t>数据接入，应用模型配置，功能调试</t>
  </si>
  <si>
    <t>站</t>
  </si>
  <si>
    <t>大部件智能预警诊断配置实施</t>
  </si>
  <si>
    <t>数据接入，模型映射，算法调试，算法优化等</t>
  </si>
  <si>
    <t>全景监测</t>
  </si>
  <si>
    <t>1.一次设备看视频：在各一次设备的巡视点位，在接线图中可直接查看实时视频数据
2.表计看视频：对表计有巡视点位的，可在通过视频直接看表计信息
3.告警看视频：展示巡视过程中产生的告警事件信息，并查看告警过程中的历史视频
4.支持风机结合巡视点位、红外热成像、巡检机器人等技术，实现风机的全景监视，提升运维效率和安全性</t>
  </si>
  <si>
    <t>综合告警</t>
  </si>
  <si>
    <t>打通场站多套辅助系统，整合接入设备告警、巡检告警、周界入侵、火灾告警、异常作业告警等告警数据，指导场站的事件处置及闭环管理。</t>
  </si>
  <si>
    <t>巡检管理</t>
  </si>
  <si>
    <t>1.根据设备工艺、国家法规以及行业协会的巡检标准，编制设备巡检检查工作的步骤，包括判断标准、巡检周期以及所需工器具等资料。这些步骤将被纳入巡检标准管理中，以确保设备的正常运行。
2.巡检线路是一组设备或者位置的组合，根据现场设备巡回检查的顺序，定义各种巡回检查路线，确保所有设备被巡检覆盖。
3.根据巡检路线和巡检标准所定义的巡检内容和巡检频率，生成巡检计划，并将其下发至站端数字化边缘平台。数字化边平台随后将巡检计划推送至站端自动巡检系统以执行。
4.场站数据采集系统将站端自动巡检的结果（包括报警、图片和视频）进行采集，并将巡检结果发送至巡检管理应用，以进行巡检结果的展示。
5.可基于巡检计划安排自动生成巡检报告。</t>
  </si>
  <si>
    <t>作业过程监督</t>
  </si>
  <si>
    <t>1.作业实时监督：联动工单与穿戴设备的定位数据、视频数据，实现单场站的作业过程实时监视。以地图与列表的形式，可实现作业过程中，通过穿戴设备进行视频、呼叫、查看历史移动轨迹操作。
2.作业质量追溯：实现历史已作业工单的视频回看，追溯历史工作中的详细作业视频记录。
3.轨迹管理：人车定位及轨迹管理。</t>
  </si>
  <si>
    <t>智慧场站管理系统部署调试</t>
  </si>
  <si>
    <t>智慧场站管理系统部署实施服务</t>
  </si>
  <si>
    <t>项</t>
  </si>
  <si>
    <t>智慧场站应用模块接入实施</t>
  </si>
  <si>
    <t>智慧场站应用数据接入，模型映射，算法调试等</t>
  </si>
  <si>
    <t>二</t>
  </si>
  <si>
    <t>场站端采集软硬件、智能化装备及服务内容</t>
  </si>
  <si>
    <t>数据采集软硬件及实施服务</t>
  </si>
  <si>
    <t>数据采集装置</t>
  </si>
  <si>
    <t>CPU：国产海光CPU  不小于8核 主频不小于2.5GHz
内存：1 * 32GB DDR4 
硬盘：3 * 2.4T 10K SAS HDD
RAID卡:1 * 8口 RAID卡，支持raid0/1/5
网卡：1 * 板载千兆双口网卡
1 * 四口千兆以太网卡
双电源</t>
  </si>
  <si>
    <t>国产化服务器-32G内存</t>
  </si>
  <si>
    <t>VS-R3212S-AM@DZ-32G</t>
  </si>
  <si>
    <t>国产化服务器-32G内存
处理器：1*Hygon 3350 (8核16线程，3.0GHz) ；处理器类型：海光；
内存：1*32GB；内存插槽数：4个；
标配硬盘：1*【3.5寸 7.2K SATA】 8TB；硬盘扩展：4个3.5英寸硬盘槽位
RAID卡：可选配支持RAID0、1、10、5、50、6、60等
GPU卡：支持2张 单宽半高半长GPU卡（如T4） 
管理网口：1*GE；业务网口：2*GE；PCI-E插槽：2个；
视频输出接口：1个后置VGA接口；USB接口：2个前置USB接口+2个后置USB接口；
电源功率：500W；电源输入：AC:110V/220V
主机尺寸：432*554*43.5（单位mm,宽*深*高）；机柜要求：机柜深度≥0.8m；满配重量：&lt;20kg
工作环境温度：5℃～35℃；工作环境湿度：20%～80%，无冷凝</t>
  </si>
  <si>
    <t xml:space="preserve"> </t>
  </si>
  <si>
    <t>操作系统及探针</t>
  </si>
  <si>
    <t>国产操作系统及探针</t>
  </si>
  <si>
    <t>统信</t>
  </si>
  <si>
    <t>统信UOS桌面高级服务器操作系统专业版统信统信桌面系统专业版V20</t>
  </si>
  <si>
    <t>I、II区防火墙</t>
  </si>
  <si>
    <t>2*GE RJ45 + 8*GE COMBO + 2*10GE SFP+,1交流电源,含SSL VPN 100用户)，额外60W 交流电源模块</t>
  </si>
  <si>
    <t>华为 HiSecEngine USG6309E-AC</t>
  </si>
  <si>
    <t>正向隔离</t>
  </si>
  <si>
    <t>百兆正向隔离</t>
  </si>
  <si>
    <t>科东</t>
  </si>
  <si>
    <t>北京科东（StoneWall-2000系列）</t>
  </si>
  <si>
    <t>机柜</t>
  </si>
  <si>
    <t>标准服务器机柜800*1000*2000、1块托盘，2块PDU单元</t>
  </si>
  <si>
    <t>面</t>
  </si>
  <si>
    <t>图腾</t>
  </si>
  <si>
    <t>图腾G2/G3 网络设备机柜 服务器机柜 42U 加厚19英寸标准机柜 2米机柜 G36642（600*600*42U）网孔门 图腾G38042（800*1000*2000mm）</t>
  </si>
  <si>
    <t>场站端数据采集边缘计算软件</t>
  </si>
  <si>
    <t>数据采集软件</t>
  </si>
  <si>
    <t>预估</t>
  </si>
  <si>
    <t>场站端数据采集实施服务</t>
  </si>
  <si>
    <t>点表配置、数据核对，设备上架，控制联调</t>
  </si>
  <si>
    <t>场站端智慧化设备数据接入</t>
  </si>
  <si>
    <t>智慧场站管理系统数据接入调试服务</t>
  </si>
  <si>
    <t>场站端接口开放协调</t>
  </si>
  <si>
    <t>场站端系统需接入到集控和智慧场站管理系统的第三方系统接口协调开放工作(含远动机)</t>
  </si>
  <si>
    <t>场站端辅助数据采集实施服务</t>
  </si>
  <si>
    <t>场站端除本次提供的系统以外的第三方系统接入集控综合告警展示实施配置服务</t>
  </si>
  <si>
    <t>系统</t>
  </si>
  <si>
    <t>场站端智能化装备及服务</t>
  </si>
  <si>
    <t>智能安防</t>
  </si>
  <si>
    <t>2.1.1</t>
  </si>
  <si>
    <t>智能门禁子系统</t>
  </si>
  <si>
    <t>生物信息采集仪</t>
  </si>
  <si>
    <t>7寸桌面式采集仪(IC卡)</t>
  </si>
  <si>
    <t>ET-873B-TM@R</t>
  </si>
  <si>
    <t xml:space="preserve">7寸桌面式采集仪(IC卡)
屏幕尺寸:7英寸（竖屏）
屏幕分辨率:600*1024
内置读卡器:内置IC卡读卡器
录入模式:支持自动录入、手动录入、底图更新三种录入模式
本机记录容量:10万(不带图)
</t>
  </si>
  <si>
    <t>人脸门禁一体机（双门）</t>
  </si>
  <si>
    <t>7寸智能门禁一体机(触摸屏,IC卡)</t>
  </si>
  <si>
    <t>ET-575B-HM@S</t>
  </si>
  <si>
    <t xml:space="preserve">7寸智能门禁一体机(触摸屏,IC卡)
屏幕尺寸:7英寸触摸屏
屏幕分辨率:600×1024
触摸屏:支持
屏幕比例:9:16
外壳:前壳塑胶+后壳石墨烯
尺寸(宽*厚*高):126.2m*25.5mm*225.1mm
防水等级:IP65
使用环境:室内、室外
安装方式:壁装、86盒安装
内置读卡器:内置IC卡读卡器
IO:2路告警输入、1路告警输出
串口:1路（RS485）
最大库容:15000
卡号最大库容:15000
多人员库管理:支持最多 16 个人员库
本机记录容量:100000条事件记录（不含图片）
</t>
  </si>
  <si>
    <t>门禁-开门按钮（双门）</t>
  </si>
  <si>
    <t>只</t>
  </si>
  <si>
    <t>塑料开门按钮</t>
  </si>
  <si>
    <t>EP-GP3</t>
  </si>
  <si>
    <t xml:space="preserve">塑料开门按钮
材质:塑料外壳
尺寸:86*86*30mm
接点输出:NO/COM接点
使用环境:工作温度：-10℃~+55℃， 工作湿度：10%~90%
重量:0.055KG
</t>
  </si>
  <si>
    <t>遮阳罩（双门）</t>
  </si>
  <si>
    <t>575遮阳罩</t>
  </si>
  <si>
    <t>EP-CS575</t>
  </si>
  <si>
    <t xml:space="preserve">575遮阳罩
外壳:PC
尺寸:130.5mm*55mm*70.1mm
安装方式:背胶
重量:59g
使用环境:室内、室外
</t>
  </si>
  <si>
    <t>门禁开关电源（双门）</t>
  </si>
  <si>
    <t>DC12V/24W电源适配器(裸线,国内版)</t>
  </si>
  <si>
    <t>PWR-DC1202-A-NB</t>
  </si>
  <si>
    <t xml:space="preserve">DC12V/24W电源适配器(裸线,国内版)
输入:100-240V~50/60Hz，最大0.7A
输出:12V/2.0A
工作环境:-40℃~45℃(-40°F ~ 113°F)，≤90%RH（无冷凝）
安装方式:桌面式
</t>
  </si>
  <si>
    <t>磁力锁（双门）</t>
  </si>
  <si>
    <t>把</t>
  </si>
  <si>
    <t>双门双线磁力锁280KG</t>
  </si>
  <si>
    <t>EA-ML23-280</t>
  </si>
  <si>
    <t xml:space="preserve">双门双线磁力锁280KG
工作电压:DC12V/DC24V
承受拉力:250KG*2±10%
工作电流:500mA*2/250mA*2
材质:高强铝合金
尺寸:锁体：长500.0x宽47.7x厚27.5(mm)；吸板：长180.0x宽38.0x厚11.7(mm)
安全类型:断电开门
</t>
  </si>
  <si>
    <t>磁力锁配件（双门）</t>
  </si>
  <si>
    <t>单门磁力锁ZL型支架</t>
  </si>
  <si>
    <t>EA-MS13-280ZL</t>
  </si>
  <si>
    <t xml:space="preserve">单门磁力锁ZL型支架
材质:高强铝合金
尺寸:Z支架：长180x宽50x厚50(mm)*2；L支架：长250x宽48x厚28(mm)
</t>
  </si>
  <si>
    <t>2.1.2</t>
  </si>
  <si>
    <t>周界防护电子围栏</t>
  </si>
  <si>
    <t>双防区脉冲主机</t>
  </si>
  <si>
    <t>广拓</t>
  </si>
  <si>
    <t>G5P211V4.0</t>
  </si>
  <si>
    <t>电子围栏室外设备箱</t>
  </si>
  <si>
    <t>FYX-SS-02</t>
  </si>
  <si>
    <t>报警软件（含主机+键盘）</t>
  </si>
  <si>
    <t>A7-256Bi-C V4.0</t>
  </si>
  <si>
    <t>轻智能警戒网络摄像机</t>
  </si>
  <si>
    <t>周界相机</t>
  </si>
  <si>
    <t>400万双光警戒筒型网络摄像机</t>
  </si>
  <si>
    <t>IPC-L244-FW@PEKF40</t>
  </si>
  <si>
    <t>400万双光警戒筒型网络摄像机
采用400万像素，1/2.7" 传感器靶面尺寸，最高分辨率2560*1440
采用定焦镜头，镜头焦距为4.0 mm，光圈大小为F1.6
最低照度：0.003ux（F1.6 AGC ON）;0lux(开启红外)
支持红外补光，暖光补光，智能双光；补光距离：红外补光50m，暖光补光30m
支持数字宽动态；支持2D降噪,3D降噪；支持强光抑制；支持手动,自动白平衡；支持手动,自动增益；
支持超级265,H.265,H.264,MJPEG视频编码格式；支持G.711A、G.711U音频编码格式；支持ONVIF,API,GB/T 28181等协议；
支持人脸检测；支持周界布防；
人脸检测：支持
周界布防：越界检测、区域入侵（人车分类）
SD卡扩展：Micro SD插槽*1,最大支持512GB；
内置Mic：1个；内置扬声器：1个
音频输入：1路音频输入；输入口：阻抗35KΩ，幅值2V[p-p]；音频输出：1路音频输出；输出口：阻抗600Ω，幅值2V[p-p]；报警输入：1入；报警输出：1出
网络接口：RJ45 10M/100M自适应以太网电口；
供电方式：DC12V±25%|POE(IEEE802.3af)；最大功耗：功耗：≤6.0W
防护等级：IP67；</t>
  </si>
  <si>
    <t>支架</t>
  </si>
  <si>
    <t>周界相机支架</t>
  </si>
  <si>
    <t>筒机/枪机壁装支架</t>
  </si>
  <si>
    <t>TR-WM06-G</t>
  </si>
  <si>
    <t xml:space="preserve">筒机/枪机壁装支架
使用环境:室内、室外
尺寸:199mm x 58mm x 74mm(7.8”x 2.3”x 2.9”)
重量:151g(033lb)
材质:铝合金
使用范围:筒机壁装
</t>
  </si>
  <si>
    <t>辅材、立杆等</t>
  </si>
  <si>
    <t>楚能</t>
  </si>
  <si>
    <t>日常智能巡检设备</t>
  </si>
  <si>
    <t>2.2.1</t>
  </si>
  <si>
    <t>升压站智能巡检</t>
  </si>
  <si>
    <t>2.2.1.1</t>
  </si>
  <si>
    <t>可见光巡视子系统</t>
  </si>
  <si>
    <t>PTZ小球</t>
  </si>
  <si>
    <t>500万星光深度智能Mini PTZ半球网络摄像机</t>
  </si>
  <si>
    <t>IPC-S645-IR@PAEW-X5-VG</t>
  </si>
  <si>
    <t>500万星光深度智能Mini PTZ半球网络摄像机
像素500万，传感器靶面：1/2.7"，最高分辨率：2880*1620；
焦距：2.7 mm ~ 13.5 mm，支持5x光学变倍；
最低照度检验：0.002lux（F1.6，AGC ON，彩色）
0.001lux（F1.6，AGC ON，黑白）
信噪比：&gt;56dB
支持三码流，主码流：2880*1620，2560*1440，2304*1296，1920*1080，1280*720，720*576，640*360；
辅码流：1280*720，720*576，640*360；
第三流：720*576，704*288，640*360，352*288
水平视场角：103.72°(W)~31.21°(T)，垂直视场角：53.49°(W)~17.54°(T)
水平范围：0° ~ 350°旋转，垂直范围：0°~+90°，水平最高转速：60°/s，水平最低转速：0.1°/s，垂直最高转速：50°/s，垂直最低转速：0.1°/s 
人脸检测能力：支持效果优先、速度优先、周期优选三种人脸抓拍优选模式，支持人脸角度过滤，支持人数统计
透雾：自适应透雾
加密芯片：不支持（预留可定制GB 35114-2017  A级）
音频输入：1入，音频输出：1出，报警输入：1入，报警输出：1出；
网络接口：RJ45 10M/100M自适应以太网电口，串口：1路RS485串口(防护等级6000V)，SD卡扩展：Micro SD插槽*1,最大支持512GB
网络协议：IPv4|IPv6|TLS1.2|TLS1.3|L2TP|ARP|TCP|UDP|DHCP|PPPoE|RTP|RTSP|DNS|DDNS|NTP|FTP|UPnP|HTTP|SNMP|SIP|802.1X|HTTPS|RTCP|RTMP|IGMP|ICMP
供电方式：DC12V±25%|POE(IEEE802.3at)，电源接口：5.5 mm圆孔接口，电源返送：支持（DC12V，100mA），
工作温度：-10℃~50℃，工作湿度：5%~95%RH(无冷凝)</t>
  </si>
  <si>
    <t>PTZ小球（吊装）</t>
  </si>
  <si>
    <t>球机吊装杆200</t>
  </si>
  <si>
    <t>TR-SE45-IN</t>
  </si>
  <si>
    <t xml:space="preserve">球机吊装杆200
使用环境:室内、室外
尺寸:Φ59mmx226mm(Φ2.3” x8.9”)
重量:0.42kg(0.9lb)
材质:铝合金
使用范围:半球、球机吊装
</t>
  </si>
  <si>
    <t>电源适配器系列</t>
  </si>
  <si>
    <t>POE供电</t>
  </si>
  <si>
    <t>包含</t>
  </si>
  <si>
    <t>2.2.1.2</t>
  </si>
  <si>
    <t>热成像巡视子系统</t>
  </si>
  <si>
    <t>双光谱测温MINI云台</t>
  </si>
  <si>
    <t xml:space="preserve"> 双光谱热成像球型网络摄像机</t>
  </si>
  <si>
    <t>TIC6422-IR@TP-F7-4F6-CA-VD2</t>
  </si>
  <si>
    <t xml:space="preserve">7mm热像热成像、400w，6mm可见光，支持声光警戒，工业测温
</t>
  </si>
  <si>
    <t>双光谱测温5寸球机</t>
  </si>
  <si>
    <t>2.2.1.3</t>
  </si>
  <si>
    <t>生活区视频摄像子系统</t>
  </si>
  <si>
    <t>200万星光级宽动态红外深度智能PT半球网络摄像机</t>
  </si>
  <si>
    <t>IPC-S642-IR-VG系列</t>
  </si>
  <si>
    <t>200万星光级宽动态红外深度智能PT半球网络摄像机
像素200万，传感器靶面：1/2.7"，最高分辨率：1920*1080；
焦距：4.0 mm ~ 8.0 mm，支持2X光学变倍；
最低照度检验：0.003lux(F1.6 AGC ON,彩色)
0.002lux（F1.6，AGC ON，黑白）
信噪比：&gt;52dB
支持三码流，主码流：1920*1080，1280*720，720*576，640*360；
辅码流：1280*720，720*576，640*360；
第三流：720*576，704*288，640*360，352*288
水平视场角：93.4°（W)~ 42.5°（T)，垂直视场角：47.9°（W)~ 22.5°（T)
水平范围：0° ~ 350°旋转，垂直范围：0°~90°，水平最高转速：60，水平最低转速：0.1，垂直最高转速：50，垂直最低转速：0.1 
人脸检测能力：支持效果优先、速度优先、周期优选三种人脸抓拍优选模式，支持人脸角度过滤，支持人数统计
透雾：自适应透雾
加密芯片：不支持（预留可定制GB 35114-2017  A级）
报警输入：1入，报警输出：1出；
网络接口：RJ45 10M/100M自适应以太网电口，串口：1路RS485串口(防护等级6000V)，SD卡扩展：Micro SD插槽*1,最大支持512GB
网络协议：TLS1.3|IPv6|L2TP|IPv4|ARP|TCP|UDP|PPPoE|DHCP|RTP|RTSP|DNS|DDNS|NTP|FTP|UPnP|HTTP|SNMP|802.1X|SIP|HTTPS|RTCP|RTMP|IGMP|ICMP
供电方式：DC12V±25%|POE(IEEE802.3at)，电源接口：φ5.5mm圆口，
工作温度：-10℃~50℃，工作湿度：5%~95%RH(无冷凝)
防水防尘：IP54</t>
  </si>
  <si>
    <t>视频监控工作站</t>
  </si>
  <si>
    <t>嵌入式硬盘录像机</t>
  </si>
  <si>
    <t>8盘位32路网络视频录像机</t>
  </si>
  <si>
    <t>NVR-B300-E8@32-X</t>
  </si>
  <si>
    <t>8盘位32路网络视频录像机
IPC接入数：32路；
接入带宽：320Mbps，转发带宽：160Mbps；
存储接口：8盘位，硬盘容量：每个接口均支持500GB/1TB/2TB/3TB/4TB/5TB/6TB/8TB/10TB/12TB/14TB/16TB/18TB/20TB/22TB/24TB 等容量硬盘（最大硬盘容量受环境温度限制，使用温度建议不超过40℃）；
解码能力：相机分辨率（每个通道）的长度不能超过8192像素，宽度不能超过4096像素|  VGA/HDMI异源情况下，VGA默认输出，若想使用HDMI单屏最大解码能力，则需要在预览配置界面关闭VGA的通道预览。 解码格式支持：支持超级265（高级模式、基础模式）、H.265、H.264，本地人机解码能力：超级265/H.265： 2 x 16MP@30, 2 x 12MP@30, 4 x 4K@30, 6 x 5MP@30, 8 x 4MP@30, 9 x 4MP(2560*1440)@25, 10 x 3MP@30, 16 x 1080P@30, 32 x 720P@30
H.264：2 x 16MP(4800*2688)@30, 2 x 12MP@30, 2 x 4K@30, 4 x 5MP@30, 6 x 4MP@30, 8 x 3MP@30, 14 x 1080P@30, 30 x 720P@30, 32 x D1
注：超级265/H.265下，9路4MP满显仅支持2560*1440分辨率
,HDMI输出分辨率：4K(3840x2160)/30Hz，1920x1080/60Hz，1920x1080/50Hz，1600x1200/60Hz，1280x1024/60Hz，1280x720/60Hz，1024x768/60Hz，VGA输出分辨率：1920x1080/60Hz，1920x1080/50Hz，1600x1200/60Hz，1280x1024/60Hz，1280x720/60Hz，1024x768/60Hz；
前端智能：人脸检测|人脸比对|车辆检测|深度周界（区域入侵、越界检测、进入区域、离开区域）|入梯检测|高空抛物|双目拼接|枪球联动|热成像（烟火检测、火点检测、温度检测、吸烟检测）|人数统计（人流量统计、人员密度统计）|口罩检测|智能运动检测|混行检测|道路监控，智能接入路数：全通道（每秒最大处理8张图片）（人脸检测、人脸比对、车辆检测、深度周界、热成像、智能运动检测、混行检测、道路监控）；
可接驳符合 ONVIF、RTSP 协议的第三方摄像机，支持国标 GB/T 28181，
实况分屏：VGA: 1/4/6/8/9/16/25/32，
HDMI: 1/4/6/8/9/16/25/32，实况走廊分屏：3/4/5/7/9/10/12/16/32，回放分屏：1/4/9/16，回放走廊分屏：1/3；
回放模式：支持即时回放、普通回放、事件回放、标签回放、智能回放、日志回放、图片回放、外部文件回放，备份模式：支持录像备份、图片备份、回放剪辑备份；
人机同步回放路数：16路；
普通告警：支持虚焦检测|场景变更|运动跟踪|物品遗留|物品搬移|运动检测|人形检测|声音检测|视频丢失|报警输入；
异常告警：支持IP冲突|网络异常|硬盘离线|硬盘异常|非法访问|录像存储空间即将满|录像/抓图异常；
 盘组：支持，冗余存储：支持，阵列模式：RAID 1, 5；
N+1热备：支持；
协议：TCP/IP| P2P| UPnP| NTP| DHCP| PPPoE| HTTP| HTTPS| DNS| DDNS| SNMP| SMTP| 802.1x| IPv6| UNP1.0| UNP2.0；
视频输出接口：支持1个HDMI、1个VGA；HDMI和VGA异源输出；HDMI最高支持4K显示输出（NVR-B300-E8@64-X默认同源，可切换至异源）；报警输入：16路，报警输出：4路；USB：2个USB2.0|1个USB3.0；RCA音频输入：1路，RCA音频输出：1路；
网络接口：2个，RJ45 10M/100M/1000M自适应以太网电口
设备功耗：≤ 25W</t>
  </si>
  <si>
    <t>新增</t>
  </si>
  <si>
    <t>块</t>
  </si>
  <si>
    <t>存储硬盘</t>
  </si>
  <si>
    <t>希捷SkyHawk 6TB硬盘</t>
  </si>
  <si>
    <t>ST6000VX008</t>
  </si>
  <si>
    <t xml:space="preserve">希捷SkyHawk 6TB硬盘
容量:6TB
尺寸:3.5英寸
转速:5400RPM
缓存:256MB
接口类型:SATA
磁盘类型:监控级
</t>
  </si>
  <si>
    <t>光纤环网交换机</t>
  </si>
  <si>
    <t>巢客</t>
  </si>
  <si>
    <t>XL-WS824-SFP+电源</t>
  </si>
  <si>
    <t>网络交换机</t>
  </si>
  <si>
    <t>屏柜</t>
  </si>
  <si>
    <t>800*600*2260</t>
  </si>
  <si>
    <t>升压站进门车牌识别系统</t>
  </si>
  <si>
    <t>4进4出，含直杆4米</t>
  </si>
  <si>
    <t>无簧道闸(默认右向,3秒,4米直杆,含雷达)</t>
  </si>
  <si>
    <t>PKG5501W@LR-ZG-40-A</t>
  </si>
  <si>
    <t xml:space="preserve">无簧道闸(默认右向,3秒,4米直杆,含雷达)
类型:直流无刷
升降时间:2~6秒可调节
升降次数:≥500万次
遥控器功能:开闸、落闸、暂停
防砸雷达:标配
遥控接口:≥30米
包装后重量:40kg
箱体尺寸:300*200*940MM
断电手抬:支持
遇阻返回:支持
车队模式:支持
延时落杆:支持
工作电压:AC 220V ±10%
使用温度:-35℃~80℃
防护等级:IP54
</t>
  </si>
  <si>
    <t>分体道闸</t>
  </si>
  <si>
    <t>3MP定焦竖屏抓拍显示一体机</t>
  </si>
  <si>
    <t>PKC5501@C3-LED42-RG</t>
  </si>
  <si>
    <t xml:space="preserve">3MP定焦竖屏抓拍显示一体机
分辨率:2304*1296
光圈:F1.6
镜头类型:6mm定焦镜头
视频压缩格式:H.265，H.264
协议对接:支持Onvif、GB/T28181、GA/T1400、HTTP、MQTT
显示字数:两列四字
屏显颜色:红黄绿三色
音频:内置喇叭，支持万能语音播报
智能识别:支持车牌识别、车型识别、车标识别、车款识别、车身颜色、车牌颜色识别
屏尺寸:152mm*304mm
灯珠数量:6颗
角度:30°
色温:3000-3500K
灯颜色:暖光
开关量:2路输出，2路输入
RS485:1路
网口:RJ45*2
电源:AC 220V
尺寸:宽200mm*厚165mm*高1380mm
安装方式:落地安装
防护等级:IP54
工作环境:-20~50℃
</t>
  </si>
  <si>
    <t>2.2.1.4</t>
  </si>
  <si>
    <t>动环辅控管理子系统</t>
  </si>
  <si>
    <t>温湿度传感器</t>
  </si>
  <si>
    <t>万慧通</t>
  </si>
  <si>
    <t>THS-E10</t>
  </si>
  <si>
    <t>动环物联网关</t>
  </si>
  <si>
    <t>磐能</t>
  </si>
  <si>
    <t>YPN1527</t>
  </si>
  <si>
    <t>2.2.2</t>
  </si>
  <si>
    <t>风机智能巡检</t>
  </si>
  <si>
    <t>2.2.2.1</t>
  </si>
  <si>
    <t>双目热成像测温半球</t>
  </si>
  <si>
    <t>热成像双光谱海螺半球网络摄像机</t>
  </si>
  <si>
    <t>TIC-S3612-IR@P-F2-4F3-CA-VD1</t>
  </si>
  <si>
    <t>热成像双光谱海螺半球网络摄像机
支持可见光和热成像双通道画面，支持单IP双通道技术
可见光通道：采用400万像素，1/2.9"传感器靶面尺寸，最高分辨率2688*1520；镜头焦距为2.6mm ，
热成像通道：像元尺寸为12μm；热成像焦距为2.1mm；原始分辨率256*192；最高分辨率960P；光谱范围为8μm~14μm
可见光水平视场角108.47°，垂直视场角70.65°；热成像视场角：88.8°*63.7°
最低照度：0.003lux(F2.0，AGC ON，彩色)
0.002lux(F2.0，AGC ON，黑白)
支持红外补光；补光距离：30m
支持H.265|H.264|MJPEG视频编码格式；支持G.711A、G.711U音频编码格式；支持ONVIF|GB/T 28181|GA/T 1400|API等协议
支持自动|手动白平衡；支持自动|手动增益；支持背光补偿；支持畸变矫正；支持走廊模式；支持自适应透雾；
支持烟雾检测：可见光支持烟火检测，可识别环境中的烟雾，实现单独或者辅助热成像火点进行告警，提高准确性 
支持双通道周界布防，包括越界检测、区域入侵、进入区域、离开区域； 可见光通道支持机动车、非机动车、行人目标分类检测抓拍及布防 热成像通道支持机动车、行人目标分类检测抓拍及布防
支持火点检测：仅热成像通道支持： 支持检测环境中多个火点，并支持联动报警；  支持多火点检测区域屏蔽功能，支持同时检测10个火点 
火点检测距离：9m（目标尺寸0.1m×0.1m）
吸烟报警：仅热成像通道支持： 支持检测出环境中吸烟行为，并支持联动报警
温度检测：仅热成像通道支持： 支持规则测温，支持以点、线、多边形来设置测温规则，最多支持同时设置12个规则； 支持联动声光告警，告警支持上报平台，告警图片可叠加温度信息； 支持在规则画面中实时显示最高温、最低温和平均温
测温范围：-20℃~150℃，100℃~550℃，两档可选；；测温精度：±8℃或±8%(取大值)；测温工作温度：-20℃~50℃
普通事件（可见光通道）：运动检测|声音检测|遮挡检测|报警输入|报警输出 
普通事件（热成像通道）：声音检测|报警输入|报警输出
内置Mic：1个；内置扬声器：1个
SD卡扩展：Micro SD插槽*1,最大支持512GB；支持SD卡断网缓存补录
音频输入：1路音频输入；输入口：阻抗35KΩ，幅值2V[p-p]；音频输出：1路音频输出；输出口：阻抗600Ω，幅值2V[p-p]；报警输入：2入；报警输出：2出
网络接口：100M电口；串口：RS485(2线)半双工*1；加密芯片：不支持（预留可定制GB 35114-2017  A级）
供电方式：DC12V±25%|POE(IEEE802.3af)；电源接口：5.5 mm圆孔接口；电源防护：防反接|过流保护；输入短路保护；12W
工作温度和湿度：-40℃~70℃；湿度：5%~95%RH(无冷凝)
防护等级：IP67</t>
  </si>
  <si>
    <t>智能消防子系统</t>
  </si>
  <si>
    <t>用户信息传输装置</t>
  </si>
  <si>
    <t>海湾</t>
  </si>
  <si>
    <t>GST-DGNK5000H</t>
  </si>
  <si>
    <t>通讯卡及配件</t>
  </si>
  <si>
    <t>GST-NNET-02H</t>
  </si>
  <si>
    <t>无人机巡检系统（集电线路/叶片智能巡检）</t>
  </si>
  <si>
    <t>无人机巡检硬件</t>
  </si>
  <si>
    <t>含无人机机库套装、保险、存储卡、读卡器、交换机、手持故障追踪仪、机柜及辅材</t>
  </si>
  <si>
    <t>大疆</t>
  </si>
  <si>
    <t>大疆（DJI）无人机Matrice 4TD 机场3 无人值守作业 【含机场3+保险1+总电*6+喊话器+探照灯+4G模块+遥控器+抛投】提货卡</t>
  </si>
  <si>
    <t>无人机系统及部署调试服务</t>
  </si>
  <si>
    <t>无人机软件系统安装、部署调试、设备故障巡检验证</t>
  </si>
  <si>
    <t>场站和智能化装备公共设备</t>
  </si>
  <si>
    <t>双路通用服务器</t>
  </si>
  <si>
    <t>intel双路通用服务器</t>
  </si>
  <si>
    <t>2U通用中端CPU服务器</t>
  </si>
  <si>
    <t>VS-R5320-B2T@N</t>
  </si>
  <si>
    <t>2U通用中端CPU服务器
处理器：2*Intel Xeon 4310 (12核24线程,2.1GHz)；处理器类型：Intel
内存：2*32GB；内存插槽数：16个；
标配硬盘：1*【3.5寸 7.2K SATA】 4TB；硬盘扩展：12个2.5/3.5英寸硬盘槽位；
RAID卡：可选配支持RAID0、1、10、5、50、6、60等；
业务网口：2*GE；PCI-E插槽：3个
USB接口：2个后置USB接口；视频输出接口：1个后置VGA接口；
电源功率：550W（1+1冗余）；电源输入：AC:220V DC:240V；
产品尺寸及安装要求：446*794*87.8（单位mm,宽*深*高）；机柜深度≥1m；满配重量：&lt;35kg；
工作环境：工作环境温度：5℃～45℃；工作环境湿度：20%～80%，无冷凝；</t>
  </si>
  <si>
    <t>表计巡检超脑</t>
  </si>
  <si>
    <t>32路超级智能分析服务器</t>
  </si>
  <si>
    <t>IA5732@PI</t>
  </si>
  <si>
    <t>32路超级智能分析服务器
并发分析性能：设备最大支持接入256路，实时分析32路；
最高支持32路200W视频流实时分析；24路400w视频流实时分析；16路600w、800W视频流实时分析（注：考虑资源占用，同一路视频通道，人像或交通事件类算法和其他算法不可同时启用）；
轮巡分析性能：最高支持256路视频流轮巡分析；
算力：INT8 18T*2
INT4 72T*2
算法（122+算法，任选30种加载使用）：1、通用功能7：绊线人数统计、区域人数统计、区域入侵（支持电瓶车、机动车、非机动车）、人像抓拍/识别、人员数量超限、预置标记检测、越界检测；
2、环境安全23：明火检测、烟雾检测、逃生通道堵塞、物品遗留、物品搬移、鼠患检测、犬类识别（未牵狗绳检测、违规时间遛狗、只抓拍大型犬）、裸土未覆盖检测、物料乱堆放、未盖垃圾桶检测、垃圾桶满溢、暴露垃圾、打包垃圾、充电枪未归位检测、煤气罐检测、灭火器遗失检测、渣土车未盖篷布检测、漏油检测、漏水检测、漏气检测、试纸变色检测、入梯检测（电瓶车）、野生动物入侵检测（野猪、熊类）；
3、人员穿戴安全13：未戴安全帽检测、未穿工作服检测、未穿反光服检测、未戴口罩检测、赤膊检测、未穿厨师服检测、未戴厨师帽检测、未穿安全背带检测、未系安全绳检测、未戴护目镜检测、未戴防护手套检测、未戴防尘/防毒面具检测、长发外露检测；
4、人员行为安全20：睡岗检测、离岗检测、吸烟检测、打电话检测、玩手机检测、跌倒检测、攀高检测、逗留检测、打架检测、人群发散、人员聚集、快速移动检测、多人作业检测、手持刀棍检测、动火离人检测、行人逆行检测、起身检测、单人独处、隔栏传物、逃票检测；
5、车辆安全11：机动车违停、非机动车违停、车辆未清洗检测、园区车辆超速检测、叉车检测、叉车超速检测、车辆进出车位检测、园区出入口车辆抓拍、园区车辆拥堵检测、违规散装加油、工程车辆检测；
6、高速事件21：道路施工检测、车辆拥堵检测、车辆逆行检测、路面积雪检测、交通参数（车流量（辆/min）、平均车速(km/h)、车道时间占有率(%)、车道空间占有率(%)、车头时距(ms)、车头间距(m)、排队长度(m)、交通状态）；
7、城管水利18：路面不洁、路口焚烧、河道漂浮物、共享单车无序停放、违规广告牌、沿街晾晒、游商、出店经营、占道经营、违规撑伞、渣土车检测、地面积水检测、禁区游泳检测、禁止垂钓检测、水体颜色异常检测、排水口排放检测、船只检测、水尺检测（水尺读数、水位超高检测、水位超低检测）；
8、矿山安全10：传送带启停检测、传送带空载检测、煤量状态检测、煤块超大检测、传送带跑偏检测、传送带异物检测、跨越传送带检测、未穿胶鞋检测、未戴矿灯检测、未戴自救器检测；
9、仪器仪表4：LED数值显示器读数识别、单指针压力表读数识别、断路器分和状态识别、屏柜指示灯状态检测；
大模型支持部分算法本地自优化：区域入侵、越界检测、离岗检测、攀高检测、逗留检测 ；
人像布控：人像抓拍,人像布控；人脸库总库容：10W；
告警图片记录：最多支持50w张告警图片（分辨率1080P）；告警小视频记录：最多支持40w条告警短视频（分辨率1080P，视频时长10秒）；
对外开放接口：HTTP|HTTPS|WebSocket；HTTP保活：支持；
内存：24GB DDR4；EMMC容量：64GB；硬盘容量：4TB机械硬盘；
支持丰富的硬件接口：网口：2*GE，RJ45接口；HDMI输出接口：2路；VGA输出接口：1路；USB接口：4个（后面板2个USB 3.0接口，前面板2个USB2.0接口）；RS-232串口：1路；RS-485串口：1路（凤凰端子）；告警输出：10路（凤凰端子）；告警输入：16路（凤凰端子）；音频输出接口：1路；
供电方式：AC100～240V；功耗：＜150W
安装方式及尺寸：机架式安装，外部尺寸要求：44.4mm（高） x 460mm（宽）  x 438mm（深）
工作环境：工作温度：'-10℃~＋50℃；工作湿度：10%~90% 无冷凝</t>
  </si>
  <si>
    <t>AI融合巡检超脑</t>
  </si>
  <si>
    <t>64路超级智能分析服务器</t>
  </si>
  <si>
    <t>IA5764@PI</t>
  </si>
  <si>
    <t>64路超级智能分析服务器
并发分析性能：设备最大支持接入512路，实时分析64路；
最高支持64路200W视频流实时分析；48路400w视频流实时分析；32路600w、800W视频流实时分析（注：考虑资源占用，同一路视频通道，人像或交通事件类算法和其他算法不可同时启用）；
轮巡分析性能：最高支持512路视频流轮巡分析；
算力：INT8 18T*4
INT4 72T*4
算法（122+算法，任选30种加载使用）：1、通用功能7：绊线人数统计、区域人数统计、区域入侵（支持电瓶车、机动车、非机动车）、人像抓拍/识别、人员数量超限、预置标记检测、越界检测；
2、环境安全23：明火检测、烟雾检测、逃生通道堵塞、物品遗留、物品搬移、鼠患检测、犬类识别（未牵狗绳检测、违规时间遛狗、只抓拍大型犬）、裸土未覆盖检测、物料乱堆放、未盖垃圾桶检测、垃圾桶满溢、暴露垃圾、打包垃圾、充电枪未归位检测、煤气罐检测、灭火器遗失检测、渣土车未盖篷布检测、漏油检测、漏水检测、漏气检测、试纸变色检测、入梯检测（电瓶车）、野生动物入侵检测（野猪、熊类）；
3、人员穿戴安全13：未戴安全帽检测、未穿工作服检测、未穿反光服检测、未戴口罩检测、赤膊检测、未穿厨师服检测、未戴厨师帽检测、未穿安全背带检测、未系安全绳检测、未戴护目镜检测、未戴防护手套检测、未戴防尘/防毒面具检测、长发外露检测；
4、人员行为安全20：睡岗检测、离岗检测、吸烟检测、打电话检测、玩手机检测、跌倒检测、攀高检测、逗留检测、打架检测、人群发散、人员聚集、快速移动检测、多人作业检测、手持刀棍检测、动火离人检测、行人逆行检测、起身检测、单人独处、隔栏传物、逃票检测；
5、车辆安全11：机动车违停、非机动车违停、车辆未清洗检测、园区车辆超速检测、叉车检测、叉车超速检测、车辆进出车位检测、园区出入口车辆抓拍、园区车辆拥堵检测、违规散装加油、工程车辆检测；
6、高速事件21：道路施工检测、车辆拥堵检测、车辆逆行检测、路面积雪检测、交通参数（车流量（辆/min）、平均车速(km/h)、车道时间占有率(%)、车道空间占有率(%)、车头时距(ms)、车头间距(m)、排队长度(m)、交通状态）；
7、城管水利18：路面不洁、路口焚烧、河道漂浮物、共享单车无序停放、违规广告牌、沿街晾晒、游商、出店经营、占道经营、违规撑伞、渣土车检测、地面积水检测、禁区游泳检测、禁止垂钓检测、水体颜色异常检测、排水口排放检测、船只检测、水尺检测（水尺读数、水位超高检测、水位超低检测）；
8、矿山安全10：传送带启停检测、传送带空载检测、煤量状态检测、煤块超大检测、传送带跑偏检测、传送带异物检测、跨越传送带检测、未穿胶鞋检测、未戴矿灯检测、未戴自救器检测；
9、仪器仪表4：LED数值显示器读数识别、单指针压力表读数识别、断路器分和状态识别、屏柜指示灯状态检测；
大模型支持部分算法本地自优化：区域入侵、越界检测、离岗检测、攀高检测、逗留检测 ；
人像布控：人像抓拍,人像布控；人脸库总库容：10W；
告警图片记录：最多支持50w张告警图片（分辨率1080P）；告警小视频记录：最多支持40w条告警短视频（分辨率1080P，视频时长10秒）；
对外开放接口：HTTP|HTTPS|WebSocket；HTTP保活：支持；
内存：40GB DDR4；EMMC容量：64GB；硬盘容量：4TB机械硬盘；
支持丰富的硬件接口：网口：2*GE，RJ45接口；HDMI输出接口：2路；VGA输出接口：1路；USB接口：4个（后面板2个USB 3.0接口，前面板2个USB2.0接口）；RS-232串口：1路；RS-485串口：1路（凤凰端子）；告警输出：10路（凤凰端子）；告警输入：16路（凤凰端子）；音频输出接口：1路；
供电方式：AC100～240V；功耗：＜150W
安装方式及尺寸：机架式安装，外部尺寸要求：44.4mm（高） x 460mm（宽）  x 438mm（深）
工作环境：工作温度：'-10℃~＋50℃；工作湿度：10%~90% 无冷凝</t>
  </si>
  <si>
    <t>AI盘</t>
  </si>
  <si>
    <t>集中存储设备</t>
  </si>
  <si>
    <t>满配8t存储</t>
  </si>
  <si>
    <t>36盘位网络存储设备</t>
  </si>
  <si>
    <t>VX1636-EB@V3-U</t>
  </si>
  <si>
    <t>36盘位网络存储设备
磁盘通道数：36，磁盘类型：SATA/SSD，磁盘容量：4TB~24TB
磁盘阵列级别：支持JBOD、RAID 0、1、5、6
支持自动空白盘全局热备、专有热备等多种热备方式
控制器个数：1
CPU处理器：Intel 64位多核处理器，
单控制器内存：8GB，内存类型：DDR4
网络接口：3个千兆以太网接口
4端口2.5Gbps以太网接口（选配）
2端口万兆以太网接口（选配）
4端口万兆以太网接口（选配）支持端口链路聚合、负载均衡，
GB/Onvif接入性能：400路2M、回放40路，媒体流接入协议：GB、onvif，
其他接口：HDMI接口：/，PCI-E插槽：1，串口：1个RS232 RJ45接口，USB接口：2个，后端扩展接口：/，VGA接口：1
外形尺寸（高X宽X深）：175mm X 482mm X583mm （H×W×D）（带面板和挂耳）
电源输入：标配1/最大2，电源输入：交流电源：100V～127V/200V～240V AC；60Hz/50Hz，风扇：9个
推荐工作环境温度：10°C～35°C，工作环境温度：5°C～40°C</t>
  </si>
  <si>
    <t>按需配置</t>
  </si>
  <si>
    <t>西数8TB企业级硬盘</t>
  </si>
  <si>
    <t>0621C0D7</t>
  </si>
  <si>
    <t>HD-WD WUS721208BLE604</t>
  </si>
  <si>
    <t>基础包</t>
  </si>
  <si>
    <t>智慧物联综合管理一体机</t>
  </si>
  <si>
    <t>VMS-U500-H16</t>
  </si>
  <si>
    <t>智慧物联综合管理一体机
智慧物联综合管理一体机融视频、人行、车行、运维、安保、智能等各类管理业务于一体；
支持局域网接入并管理IPC、NVR、AIBox智能分析盒、解码器、人脸门禁、通用门禁、可视对讲设备、出入口设备、巡更设备、消防主机报警、动环主机报警、访客设备、雷达设备、第三方厂商（报警、门禁）设备；
支持云端设备接入：IPC、NVR和人脸门禁；
支持私有协议、GB/T28181国标协议、GA/T1400视图库协议、ONVIF标准协议；
支持实况、回放、轮巡、视图、电视墙、电子地图、语音对讲、语音广播、报警联动等基础功能，还支持门禁控制、访客管理、园区车辆业务、人员管理业务、客流统计、停车管理、报警系统、运维等扩展功能；
设备管理能力
支持第三方厂商报警、门禁、访客机等各类设备对接协议套数
支持IPSAN管理，
转码能力：
国标GB/T28181互联能力：
视图库GA/T1400互联能力：
P2P能力：
支持PC客户端（C/S、B/S）、移动客户端（iOS、Android）；
支持网络容错、负载均衡、多IP设定、安全密码、IP地址过滤；
支持查看服务器状态、设备通道在线情况、在线用户、带宽统计、日志查询等运维统计功能；
采用高性能处理，操作系统：openEuler 22.03-LTS；内存：32GB；系统盘：SSD 128GB；存储盘：SATA x 16
eSATA x 1、miniSaS x 2；
其它硬件接口：视频输出：HDMI x 2、VGA x 1（均暂不支持本地解码）；网络接口：GbE x 4；USB：USB2.0 x 2、USB3.0 x 2；开关量：24进8出；音频口：RCA 1进1出；串口：RS232：RJ45 x 1
RS485：RJ45 x 1；
尺寸（长深高）：533mm x 481.6mm x 131.5 mm；
重量：单电源不带硬盘11.5KG</t>
  </si>
  <si>
    <t>视频监控【含信息总览驾驶舱】</t>
  </si>
  <si>
    <t>路</t>
  </si>
  <si>
    <t>内含</t>
  </si>
  <si>
    <t>视频联网</t>
  </si>
  <si>
    <t>门禁管理</t>
  </si>
  <si>
    <t>门</t>
  </si>
  <si>
    <t>出入口车辆放行管理</t>
  </si>
  <si>
    <t>车道</t>
  </si>
  <si>
    <t>园区人员布控</t>
  </si>
  <si>
    <t>园区人车智能搜索</t>
  </si>
  <si>
    <t>事件处置</t>
  </si>
  <si>
    <t>设备网络管理</t>
  </si>
  <si>
    <t>视频质量诊断</t>
  </si>
  <si>
    <t>巡更管理</t>
  </si>
  <si>
    <t>消防工作台</t>
  </si>
  <si>
    <t>消防设备网管</t>
  </si>
  <si>
    <t>火灾报警监测</t>
  </si>
  <si>
    <t>AR实景</t>
  </si>
  <si>
    <t>AR实景场景数</t>
  </si>
  <si>
    <t>个</t>
  </si>
  <si>
    <t>设备巡检【含隐患排查】</t>
  </si>
  <si>
    <t>智能分析接入数量【表计状态类】</t>
  </si>
  <si>
    <t>红外测温</t>
  </si>
  <si>
    <t>动环监控应用【含智能辅控驾驶舱】</t>
  </si>
  <si>
    <t>AI模型管理</t>
  </si>
  <si>
    <t>软件定制</t>
  </si>
  <si>
    <t>人天</t>
  </si>
  <si>
    <t>报警综合处置</t>
  </si>
  <si>
    <t>视频网络管理</t>
  </si>
  <si>
    <t>三</t>
  </si>
  <si>
    <t>安装调试</t>
  </si>
</sst>
</file>

<file path=xl/styles.xml><?xml version="1.0" encoding="utf-8"?>
<styleSheet xmlns="http://schemas.openxmlformats.org/spreadsheetml/2006/main" xmlns:mc="http://schemas.openxmlformats.org/markup-compatibility/2006" xmlns:xr9="http://schemas.microsoft.com/office/spreadsheetml/2016/revision9" mc:Ignorable="xr9">
  <numFmts count="8">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 "/>
    <numFmt numFmtId="177" formatCode="0.00_);[Red]\(0.00\)"/>
    <numFmt numFmtId="178" formatCode="0.0_);[Red]\(0.0\)"/>
    <numFmt numFmtId="179" formatCode="0.0000_);[Red]\(0.0000\)"/>
  </numFmts>
  <fonts count="26">
    <font>
      <sz val="11"/>
      <color theme="1"/>
      <name val="宋体"/>
      <charset val="134"/>
      <scheme val="minor"/>
    </font>
    <font>
      <sz val="10"/>
      <color theme="1"/>
      <name val="宋体"/>
      <charset val="134"/>
      <scheme val="minor"/>
    </font>
    <font>
      <sz val="10"/>
      <color rgb="FF0070C0"/>
      <name val="宋体"/>
      <charset val="134"/>
      <scheme val="minor"/>
    </font>
    <font>
      <sz val="10"/>
      <color rgb="FF00B0F0"/>
      <name val="宋体"/>
      <charset val="134"/>
      <scheme val="minor"/>
    </font>
    <font>
      <sz val="10"/>
      <name val="宋体"/>
      <charset val="134"/>
      <scheme val="minor"/>
    </font>
    <font>
      <b/>
      <sz val="10"/>
      <color rgb="FFFF0000"/>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
      <color indexed="8"/>
      <name val="宋体"/>
      <charset val="134"/>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0" fillId="2" borderId="5" applyNumberFormat="0" applyFont="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6" applyNumberFormat="0" applyFill="0" applyAlignment="0" applyProtection="0">
      <alignment vertical="center"/>
    </xf>
    <xf numFmtId="0" fontId="12" fillId="0" borderId="6" applyNumberFormat="0" applyFill="0" applyAlignment="0" applyProtection="0">
      <alignment vertical="center"/>
    </xf>
    <xf numFmtId="0" fontId="13" fillId="0" borderId="7" applyNumberFormat="0" applyFill="0" applyAlignment="0" applyProtection="0">
      <alignment vertical="center"/>
    </xf>
    <xf numFmtId="0" fontId="13" fillId="0" borderId="0" applyNumberFormat="0" applyFill="0" applyBorder="0" applyAlignment="0" applyProtection="0">
      <alignment vertical="center"/>
    </xf>
    <xf numFmtId="0" fontId="14" fillId="3" borderId="8" applyNumberFormat="0" applyAlignment="0" applyProtection="0">
      <alignment vertical="center"/>
    </xf>
    <xf numFmtId="0" fontId="15" fillId="4" borderId="9" applyNumberFormat="0" applyAlignment="0" applyProtection="0">
      <alignment vertical="center"/>
    </xf>
    <xf numFmtId="0" fontId="16" fillId="4" borderId="8" applyNumberFormat="0" applyAlignment="0" applyProtection="0">
      <alignment vertical="center"/>
    </xf>
    <xf numFmtId="0" fontId="17" fillId="5" borderId="10" applyNumberFormat="0" applyAlignment="0" applyProtection="0">
      <alignment vertical="center"/>
    </xf>
    <xf numFmtId="0" fontId="18" fillId="0" borderId="11" applyNumberFormat="0" applyFill="0" applyAlignment="0" applyProtection="0">
      <alignment vertical="center"/>
    </xf>
    <xf numFmtId="0" fontId="19" fillId="0" borderId="12" applyNumberFormat="0" applyFill="0" applyAlignment="0" applyProtection="0">
      <alignment vertical="center"/>
    </xf>
    <xf numFmtId="0" fontId="20" fillId="6" borderId="0" applyNumberFormat="0" applyBorder="0" applyAlignment="0" applyProtection="0">
      <alignment vertical="center"/>
    </xf>
    <xf numFmtId="0" fontId="21" fillId="7" borderId="0" applyNumberFormat="0" applyBorder="0" applyAlignment="0" applyProtection="0">
      <alignment vertical="center"/>
    </xf>
    <xf numFmtId="0" fontId="22" fillId="8" borderId="0" applyNumberFormat="0" applyBorder="0" applyAlignment="0" applyProtection="0">
      <alignment vertical="center"/>
    </xf>
    <xf numFmtId="0" fontId="23" fillId="9" borderId="0" applyNumberFormat="0" applyBorder="0" applyAlignment="0" applyProtection="0">
      <alignment vertical="center"/>
    </xf>
    <xf numFmtId="0" fontId="24" fillId="10" borderId="0" applyNumberFormat="0" applyBorder="0" applyAlignment="0" applyProtection="0">
      <alignment vertical="center"/>
    </xf>
    <xf numFmtId="0" fontId="24" fillId="11" borderId="0" applyNumberFormat="0" applyBorder="0" applyAlignment="0" applyProtection="0">
      <alignment vertical="center"/>
    </xf>
    <xf numFmtId="0" fontId="23" fillId="12" borderId="0" applyNumberFormat="0" applyBorder="0" applyAlignment="0" applyProtection="0">
      <alignment vertical="center"/>
    </xf>
    <xf numFmtId="0" fontId="23" fillId="13" borderId="0" applyNumberFormat="0" applyBorder="0" applyAlignment="0" applyProtection="0">
      <alignment vertical="center"/>
    </xf>
    <xf numFmtId="0" fontId="24" fillId="14" borderId="0" applyNumberFormat="0" applyBorder="0" applyAlignment="0" applyProtection="0">
      <alignment vertical="center"/>
    </xf>
    <xf numFmtId="0" fontId="24" fillId="15" borderId="0" applyNumberFormat="0" applyBorder="0" applyAlignment="0" applyProtection="0">
      <alignment vertical="center"/>
    </xf>
    <xf numFmtId="0" fontId="23" fillId="16" borderId="0" applyNumberFormat="0" applyBorder="0" applyAlignment="0" applyProtection="0">
      <alignment vertical="center"/>
    </xf>
    <xf numFmtId="0" fontId="23" fillId="17" borderId="0" applyNumberFormat="0" applyBorder="0" applyAlignment="0" applyProtection="0">
      <alignment vertical="center"/>
    </xf>
    <xf numFmtId="0" fontId="24" fillId="18" borderId="0" applyNumberFormat="0" applyBorder="0" applyAlignment="0" applyProtection="0">
      <alignment vertical="center"/>
    </xf>
    <xf numFmtId="0" fontId="24" fillId="19" borderId="0" applyNumberFormat="0" applyBorder="0" applyAlignment="0" applyProtection="0">
      <alignment vertical="center"/>
    </xf>
    <xf numFmtId="0" fontId="23" fillId="20" borderId="0" applyNumberFormat="0" applyBorder="0" applyAlignment="0" applyProtection="0">
      <alignment vertical="center"/>
    </xf>
    <xf numFmtId="0" fontId="23" fillId="21" borderId="0" applyNumberFormat="0" applyBorder="0" applyAlignment="0" applyProtection="0">
      <alignment vertical="center"/>
    </xf>
    <xf numFmtId="0" fontId="24" fillId="22" borderId="0" applyNumberFormat="0" applyBorder="0" applyAlignment="0" applyProtection="0">
      <alignment vertical="center"/>
    </xf>
    <xf numFmtId="0" fontId="24" fillId="23" borderId="0" applyNumberFormat="0" applyBorder="0" applyAlignment="0" applyProtection="0">
      <alignment vertical="center"/>
    </xf>
    <xf numFmtId="0" fontId="23" fillId="24" borderId="0" applyNumberFormat="0" applyBorder="0" applyAlignment="0" applyProtection="0">
      <alignment vertical="center"/>
    </xf>
    <xf numFmtId="0" fontId="23" fillId="25" borderId="0" applyNumberFormat="0" applyBorder="0" applyAlignment="0" applyProtection="0">
      <alignment vertical="center"/>
    </xf>
    <xf numFmtId="0" fontId="24" fillId="26" borderId="0" applyNumberFormat="0" applyBorder="0" applyAlignment="0" applyProtection="0">
      <alignment vertical="center"/>
    </xf>
    <xf numFmtId="0" fontId="24" fillId="27" borderId="0" applyNumberFormat="0" applyBorder="0" applyAlignment="0" applyProtection="0">
      <alignment vertical="center"/>
    </xf>
    <xf numFmtId="0" fontId="23" fillId="28" borderId="0" applyNumberFormat="0" applyBorder="0" applyAlignment="0" applyProtection="0">
      <alignment vertical="center"/>
    </xf>
    <xf numFmtId="0" fontId="23" fillId="29" borderId="0" applyNumberFormat="0" applyBorder="0" applyAlignment="0" applyProtection="0">
      <alignment vertical="center"/>
    </xf>
    <xf numFmtId="0" fontId="24" fillId="30" borderId="0" applyNumberFormat="0" applyBorder="0" applyAlignment="0" applyProtection="0">
      <alignment vertical="center"/>
    </xf>
    <xf numFmtId="0" fontId="24" fillId="31" borderId="0" applyNumberFormat="0" applyBorder="0" applyAlignment="0" applyProtection="0">
      <alignment vertical="center"/>
    </xf>
    <xf numFmtId="0" fontId="23" fillId="32" borderId="0" applyNumberFormat="0" applyBorder="0" applyAlignment="0" applyProtection="0">
      <alignment vertical="center"/>
    </xf>
    <xf numFmtId="0" fontId="25" fillId="0" borderId="0">
      <alignment vertical="center"/>
    </xf>
    <xf numFmtId="0" fontId="25" fillId="0" borderId="0">
      <alignment vertical="center"/>
    </xf>
  </cellStyleXfs>
  <cellXfs count="40">
    <xf numFmtId="0" fontId="0" fillId="0" borderId="0" xfId="0" applyAlignment="1">
      <alignment vertical="center"/>
    </xf>
    <xf numFmtId="0" fontId="1" fillId="0" borderId="0" xfId="0" applyFont="1" applyFill="1" applyAlignment="1">
      <alignment horizontal="center" vertical="center"/>
    </xf>
    <xf numFmtId="0" fontId="1" fillId="0" borderId="0" xfId="0" applyFont="1" applyFill="1" applyAlignment="1">
      <alignment vertical="center"/>
    </xf>
    <xf numFmtId="0" fontId="1" fillId="0" borderId="0" xfId="0" applyFont="1" applyFill="1" applyAlignment="1">
      <alignment horizontal="center"/>
    </xf>
    <xf numFmtId="0" fontId="1" fillId="0" borderId="0" xfId="0" applyFont="1" applyFill="1" applyAlignment="1">
      <alignment horizontal="left"/>
    </xf>
    <xf numFmtId="0" fontId="1" fillId="0" borderId="0" xfId="0" applyFont="1" applyFill="1" applyAlignment="1">
      <alignment horizontal="left" wrapText="1"/>
    </xf>
    <xf numFmtId="0" fontId="1" fillId="0" borderId="0" xfId="0" applyFont="1" applyFill="1" applyAlignment="1"/>
    <xf numFmtId="176" fontId="1" fillId="0" borderId="0" xfId="0" applyNumberFormat="1" applyFont="1" applyFill="1" applyAlignment="1">
      <alignment horizontal="center"/>
    </xf>
    <xf numFmtId="0" fontId="2" fillId="0" borderId="0" xfId="0" applyFont="1" applyFill="1" applyAlignment="1">
      <alignment horizontal="center" wrapText="1"/>
    </xf>
    <xf numFmtId="0" fontId="1" fillId="0" borderId="1" xfId="0" applyFont="1" applyFill="1" applyBorder="1" applyAlignment="1">
      <alignment horizontal="center" vertical="center" wrapText="1"/>
    </xf>
    <xf numFmtId="0" fontId="1" fillId="0" borderId="1" xfId="0" applyFont="1" applyFill="1" applyBorder="1" applyAlignment="1">
      <alignment horizontal="left" vertical="center" wrapText="1"/>
    </xf>
    <xf numFmtId="0" fontId="2" fillId="0" borderId="1" xfId="0" applyFont="1" applyFill="1" applyBorder="1" applyAlignment="1">
      <alignment horizontal="center" vertical="center" wrapText="1"/>
    </xf>
    <xf numFmtId="0" fontId="1" fillId="0" borderId="1" xfId="0" applyFont="1" applyFill="1" applyBorder="1" applyAlignment="1">
      <alignment vertical="center" wrapText="1"/>
    </xf>
    <xf numFmtId="2" fontId="1" fillId="0" borderId="1" xfId="0" applyNumberFormat="1" applyFont="1" applyFill="1" applyBorder="1" applyAlignment="1">
      <alignment horizontal="right" vertical="center" wrapText="1"/>
    </xf>
    <xf numFmtId="176" fontId="1" fillId="0" borderId="1" xfId="0" applyNumberFormat="1" applyFont="1" applyFill="1" applyBorder="1" applyAlignment="1">
      <alignment horizontal="center" vertical="center" wrapText="1"/>
    </xf>
    <xf numFmtId="0" fontId="1" fillId="0" borderId="1" xfId="50" applyFont="1" applyFill="1" applyBorder="1" applyAlignment="1">
      <alignment horizontal="center" vertical="center" wrapText="1"/>
    </xf>
    <xf numFmtId="0" fontId="1" fillId="0" borderId="1" xfId="50" applyFont="1" applyFill="1" applyBorder="1" applyAlignment="1">
      <alignment vertical="center" wrapText="1"/>
    </xf>
    <xf numFmtId="38" fontId="1" fillId="0" borderId="1" xfId="50" applyNumberFormat="1" applyFont="1" applyFill="1" applyBorder="1" applyAlignment="1">
      <alignment horizontal="center" vertical="center" wrapText="1"/>
    </xf>
    <xf numFmtId="177" fontId="1" fillId="0" borderId="1" xfId="50" applyNumberFormat="1" applyFont="1" applyFill="1" applyBorder="1" applyAlignment="1">
      <alignment horizontal="center" vertical="center" wrapText="1"/>
    </xf>
    <xf numFmtId="0" fontId="1" fillId="0" borderId="1" xfId="49" applyFont="1" applyFill="1" applyBorder="1" applyAlignment="1">
      <alignment horizontal="left" vertical="center" wrapText="1"/>
    </xf>
    <xf numFmtId="176" fontId="1" fillId="0" borderId="1" xfId="0" applyNumberFormat="1" applyFont="1" applyFill="1" applyBorder="1" applyAlignment="1">
      <alignment horizontal="right" vertical="center" wrapText="1"/>
    </xf>
    <xf numFmtId="177" fontId="1" fillId="0" borderId="1" xfId="0" applyNumberFormat="1" applyFont="1" applyFill="1" applyBorder="1" applyAlignment="1">
      <alignment horizontal="right" vertical="center" wrapText="1"/>
    </xf>
    <xf numFmtId="178" fontId="1" fillId="0" borderId="1" xfId="0" applyNumberFormat="1" applyFont="1" applyFill="1" applyBorder="1" applyAlignment="1">
      <alignment horizontal="right" vertical="center" wrapText="1"/>
    </xf>
    <xf numFmtId="176" fontId="1" fillId="0" borderId="1" xfId="50" applyNumberFormat="1" applyFont="1" applyFill="1" applyBorder="1" applyAlignment="1">
      <alignment horizontal="right" vertical="center" wrapText="1"/>
    </xf>
    <xf numFmtId="177" fontId="1" fillId="0" borderId="1" xfId="50" applyNumberFormat="1" applyFont="1" applyFill="1" applyBorder="1" applyAlignment="1">
      <alignment horizontal="right" vertical="center" wrapText="1"/>
    </xf>
    <xf numFmtId="0" fontId="3" fillId="0" borderId="2" xfId="0" applyFont="1" applyFill="1" applyBorder="1" applyAlignment="1">
      <alignment horizontal="center" vertical="center" wrapText="1"/>
    </xf>
    <xf numFmtId="0" fontId="3" fillId="0" borderId="1" xfId="0" applyFont="1" applyFill="1" applyBorder="1" applyAlignment="1">
      <alignment horizontal="center" vertical="center" wrapText="1"/>
    </xf>
    <xf numFmtId="0" fontId="3" fillId="0" borderId="3" xfId="0" applyFont="1" applyFill="1" applyBorder="1" applyAlignment="1">
      <alignment horizontal="center" vertical="center" wrapText="1"/>
    </xf>
    <xf numFmtId="176" fontId="1" fillId="0" borderId="1" xfId="50" applyNumberFormat="1" applyFont="1" applyFill="1" applyBorder="1" applyAlignment="1">
      <alignment horizontal="center" vertical="center" wrapText="1"/>
    </xf>
    <xf numFmtId="0" fontId="3" fillId="0" borderId="4" xfId="0" applyFont="1" applyFill="1" applyBorder="1" applyAlignment="1">
      <alignment horizontal="center" vertical="center" wrapText="1"/>
    </xf>
    <xf numFmtId="0" fontId="2" fillId="0" borderId="0" xfId="0" applyFont="1" applyFill="1" applyAlignment="1">
      <alignment horizontal="center" vertical="center"/>
    </xf>
    <xf numFmtId="9" fontId="1" fillId="0" borderId="0" xfId="0" applyNumberFormat="1" applyFont="1" applyFill="1" applyAlignment="1">
      <alignment horizontal="center" vertical="center"/>
    </xf>
    <xf numFmtId="0" fontId="4" fillId="0" borderId="1" xfId="49" applyFont="1" applyFill="1" applyBorder="1" applyAlignment="1">
      <alignment horizontal="left" vertical="center" wrapText="1"/>
    </xf>
    <xf numFmtId="179" fontId="1" fillId="0" borderId="1" xfId="50" applyNumberFormat="1" applyFont="1" applyFill="1" applyBorder="1" applyAlignment="1">
      <alignment horizontal="right" vertical="center" wrapText="1"/>
    </xf>
    <xf numFmtId="0" fontId="1" fillId="0" borderId="1" xfId="0" applyFont="1" applyFill="1" applyBorder="1" applyAlignment="1">
      <alignment horizontal="right" wrapText="1"/>
    </xf>
    <xf numFmtId="0" fontId="1" fillId="0" borderId="1" xfId="0" applyFont="1" applyFill="1" applyBorder="1" applyAlignment="1">
      <alignment horizontal="center" vertical="center"/>
    </xf>
    <xf numFmtId="0" fontId="1" fillId="0" borderId="1" xfId="0" applyFont="1" applyFill="1" applyBorder="1" applyAlignment="1">
      <alignment horizontal="left" vertical="center"/>
    </xf>
    <xf numFmtId="0" fontId="1" fillId="0" borderId="1" xfId="0" applyFont="1" applyFill="1" applyBorder="1" applyAlignment="1">
      <alignment vertical="center"/>
    </xf>
    <xf numFmtId="176" fontId="1" fillId="0" borderId="1" xfId="0" applyNumberFormat="1" applyFont="1" applyFill="1" applyBorder="1" applyAlignment="1">
      <alignment horizontal="center" vertical="center"/>
    </xf>
    <xf numFmtId="0" fontId="5" fillId="0" borderId="1" xfId="0" applyFont="1" applyFill="1" applyBorder="1" applyAlignment="1">
      <alignment horizontal="center" vertical="center" wrapText="1"/>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3 2" xfId="49"/>
    <cellStyle name="常规 4 2" xfId="50"/>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Y121"/>
  <sheetViews>
    <sheetView tabSelected="1" workbookViewId="0">
      <pane ySplit="2" topLeftCell="A3" activePane="bottomLeft" state="frozen"/>
      <selection/>
      <selection pane="bottomLeft" activeCell="W33" sqref="W33"/>
    </sheetView>
  </sheetViews>
  <sheetFormatPr defaultColWidth="9" defaultRowHeight="22" customHeight="1"/>
  <cols>
    <col min="1" max="1" width="8.225" style="3" customWidth="1"/>
    <col min="2" max="2" width="17.875" style="4" customWidth="1"/>
    <col min="3" max="3" width="38.875" style="4" customWidth="1"/>
    <col min="4" max="4" width="4.125" style="5" customWidth="1"/>
    <col min="5" max="5" width="7.5" style="6" customWidth="1"/>
    <col min="6" max="11" width="2.225" style="7" hidden="1" customWidth="1"/>
    <col min="12" max="12" width="2.225" style="4" hidden="1" customWidth="1"/>
    <col min="13" max="14" width="2.225" style="6" hidden="1" customWidth="1"/>
    <col min="15" max="15" width="6.375" style="6" hidden="1" customWidth="1"/>
    <col min="16" max="16" width="7.25" style="8" customWidth="1"/>
    <col min="17" max="17" width="9" style="8"/>
    <col min="18" max="18" width="11.75" style="8" customWidth="1"/>
    <col min="19" max="19" width="15" style="8" customWidth="1"/>
    <col min="20" max="20" width="7.875" style="8" customWidth="1"/>
    <col min="21" max="21" width="10.225" style="8" customWidth="1"/>
    <col min="22" max="16384" width="9" style="6"/>
  </cols>
  <sheetData>
    <row r="1" customHeight="1" spans="1:21">
      <c r="A1" s="9" t="s">
        <v>0</v>
      </c>
      <c r="B1" s="9" t="s">
        <v>1</v>
      </c>
      <c r="C1" s="9" t="s">
        <v>2</v>
      </c>
      <c r="D1" s="9" t="s">
        <v>3</v>
      </c>
      <c r="E1" s="9" t="s">
        <v>4</v>
      </c>
      <c r="F1" s="9" t="s">
        <v>5</v>
      </c>
      <c r="G1" s="9"/>
      <c r="H1" s="9"/>
      <c r="I1" s="9"/>
      <c r="J1" s="9" t="s">
        <v>6</v>
      </c>
      <c r="K1" s="9"/>
      <c r="L1" s="9"/>
      <c r="M1" s="9"/>
      <c r="N1" s="9" t="s">
        <v>7</v>
      </c>
      <c r="O1" s="10" t="s">
        <v>8</v>
      </c>
      <c r="P1" s="11" t="s">
        <v>9</v>
      </c>
      <c r="Q1" s="11" t="s">
        <v>10</v>
      </c>
      <c r="R1" s="11" t="s">
        <v>11</v>
      </c>
      <c r="S1" s="11" t="s">
        <v>12</v>
      </c>
      <c r="T1" s="11" t="s">
        <v>13</v>
      </c>
      <c r="U1" s="11" t="s">
        <v>7</v>
      </c>
    </row>
    <row r="2" customHeight="1" spans="1:21">
      <c r="A2" s="9"/>
      <c r="B2" s="9"/>
      <c r="C2" s="9"/>
      <c r="D2" s="9"/>
      <c r="E2" s="9"/>
      <c r="F2" s="9" t="s">
        <v>14</v>
      </c>
      <c r="G2" s="9" t="s">
        <v>15</v>
      </c>
      <c r="H2" s="9" t="s">
        <v>16</v>
      </c>
      <c r="I2" s="9" t="s">
        <v>17</v>
      </c>
      <c r="J2" s="9" t="s">
        <v>14</v>
      </c>
      <c r="K2" s="9" t="s">
        <v>15</v>
      </c>
      <c r="L2" s="9" t="s">
        <v>16</v>
      </c>
      <c r="M2" s="9" t="s">
        <v>17</v>
      </c>
      <c r="N2" s="9"/>
      <c r="O2" s="10"/>
      <c r="P2" s="11"/>
      <c r="Q2" s="11"/>
      <c r="R2" s="11"/>
      <c r="S2" s="11"/>
      <c r="T2" s="11"/>
      <c r="U2" s="11"/>
    </row>
    <row r="3" s="1" customFormat="1" customHeight="1" spans="1:21">
      <c r="A3" s="9"/>
      <c r="B3" s="12" t="s">
        <v>18</v>
      </c>
      <c r="C3" s="12"/>
      <c r="D3" s="9"/>
      <c r="E3" s="12"/>
      <c r="F3" s="12"/>
      <c r="G3" s="12"/>
      <c r="H3" s="12"/>
      <c r="I3" s="12"/>
      <c r="J3" s="13"/>
      <c r="K3" s="13"/>
      <c r="L3" s="13"/>
      <c r="M3" s="13"/>
      <c r="N3" s="13"/>
      <c r="O3" s="12"/>
      <c r="P3" s="11"/>
      <c r="Q3" s="11"/>
      <c r="R3" s="11"/>
      <c r="S3" s="11"/>
      <c r="T3" s="11"/>
      <c r="U3" s="11"/>
    </row>
    <row r="4" s="1" customFormat="1" customHeight="1" spans="1:21">
      <c r="A4" s="9"/>
      <c r="B4" s="12" t="s">
        <v>19</v>
      </c>
      <c r="C4" s="12"/>
      <c r="D4" s="9"/>
      <c r="E4" s="12"/>
      <c r="F4" s="12"/>
      <c r="G4" s="12"/>
      <c r="H4" s="12"/>
      <c r="I4" s="12"/>
      <c r="J4" s="13"/>
      <c r="K4" s="13"/>
      <c r="L4" s="13"/>
      <c r="M4" s="13"/>
      <c r="N4" s="13"/>
      <c r="O4" s="12"/>
      <c r="P4" s="11"/>
      <c r="Q4" s="11"/>
      <c r="R4" s="11"/>
      <c r="S4" s="11"/>
      <c r="T4" s="11"/>
      <c r="U4" s="11"/>
    </row>
    <row r="5" s="1" customFormat="1" customHeight="1" spans="1:21">
      <c r="A5" s="9"/>
      <c r="B5" s="12" t="s">
        <v>20</v>
      </c>
      <c r="C5" s="12"/>
      <c r="D5" s="9"/>
      <c r="E5" s="12"/>
      <c r="F5" s="12"/>
      <c r="G5" s="12"/>
      <c r="H5" s="12"/>
      <c r="I5" s="12"/>
      <c r="J5" s="13"/>
      <c r="K5" s="13"/>
      <c r="L5" s="13"/>
      <c r="M5" s="13"/>
      <c r="N5" s="13"/>
      <c r="O5" s="12"/>
      <c r="P5" s="11"/>
      <c r="Q5" s="11"/>
      <c r="R5" s="11"/>
      <c r="S5" s="11"/>
      <c r="T5" s="11"/>
      <c r="U5" s="11"/>
    </row>
    <row r="6" s="1" customFormat="1" customHeight="1" spans="1:21">
      <c r="A6" s="9"/>
      <c r="B6" s="12"/>
      <c r="C6" s="9"/>
      <c r="D6" s="10"/>
      <c r="E6" s="9"/>
      <c r="F6" s="14"/>
      <c r="G6" s="14"/>
      <c r="H6" s="14"/>
      <c r="I6" s="14"/>
      <c r="J6" s="14"/>
      <c r="K6" s="14"/>
      <c r="L6" s="10"/>
      <c r="M6" s="9"/>
      <c r="N6" s="9"/>
      <c r="O6" s="9"/>
      <c r="P6" s="11"/>
      <c r="Q6" s="11"/>
      <c r="R6" s="11"/>
      <c r="S6" s="11"/>
      <c r="T6" s="11"/>
      <c r="U6" s="11"/>
    </row>
    <row r="7" s="1" customFormat="1" customHeight="1" spans="1:21">
      <c r="A7" s="15" t="s">
        <v>21</v>
      </c>
      <c r="B7" s="16" t="s">
        <v>22</v>
      </c>
      <c r="C7" s="16"/>
      <c r="D7" s="15"/>
      <c r="E7" s="17"/>
      <c r="F7" s="18"/>
      <c r="G7" s="18"/>
      <c r="H7" s="18"/>
      <c r="I7" s="18"/>
      <c r="J7" s="18"/>
      <c r="K7" s="18"/>
      <c r="L7" s="18"/>
      <c r="M7" s="18"/>
      <c r="N7" s="18"/>
      <c r="O7" s="9"/>
      <c r="P7" s="11"/>
      <c r="Q7" s="11"/>
      <c r="R7" s="11"/>
      <c r="S7" s="11"/>
      <c r="T7" s="11"/>
      <c r="U7" s="11"/>
    </row>
    <row r="8" s="1" customFormat="1" ht="29" customHeight="1" spans="1:21">
      <c r="A8" s="15">
        <v>1</v>
      </c>
      <c r="B8" s="16" t="s">
        <v>23</v>
      </c>
      <c r="C8" s="16"/>
      <c r="D8" s="15"/>
      <c r="E8" s="17"/>
      <c r="F8" s="18"/>
      <c r="G8" s="18"/>
      <c r="H8" s="18"/>
      <c r="I8" s="18"/>
      <c r="J8" s="18"/>
      <c r="K8" s="18"/>
      <c r="L8" s="18"/>
      <c r="M8" s="18"/>
      <c r="N8" s="18"/>
      <c r="O8" s="9"/>
      <c r="P8" s="11"/>
      <c r="Q8" s="11"/>
      <c r="R8" s="11"/>
      <c r="S8" s="11"/>
      <c r="T8" s="11"/>
      <c r="U8" s="11"/>
    </row>
    <row r="9" s="1" customFormat="1" ht="134" customHeight="1" spans="1:21">
      <c r="A9" s="15">
        <v>1.1</v>
      </c>
      <c r="B9" s="19" t="s">
        <v>24</v>
      </c>
      <c r="C9" s="19" t="s">
        <v>25</v>
      </c>
      <c r="D9" s="9" t="s">
        <v>26</v>
      </c>
      <c r="E9" s="20">
        <v>3</v>
      </c>
      <c r="F9" s="21"/>
      <c r="G9" s="22"/>
      <c r="H9" s="22"/>
      <c r="I9" s="22"/>
      <c r="J9" s="21"/>
      <c r="K9" s="22"/>
      <c r="L9" s="22"/>
      <c r="M9" s="22"/>
      <c r="N9" s="21"/>
      <c r="O9" s="9"/>
      <c r="P9" s="11" t="s">
        <v>27</v>
      </c>
      <c r="Q9" s="11" t="s">
        <v>28</v>
      </c>
      <c r="R9" s="11" t="s">
        <v>29</v>
      </c>
      <c r="S9" s="11" t="s">
        <v>30</v>
      </c>
      <c r="T9" s="11">
        <v>290000</v>
      </c>
      <c r="U9" s="11">
        <f>T9*E9</f>
        <v>870000</v>
      </c>
    </row>
    <row r="10" s="1" customFormat="1" ht="84" customHeight="1" spans="1:21">
      <c r="A10" s="15">
        <v>1.2</v>
      </c>
      <c r="B10" s="19" t="s">
        <v>31</v>
      </c>
      <c r="C10" s="19" t="s">
        <v>32</v>
      </c>
      <c r="D10" s="9" t="s">
        <v>26</v>
      </c>
      <c r="E10" s="20">
        <v>2</v>
      </c>
      <c r="F10" s="21"/>
      <c r="G10" s="22"/>
      <c r="H10" s="22"/>
      <c r="I10" s="22"/>
      <c r="J10" s="21"/>
      <c r="K10" s="22"/>
      <c r="L10" s="22"/>
      <c r="M10" s="22"/>
      <c r="N10" s="21"/>
      <c r="O10" s="9"/>
      <c r="P10" s="11"/>
      <c r="Q10" s="11" t="s">
        <v>33</v>
      </c>
      <c r="R10" s="11"/>
      <c r="S10" s="11" t="s">
        <v>34</v>
      </c>
      <c r="T10" s="11">
        <v>14897</v>
      </c>
      <c r="U10" s="11">
        <f>T10*E10</f>
        <v>29794</v>
      </c>
    </row>
    <row r="11" s="1" customFormat="1" ht="66" customHeight="1" spans="1:21">
      <c r="A11" s="15">
        <v>1.3</v>
      </c>
      <c r="B11" s="19" t="s">
        <v>35</v>
      </c>
      <c r="C11" s="19" t="s">
        <v>36</v>
      </c>
      <c r="D11" s="9" t="s">
        <v>26</v>
      </c>
      <c r="E11" s="20">
        <v>2</v>
      </c>
      <c r="F11" s="21"/>
      <c r="G11" s="22"/>
      <c r="H11" s="22"/>
      <c r="I11" s="22"/>
      <c r="J11" s="21"/>
      <c r="K11" s="22"/>
      <c r="L11" s="22"/>
      <c r="M11" s="22"/>
      <c r="N11" s="21"/>
      <c r="O11" s="9"/>
      <c r="P11" s="11"/>
      <c r="Q11" s="11" t="s">
        <v>33</v>
      </c>
      <c r="R11" s="11"/>
      <c r="S11" s="11" t="s">
        <v>37</v>
      </c>
      <c r="T11" s="11">
        <v>14672</v>
      </c>
      <c r="U11" s="11">
        <f>T11*E11</f>
        <v>29344</v>
      </c>
    </row>
    <row r="12" s="1" customFormat="1" ht="63" customHeight="1" spans="1:21">
      <c r="A12" s="15">
        <v>1.4</v>
      </c>
      <c r="B12" s="19" t="s">
        <v>38</v>
      </c>
      <c r="C12" s="19" t="s">
        <v>39</v>
      </c>
      <c r="D12" s="9" t="s">
        <v>26</v>
      </c>
      <c r="E12" s="20">
        <v>4</v>
      </c>
      <c r="F12" s="21"/>
      <c r="G12" s="22"/>
      <c r="H12" s="22"/>
      <c r="I12" s="22"/>
      <c r="J12" s="21"/>
      <c r="K12" s="22"/>
      <c r="L12" s="22"/>
      <c r="M12" s="22"/>
      <c r="N12" s="21"/>
      <c r="O12" s="9"/>
      <c r="P12" s="11"/>
      <c r="Q12" s="11" t="s">
        <v>40</v>
      </c>
      <c r="R12" s="11"/>
      <c r="S12" s="11" t="s">
        <v>41</v>
      </c>
      <c r="T12" s="11">
        <v>6315</v>
      </c>
      <c r="U12" s="11">
        <f>T12*E12</f>
        <v>25260</v>
      </c>
    </row>
    <row r="13" s="1" customFormat="1" ht="36" customHeight="1" spans="1:21">
      <c r="A13" s="15">
        <v>2</v>
      </c>
      <c r="B13" s="16" t="s">
        <v>22</v>
      </c>
      <c r="C13" s="16"/>
      <c r="D13" s="15"/>
      <c r="E13" s="23"/>
      <c r="F13" s="24"/>
      <c r="G13" s="24"/>
      <c r="H13" s="24"/>
      <c r="I13" s="24"/>
      <c r="J13" s="24"/>
      <c r="K13" s="24"/>
      <c r="L13" s="24"/>
      <c r="M13" s="24"/>
      <c r="N13" s="24"/>
      <c r="O13" s="9"/>
      <c r="P13" s="11"/>
      <c r="Q13" s="11"/>
      <c r="R13" s="11"/>
      <c r="S13" s="11"/>
      <c r="T13" s="11"/>
      <c r="U13" s="11"/>
    </row>
    <row r="14" s="1" customFormat="1" ht="213" customHeight="1" spans="1:21">
      <c r="A14" s="15">
        <v>2.1</v>
      </c>
      <c r="B14" s="10" t="s">
        <v>42</v>
      </c>
      <c r="C14" s="10" t="s">
        <v>43</v>
      </c>
      <c r="D14" s="9" t="s">
        <v>44</v>
      </c>
      <c r="E14" s="20">
        <v>1</v>
      </c>
      <c r="F14" s="21"/>
      <c r="G14" s="22"/>
      <c r="H14" s="22"/>
      <c r="I14" s="22"/>
      <c r="J14" s="21"/>
      <c r="K14" s="22"/>
      <c r="L14" s="22"/>
      <c r="M14" s="22"/>
      <c r="N14" s="21"/>
      <c r="O14" s="9"/>
      <c r="P14" s="11"/>
      <c r="Q14" s="25" t="s">
        <v>45</v>
      </c>
      <c r="R14" s="26"/>
      <c r="S14" s="26"/>
      <c r="T14" s="25">
        <v>1000000</v>
      </c>
      <c r="U14" s="25">
        <f>T14</f>
        <v>1000000</v>
      </c>
    </row>
    <row r="15" s="1" customFormat="1" ht="110" customHeight="1" spans="1:21">
      <c r="A15" s="15">
        <v>2.2</v>
      </c>
      <c r="B15" s="10" t="s">
        <v>46</v>
      </c>
      <c r="C15" s="10" t="s">
        <v>47</v>
      </c>
      <c r="D15" s="9" t="s">
        <v>44</v>
      </c>
      <c r="E15" s="20">
        <v>1</v>
      </c>
      <c r="F15" s="21"/>
      <c r="G15" s="22"/>
      <c r="H15" s="22"/>
      <c r="I15" s="22"/>
      <c r="J15" s="21"/>
      <c r="K15" s="22"/>
      <c r="L15" s="22"/>
      <c r="M15" s="22"/>
      <c r="N15" s="21"/>
      <c r="O15" s="9"/>
      <c r="P15" s="11"/>
      <c r="Q15" s="27"/>
      <c r="R15" s="26"/>
      <c r="S15" s="26"/>
      <c r="T15" s="27"/>
      <c r="U15" s="27"/>
    </row>
    <row r="16" s="1" customFormat="1" ht="36" customHeight="1" spans="1:21">
      <c r="A16" s="15">
        <v>2.3</v>
      </c>
      <c r="B16" s="19" t="s">
        <v>48</v>
      </c>
      <c r="C16" s="10" t="s">
        <v>49</v>
      </c>
      <c r="D16" s="9" t="s">
        <v>44</v>
      </c>
      <c r="E16" s="20">
        <v>1</v>
      </c>
      <c r="F16" s="21"/>
      <c r="G16" s="22"/>
      <c r="H16" s="22"/>
      <c r="I16" s="22"/>
      <c r="J16" s="21"/>
      <c r="K16" s="22"/>
      <c r="L16" s="22"/>
      <c r="M16" s="22"/>
      <c r="N16" s="21"/>
      <c r="O16" s="9"/>
      <c r="P16" s="11"/>
      <c r="Q16" s="27"/>
      <c r="R16" s="26"/>
      <c r="S16" s="26"/>
      <c r="T16" s="27"/>
      <c r="U16" s="27"/>
    </row>
    <row r="17" s="1" customFormat="1" customHeight="1" spans="1:25">
      <c r="A17" s="15">
        <v>2.4</v>
      </c>
      <c r="B17" s="19" t="s">
        <v>50</v>
      </c>
      <c r="C17" s="19" t="s">
        <v>51</v>
      </c>
      <c r="D17" s="9" t="s">
        <v>52</v>
      </c>
      <c r="E17" s="20">
        <v>1</v>
      </c>
      <c r="F17" s="21"/>
      <c r="G17" s="22"/>
      <c r="H17" s="22"/>
      <c r="I17" s="22"/>
      <c r="J17" s="21"/>
      <c r="K17" s="22"/>
      <c r="L17" s="22"/>
      <c r="M17" s="22"/>
      <c r="N17" s="21"/>
      <c r="O17" s="9"/>
      <c r="P17" s="11"/>
      <c r="Q17" s="27"/>
      <c r="R17" s="26"/>
      <c r="S17" s="26"/>
      <c r="T17" s="27"/>
      <c r="U17" s="27"/>
    </row>
    <row r="18" s="1" customFormat="1" customHeight="1" spans="1:25">
      <c r="A18" s="15">
        <v>2.5</v>
      </c>
      <c r="B18" s="19" t="s">
        <v>53</v>
      </c>
      <c r="C18" s="19" t="s">
        <v>54</v>
      </c>
      <c r="D18" s="9" t="s">
        <v>52</v>
      </c>
      <c r="E18" s="20">
        <v>1</v>
      </c>
      <c r="F18" s="21"/>
      <c r="G18" s="22"/>
      <c r="H18" s="22"/>
      <c r="I18" s="22"/>
      <c r="J18" s="21"/>
      <c r="K18" s="22"/>
      <c r="L18" s="22"/>
      <c r="M18" s="22"/>
      <c r="N18" s="21"/>
      <c r="O18" s="9"/>
      <c r="P18" s="11"/>
      <c r="Q18" s="27"/>
      <c r="R18" s="26"/>
      <c r="S18" s="26"/>
      <c r="T18" s="27"/>
      <c r="U18" s="27"/>
    </row>
    <row r="19" s="1" customFormat="1" customHeight="1" spans="1:25">
      <c r="A19" s="15">
        <v>2.6</v>
      </c>
      <c r="B19" s="19" t="s">
        <v>55</v>
      </c>
      <c r="C19" s="19" t="s">
        <v>56</v>
      </c>
      <c r="D19" s="9" t="s">
        <v>44</v>
      </c>
      <c r="E19" s="20">
        <v>1</v>
      </c>
      <c r="F19" s="21"/>
      <c r="G19" s="22"/>
      <c r="H19" s="22"/>
      <c r="I19" s="22"/>
      <c r="J19" s="21"/>
      <c r="K19" s="22"/>
      <c r="L19" s="22"/>
      <c r="M19" s="22"/>
      <c r="N19" s="21"/>
      <c r="O19" s="9"/>
      <c r="P19" s="11"/>
      <c r="Q19" s="27"/>
      <c r="R19" s="26"/>
      <c r="S19" s="26"/>
      <c r="T19" s="27"/>
      <c r="U19" s="27"/>
    </row>
    <row r="20" s="1" customFormat="1" customHeight="1" spans="1:25">
      <c r="A20" s="15">
        <v>2.7</v>
      </c>
      <c r="B20" s="19" t="s">
        <v>57</v>
      </c>
      <c r="C20" s="19" t="s">
        <v>58</v>
      </c>
      <c r="D20" s="9" t="s">
        <v>44</v>
      </c>
      <c r="E20" s="20">
        <v>1</v>
      </c>
      <c r="F20" s="21"/>
      <c r="G20" s="22"/>
      <c r="H20" s="22"/>
      <c r="I20" s="22"/>
      <c r="J20" s="21"/>
      <c r="K20" s="22"/>
      <c r="L20" s="22"/>
      <c r="M20" s="22"/>
      <c r="N20" s="21"/>
      <c r="O20" s="9"/>
      <c r="P20" s="11"/>
      <c r="Q20" s="27"/>
      <c r="R20" s="26"/>
      <c r="S20" s="26"/>
      <c r="T20" s="27"/>
      <c r="U20" s="27"/>
    </row>
    <row r="21" s="1" customFormat="1" customHeight="1" spans="1:25">
      <c r="A21" s="15">
        <v>2.8</v>
      </c>
      <c r="B21" s="19" t="s">
        <v>59</v>
      </c>
      <c r="C21" s="19" t="s">
        <v>60</v>
      </c>
      <c r="D21" s="9" t="s">
        <v>44</v>
      </c>
      <c r="E21" s="20">
        <v>1</v>
      </c>
      <c r="F21" s="21"/>
      <c r="G21" s="22"/>
      <c r="H21" s="22"/>
      <c r="I21" s="22"/>
      <c r="J21" s="21"/>
      <c r="K21" s="22"/>
      <c r="L21" s="22"/>
      <c r="M21" s="22"/>
      <c r="N21" s="21"/>
      <c r="O21" s="9"/>
      <c r="P21" s="11"/>
      <c r="Q21" s="27"/>
      <c r="R21" s="26"/>
      <c r="S21" s="26"/>
      <c r="T21" s="27"/>
      <c r="U21" s="27"/>
    </row>
    <row r="22" s="1" customFormat="1" customHeight="1" spans="1:25">
      <c r="A22" s="15">
        <v>2.9</v>
      </c>
      <c r="B22" s="19" t="s">
        <v>61</v>
      </c>
      <c r="C22" s="19" t="s">
        <v>62</v>
      </c>
      <c r="D22" s="9" t="s">
        <v>44</v>
      </c>
      <c r="E22" s="20">
        <v>1</v>
      </c>
      <c r="F22" s="21"/>
      <c r="G22" s="22"/>
      <c r="H22" s="22"/>
      <c r="I22" s="22"/>
      <c r="J22" s="21"/>
      <c r="K22" s="22"/>
      <c r="L22" s="22"/>
      <c r="M22" s="22"/>
      <c r="N22" s="21"/>
      <c r="O22" s="9"/>
      <c r="P22" s="11"/>
      <c r="Q22" s="27"/>
      <c r="R22" s="26"/>
      <c r="S22" s="26"/>
      <c r="T22" s="27"/>
      <c r="U22" s="27"/>
    </row>
    <row r="23" s="1" customFormat="1" customHeight="1" spans="1:25">
      <c r="A23" s="28">
        <v>2.1</v>
      </c>
      <c r="B23" s="19" t="s">
        <v>63</v>
      </c>
      <c r="C23" s="19" t="s">
        <v>64</v>
      </c>
      <c r="D23" s="9" t="s">
        <v>65</v>
      </c>
      <c r="E23" s="20">
        <v>1</v>
      </c>
      <c r="F23" s="21"/>
      <c r="G23" s="22"/>
      <c r="H23" s="22"/>
      <c r="I23" s="22"/>
      <c r="J23" s="21"/>
      <c r="K23" s="22"/>
      <c r="L23" s="22"/>
      <c r="M23" s="22"/>
      <c r="N23" s="21"/>
      <c r="O23" s="9"/>
      <c r="P23" s="11"/>
      <c r="Q23" s="27"/>
      <c r="R23" s="26"/>
      <c r="S23" s="26"/>
      <c r="T23" s="27"/>
      <c r="U23" s="27"/>
    </row>
    <row r="24" s="1" customFormat="1" customHeight="1" spans="1:25">
      <c r="A24" s="15">
        <v>2.11</v>
      </c>
      <c r="B24" s="19" t="s">
        <v>66</v>
      </c>
      <c r="C24" s="19" t="s">
        <v>67</v>
      </c>
      <c r="D24" s="9" t="s">
        <v>65</v>
      </c>
      <c r="E24" s="20">
        <v>1</v>
      </c>
      <c r="F24" s="21"/>
      <c r="G24" s="22"/>
      <c r="H24" s="22"/>
      <c r="I24" s="22"/>
      <c r="J24" s="21"/>
      <c r="K24" s="22"/>
      <c r="L24" s="22"/>
      <c r="M24" s="22"/>
      <c r="N24" s="21"/>
      <c r="O24" s="9"/>
      <c r="P24" s="11"/>
      <c r="Q24" s="29"/>
      <c r="R24" s="26"/>
      <c r="S24" s="26"/>
      <c r="T24" s="29"/>
      <c r="U24" s="29"/>
    </row>
    <row r="25" s="1" customFormat="1" customHeight="1" spans="1:25">
      <c r="A25" s="15" t="s">
        <v>68</v>
      </c>
      <c r="B25" s="16" t="s">
        <v>69</v>
      </c>
      <c r="C25" s="16"/>
      <c r="D25" s="15"/>
      <c r="E25" s="23"/>
      <c r="F25" s="24"/>
      <c r="G25" s="24"/>
      <c r="H25" s="24"/>
      <c r="I25" s="24"/>
      <c r="J25" s="21"/>
      <c r="K25" s="24"/>
      <c r="L25" s="24"/>
      <c r="M25" s="24"/>
      <c r="N25" s="24"/>
      <c r="O25" s="9"/>
      <c r="P25" s="11"/>
      <c r="Q25" s="11"/>
      <c r="R25" s="11"/>
      <c r="S25" s="11"/>
      <c r="T25" s="11"/>
      <c r="U25" s="11"/>
    </row>
    <row r="26" s="1" customFormat="1" customHeight="1" spans="1:25">
      <c r="A26" s="15">
        <v>1</v>
      </c>
      <c r="B26" s="16" t="s">
        <v>70</v>
      </c>
      <c r="C26" s="16"/>
      <c r="D26" s="15"/>
      <c r="E26" s="23"/>
      <c r="F26" s="24"/>
      <c r="G26" s="24"/>
      <c r="H26" s="24"/>
      <c r="I26" s="24"/>
      <c r="J26" s="24"/>
      <c r="K26" s="24"/>
      <c r="L26" s="24"/>
      <c r="M26" s="24"/>
      <c r="N26" s="24"/>
      <c r="O26" s="9"/>
      <c r="P26" s="11"/>
      <c r="Q26" s="11"/>
      <c r="R26" s="11"/>
      <c r="S26" s="11"/>
      <c r="T26" s="11"/>
      <c r="U26" s="11"/>
    </row>
    <row r="27" s="1" customFormat="1" ht="225" customHeight="1" spans="1:25">
      <c r="A27" s="15">
        <v>1.1</v>
      </c>
      <c r="B27" s="19" t="s">
        <v>71</v>
      </c>
      <c r="C27" s="19" t="s">
        <v>72</v>
      </c>
      <c r="D27" s="9" t="s">
        <v>26</v>
      </c>
      <c r="E27" s="20">
        <v>4</v>
      </c>
      <c r="F27" s="21"/>
      <c r="G27" s="22"/>
      <c r="H27" s="22"/>
      <c r="I27" s="22"/>
      <c r="J27" s="21"/>
      <c r="K27" s="22"/>
      <c r="L27" s="22"/>
      <c r="M27" s="22"/>
      <c r="N27" s="21"/>
      <c r="O27" s="9"/>
      <c r="P27" s="11" t="s">
        <v>73</v>
      </c>
      <c r="Q27" s="11" t="s">
        <v>28</v>
      </c>
      <c r="R27" s="11" t="s">
        <v>74</v>
      </c>
      <c r="S27" s="11" t="s">
        <v>75</v>
      </c>
      <c r="T27" s="30">
        <v>16500</v>
      </c>
      <c r="U27" s="11">
        <f t="shared" ref="U27:U37" si="0">T27*E27</f>
        <v>66000</v>
      </c>
      <c r="V27" s="1" t="s">
        <v>76</v>
      </c>
      <c r="W27" s="1"/>
      <c r="Y27" s="31"/>
    </row>
    <row r="28" s="1" customFormat="1" customHeight="1" spans="1:25">
      <c r="A28" s="15">
        <v>1.2</v>
      </c>
      <c r="B28" s="19" t="s">
        <v>77</v>
      </c>
      <c r="C28" s="19" t="s">
        <v>78</v>
      </c>
      <c r="D28" s="9" t="s">
        <v>44</v>
      </c>
      <c r="E28" s="20">
        <v>4</v>
      </c>
      <c r="F28" s="21"/>
      <c r="G28" s="22"/>
      <c r="H28" s="22"/>
      <c r="I28" s="22"/>
      <c r="J28" s="21"/>
      <c r="K28" s="22"/>
      <c r="L28" s="22"/>
      <c r="M28" s="22"/>
      <c r="N28" s="21"/>
      <c r="O28" s="9"/>
      <c r="P28" s="11"/>
      <c r="Q28" s="11" t="s">
        <v>79</v>
      </c>
      <c r="R28" s="11" t="s">
        <v>80</v>
      </c>
      <c r="S28" s="11"/>
      <c r="T28" s="11">
        <v>8377</v>
      </c>
      <c r="U28" s="11">
        <f t="shared" si="0"/>
        <v>33508</v>
      </c>
    </row>
    <row r="29" s="1" customFormat="1" ht="45" customHeight="1" spans="1:25">
      <c r="A29" s="15">
        <v>1.3</v>
      </c>
      <c r="B29" s="19" t="s">
        <v>35</v>
      </c>
      <c r="C29" s="19" t="s">
        <v>36</v>
      </c>
      <c r="D29" s="9" t="s">
        <v>26</v>
      </c>
      <c r="E29" s="20">
        <v>4</v>
      </c>
      <c r="F29" s="21"/>
      <c r="G29" s="21"/>
      <c r="H29" s="21"/>
      <c r="I29" s="21"/>
      <c r="J29" s="21"/>
      <c r="K29" s="21"/>
      <c r="L29" s="21"/>
      <c r="M29" s="21"/>
      <c r="N29" s="21"/>
      <c r="O29" s="9"/>
      <c r="P29" s="11"/>
      <c r="Q29" s="11" t="s">
        <v>33</v>
      </c>
      <c r="R29" s="11"/>
      <c r="S29" s="11" t="s">
        <v>37</v>
      </c>
      <c r="T29" s="11">
        <v>14672</v>
      </c>
      <c r="U29" s="11">
        <f t="shared" si="0"/>
        <v>58688</v>
      </c>
    </row>
    <row r="30" s="1" customFormat="1" ht="78" customHeight="1" spans="1:25">
      <c r="A30" s="15">
        <v>1.4</v>
      </c>
      <c r="B30" s="19" t="s">
        <v>81</v>
      </c>
      <c r="C30" s="19" t="s">
        <v>82</v>
      </c>
      <c r="D30" s="9" t="s">
        <v>26</v>
      </c>
      <c r="E30" s="20">
        <v>1</v>
      </c>
      <c r="F30" s="21"/>
      <c r="G30" s="22"/>
      <c r="H30" s="22"/>
      <c r="I30" s="22"/>
      <c r="J30" s="21"/>
      <c r="K30" s="22"/>
      <c r="L30" s="22"/>
      <c r="M30" s="22"/>
      <c r="N30" s="21"/>
      <c r="O30" s="9"/>
      <c r="P30" s="11"/>
      <c r="Q30" s="11" t="s">
        <v>33</v>
      </c>
      <c r="R30" s="11"/>
      <c r="S30" s="11" t="s">
        <v>83</v>
      </c>
      <c r="T30" s="11">
        <v>22000</v>
      </c>
      <c r="U30" s="11">
        <f t="shared" si="0"/>
        <v>22000</v>
      </c>
    </row>
    <row r="31" s="1" customFormat="1" customHeight="1" spans="1:25">
      <c r="A31" s="15">
        <v>1.5</v>
      </c>
      <c r="B31" s="10" t="s">
        <v>84</v>
      </c>
      <c r="C31" s="10" t="s">
        <v>85</v>
      </c>
      <c r="D31" s="9" t="s">
        <v>26</v>
      </c>
      <c r="E31" s="20">
        <v>1</v>
      </c>
      <c r="F31" s="21"/>
      <c r="G31" s="22"/>
      <c r="H31" s="22"/>
      <c r="I31" s="22"/>
      <c r="J31" s="21"/>
      <c r="K31" s="22"/>
      <c r="L31" s="22"/>
      <c r="M31" s="22"/>
      <c r="N31" s="21"/>
      <c r="O31" s="9"/>
      <c r="P31" s="11"/>
      <c r="Q31" s="11" t="s">
        <v>86</v>
      </c>
      <c r="R31" s="11"/>
      <c r="S31" s="11" t="s">
        <v>87</v>
      </c>
      <c r="T31" s="11">
        <v>35000</v>
      </c>
      <c r="U31" s="11">
        <f t="shared" si="0"/>
        <v>35000</v>
      </c>
    </row>
    <row r="32" s="1" customFormat="1" customHeight="1" spans="1:25">
      <c r="A32" s="15">
        <v>1.6</v>
      </c>
      <c r="B32" s="19" t="s">
        <v>88</v>
      </c>
      <c r="C32" s="19" t="s">
        <v>89</v>
      </c>
      <c r="D32" s="9" t="s">
        <v>90</v>
      </c>
      <c r="E32" s="20">
        <v>1</v>
      </c>
      <c r="F32" s="21"/>
      <c r="G32" s="21"/>
      <c r="H32" s="21"/>
      <c r="I32" s="21"/>
      <c r="J32" s="21"/>
      <c r="K32" s="21"/>
      <c r="L32" s="21"/>
      <c r="M32" s="21"/>
      <c r="N32" s="21"/>
      <c r="O32" s="9"/>
      <c r="P32" s="11"/>
      <c r="Q32" s="11" t="s">
        <v>91</v>
      </c>
      <c r="R32" s="11"/>
      <c r="S32" s="11" t="s">
        <v>92</v>
      </c>
      <c r="T32" s="11">
        <v>3180</v>
      </c>
      <c r="U32" s="11">
        <f t="shared" si="0"/>
        <v>3180</v>
      </c>
    </row>
    <row r="33" s="1" customFormat="1" ht="36" customHeight="1" spans="1:21">
      <c r="A33" s="15">
        <v>1.7</v>
      </c>
      <c r="B33" s="19" t="s">
        <v>93</v>
      </c>
      <c r="C33" s="19" t="s">
        <v>94</v>
      </c>
      <c r="D33" s="9" t="s">
        <v>52</v>
      </c>
      <c r="E33" s="20">
        <v>1</v>
      </c>
      <c r="F33" s="21"/>
      <c r="G33" s="22"/>
      <c r="H33" s="22"/>
      <c r="I33" s="22"/>
      <c r="J33" s="21"/>
      <c r="K33" s="22"/>
      <c r="L33" s="22"/>
      <c r="M33" s="22"/>
      <c r="N33" s="21"/>
      <c r="O33" s="9"/>
      <c r="P33" s="11"/>
      <c r="Q33" s="26" t="s">
        <v>95</v>
      </c>
      <c r="R33" s="11"/>
      <c r="S33" s="11"/>
      <c r="T33" s="11">
        <v>50000</v>
      </c>
      <c r="U33" s="11">
        <f t="shared" si="0"/>
        <v>50000</v>
      </c>
    </row>
    <row r="34" s="1" customFormat="1" ht="33" customHeight="1" spans="1:21">
      <c r="A34" s="15">
        <v>1.8</v>
      </c>
      <c r="B34" s="19" t="s">
        <v>96</v>
      </c>
      <c r="C34" s="19" t="s">
        <v>97</v>
      </c>
      <c r="D34" s="9" t="s">
        <v>52</v>
      </c>
      <c r="E34" s="20">
        <v>1</v>
      </c>
      <c r="F34" s="21"/>
      <c r="G34" s="22"/>
      <c r="H34" s="22"/>
      <c r="I34" s="22"/>
      <c r="J34" s="21"/>
      <c r="K34" s="22"/>
      <c r="L34" s="22"/>
      <c r="M34" s="22"/>
      <c r="N34" s="21"/>
      <c r="O34" s="9"/>
      <c r="P34" s="11"/>
      <c r="Q34" s="26" t="s">
        <v>95</v>
      </c>
      <c r="R34" s="11"/>
      <c r="S34" s="11"/>
      <c r="T34" s="11">
        <v>10000</v>
      </c>
      <c r="U34" s="11">
        <f t="shared" si="0"/>
        <v>10000</v>
      </c>
    </row>
    <row r="35" s="1" customFormat="1" ht="30" customHeight="1" spans="1:21">
      <c r="A35" s="15">
        <v>1.9</v>
      </c>
      <c r="B35" s="19" t="s">
        <v>98</v>
      </c>
      <c r="C35" s="19" t="s">
        <v>99</v>
      </c>
      <c r="D35" s="9" t="s">
        <v>52</v>
      </c>
      <c r="E35" s="20">
        <v>1</v>
      </c>
      <c r="F35" s="21"/>
      <c r="G35" s="22"/>
      <c r="H35" s="22"/>
      <c r="I35" s="22"/>
      <c r="J35" s="21"/>
      <c r="K35" s="22"/>
      <c r="L35" s="22"/>
      <c r="M35" s="22"/>
      <c r="N35" s="21"/>
      <c r="O35" s="9"/>
      <c r="P35" s="11"/>
      <c r="Q35" s="26" t="s">
        <v>95</v>
      </c>
      <c r="R35" s="11"/>
      <c r="S35" s="11"/>
      <c r="T35" s="11">
        <v>20000</v>
      </c>
      <c r="U35" s="11">
        <f t="shared" si="0"/>
        <v>20000</v>
      </c>
    </row>
    <row r="36" s="1" customFormat="1" ht="39" customHeight="1" spans="1:21">
      <c r="A36" s="28">
        <v>1.1</v>
      </c>
      <c r="B36" s="19" t="s">
        <v>100</v>
      </c>
      <c r="C36" s="19" t="s">
        <v>101</v>
      </c>
      <c r="D36" s="9" t="s">
        <v>52</v>
      </c>
      <c r="E36" s="20">
        <v>1</v>
      </c>
      <c r="F36" s="21"/>
      <c r="G36" s="22"/>
      <c r="H36" s="22"/>
      <c r="I36" s="22"/>
      <c r="J36" s="21"/>
      <c r="K36" s="22"/>
      <c r="L36" s="22"/>
      <c r="M36" s="22"/>
      <c r="N36" s="21"/>
      <c r="O36" s="9"/>
      <c r="P36" s="11"/>
      <c r="Q36" s="26" t="s">
        <v>95</v>
      </c>
      <c r="R36" s="11"/>
      <c r="S36" s="11"/>
      <c r="T36" s="11">
        <v>10000</v>
      </c>
      <c r="U36" s="11">
        <f t="shared" si="0"/>
        <v>10000</v>
      </c>
    </row>
    <row r="37" s="1" customFormat="1" ht="40" customHeight="1" spans="1:21">
      <c r="A37" s="15">
        <v>1.11</v>
      </c>
      <c r="B37" s="19" t="s">
        <v>102</v>
      </c>
      <c r="C37" s="19" t="s">
        <v>103</v>
      </c>
      <c r="D37" s="9" t="s">
        <v>104</v>
      </c>
      <c r="E37" s="20">
        <v>6</v>
      </c>
      <c r="F37" s="21"/>
      <c r="G37" s="22"/>
      <c r="H37" s="22"/>
      <c r="I37" s="22"/>
      <c r="J37" s="21"/>
      <c r="K37" s="22"/>
      <c r="L37" s="22"/>
      <c r="M37" s="22"/>
      <c r="N37" s="21"/>
      <c r="O37" s="9"/>
      <c r="P37" s="11"/>
      <c r="Q37" s="26" t="s">
        <v>95</v>
      </c>
      <c r="R37" s="11"/>
      <c r="S37" s="11"/>
      <c r="T37" s="11">
        <v>20000</v>
      </c>
      <c r="U37" s="11">
        <f t="shared" si="0"/>
        <v>120000</v>
      </c>
    </row>
    <row r="38" s="1" customFormat="1" customHeight="1" spans="1:21">
      <c r="A38" s="15">
        <v>2</v>
      </c>
      <c r="B38" s="16" t="s">
        <v>105</v>
      </c>
      <c r="C38" s="16"/>
      <c r="D38" s="15"/>
      <c r="E38" s="23"/>
      <c r="F38" s="24"/>
      <c r="G38" s="24"/>
      <c r="H38" s="24"/>
      <c r="I38" s="24"/>
      <c r="J38" s="24"/>
      <c r="K38" s="24"/>
      <c r="L38" s="24"/>
      <c r="M38" s="24"/>
      <c r="N38" s="24"/>
      <c r="O38" s="9"/>
      <c r="P38" s="11"/>
      <c r="Q38" s="11"/>
      <c r="R38" s="11"/>
      <c r="S38" s="11"/>
      <c r="T38" s="11"/>
      <c r="U38" s="11"/>
    </row>
    <row r="39" s="1" customFormat="1" customHeight="1" spans="1:21">
      <c r="A39" s="15">
        <v>2.1</v>
      </c>
      <c r="B39" s="16" t="s">
        <v>106</v>
      </c>
      <c r="C39" s="16"/>
      <c r="D39" s="15"/>
      <c r="E39" s="23"/>
      <c r="F39" s="24"/>
      <c r="G39" s="24"/>
      <c r="H39" s="24"/>
      <c r="I39" s="24"/>
      <c r="J39" s="24"/>
      <c r="K39" s="24"/>
      <c r="L39" s="24"/>
      <c r="M39" s="24"/>
      <c r="N39" s="24"/>
      <c r="O39" s="9"/>
      <c r="P39" s="11"/>
      <c r="Q39" s="11"/>
      <c r="R39" s="11"/>
      <c r="S39" s="11"/>
      <c r="T39" s="11"/>
      <c r="U39" s="11"/>
    </row>
    <row r="40" s="1" customFormat="1" customHeight="1" spans="1:21">
      <c r="A40" s="15" t="s">
        <v>107</v>
      </c>
      <c r="B40" s="16" t="s">
        <v>108</v>
      </c>
      <c r="C40" s="16"/>
      <c r="D40" s="15"/>
      <c r="E40" s="23"/>
      <c r="F40" s="24"/>
      <c r="G40" s="24"/>
      <c r="H40" s="24"/>
      <c r="I40" s="24"/>
      <c r="J40" s="24"/>
      <c r="K40" s="24"/>
      <c r="L40" s="24"/>
      <c r="M40" s="24"/>
      <c r="N40" s="24"/>
      <c r="O40" s="9"/>
      <c r="P40" s="11"/>
      <c r="Q40" s="11"/>
      <c r="R40" s="11"/>
      <c r="S40" s="11"/>
      <c r="T40" s="11"/>
      <c r="U40" s="11"/>
    </row>
    <row r="41" s="1" customFormat="1" customHeight="1" spans="1:21">
      <c r="A41" s="15"/>
      <c r="B41" s="19" t="s">
        <v>109</v>
      </c>
      <c r="C41" s="19"/>
      <c r="D41" s="9" t="s">
        <v>26</v>
      </c>
      <c r="E41" s="20">
        <v>1</v>
      </c>
      <c r="F41" s="21"/>
      <c r="G41" s="22"/>
      <c r="H41" s="22"/>
      <c r="I41" s="22"/>
      <c r="J41" s="21"/>
      <c r="K41" s="22"/>
      <c r="L41" s="22"/>
      <c r="M41" s="22"/>
      <c r="N41" s="21"/>
      <c r="O41" s="9"/>
      <c r="P41" s="11" t="s">
        <v>110</v>
      </c>
      <c r="Q41" s="11" t="s">
        <v>28</v>
      </c>
      <c r="R41" s="11" t="s">
        <v>111</v>
      </c>
      <c r="S41" s="11" t="s">
        <v>112</v>
      </c>
      <c r="T41" s="11">
        <v>1110</v>
      </c>
      <c r="U41" s="11">
        <f t="shared" ref="U41:U47" si="1">T41*E41</f>
        <v>1110</v>
      </c>
    </row>
    <row r="42" s="1" customFormat="1" customHeight="1" spans="1:21">
      <c r="A42" s="15"/>
      <c r="B42" s="19" t="s">
        <v>113</v>
      </c>
      <c r="C42" s="19"/>
      <c r="D42" s="9" t="s">
        <v>26</v>
      </c>
      <c r="E42" s="20">
        <v>9</v>
      </c>
      <c r="F42" s="21"/>
      <c r="G42" s="22"/>
      <c r="H42" s="22"/>
      <c r="I42" s="22"/>
      <c r="J42" s="21"/>
      <c r="K42" s="22"/>
      <c r="L42" s="22"/>
      <c r="M42" s="22"/>
      <c r="N42" s="21"/>
      <c r="O42" s="9"/>
      <c r="P42" s="11" t="s">
        <v>114</v>
      </c>
      <c r="Q42" s="11" t="s">
        <v>28</v>
      </c>
      <c r="R42" s="11" t="s">
        <v>115</v>
      </c>
      <c r="S42" s="11" t="s">
        <v>116</v>
      </c>
      <c r="T42" s="11">
        <v>804</v>
      </c>
      <c r="U42" s="11">
        <f t="shared" si="1"/>
        <v>7236</v>
      </c>
    </row>
    <row r="43" s="1" customFormat="1" customHeight="1" spans="1:21">
      <c r="A43" s="15"/>
      <c r="B43" s="19" t="s">
        <v>117</v>
      </c>
      <c r="C43" s="19"/>
      <c r="D43" s="9" t="s">
        <v>118</v>
      </c>
      <c r="E43" s="20">
        <v>9</v>
      </c>
      <c r="F43" s="21"/>
      <c r="G43" s="22"/>
      <c r="H43" s="22"/>
      <c r="I43" s="22"/>
      <c r="J43" s="21"/>
      <c r="K43" s="22"/>
      <c r="L43" s="22"/>
      <c r="M43" s="22"/>
      <c r="N43" s="21"/>
      <c r="O43" s="9"/>
      <c r="P43" s="11" t="s">
        <v>119</v>
      </c>
      <c r="Q43" s="11" t="s">
        <v>28</v>
      </c>
      <c r="R43" s="11" t="s">
        <v>120</v>
      </c>
      <c r="S43" s="11" t="s">
        <v>121</v>
      </c>
      <c r="T43" s="11">
        <v>10</v>
      </c>
      <c r="U43" s="11">
        <f t="shared" si="1"/>
        <v>90</v>
      </c>
    </row>
    <row r="44" s="1" customFormat="1" customHeight="1" spans="1:21">
      <c r="A44" s="15"/>
      <c r="B44" s="19" t="s">
        <v>122</v>
      </c>
      <c r="C44" s="19"/>
      <c r="D44" s="9" t="s">
        <v>26</v>
      </c>
      <c r="E44" s="20">
        <v>9</v>
      </c>
      <c r="F44" s="21"/>
      <c r="G44" s="22"/>
      <c r="H44" s="22"/>
      <c r="I44" s="22"/>
      <c r="J44" s="21"/>
      <c r="K44" s="22"/>
      <c r="L44" s="22"/>
      <c r="M44" s="22"/>
      <c r="N44" s="21"/>
      <c r="O44" s="9"/>
      <c r="P44" s="11" t="s">
        <v>123</v>
      </c>
      <c r="Q44" s="11" t="s">
        <v>28</v>
      </c>
      <c r="R44" s="11" t="s">
        <v>124</v>
      </c>
      <c r="S44" s="11" t="s">
        <v>125</v>
      </c>
      <c r="T44" s="11">
        <v>20</v>
      </c>
      <c r="U44" s="11">
        <f t="shared" si="1"/>
        <v>180</v>
      </c>
    </row>
    <row r="45" s="1" customFormat="1" customHeight="1" spans="1:21">
      <c r="A45" s="15"/>
      <c r="B45" s="19" t="s">
        <v>126</v>
      </c>
      <c r="C45" s="19"/>
      <c r="D45" s="9" t="s">
        <v>26</v>
      </c>
      <c r="E45" s="20">
        <v>9</v>
      </c>
      <c r="F45" s="21"/>
      <c r="G45" s="22"/>
      <c r="H45" s="22"/>
      <c r="I45" s="22"/>
      <c r="J45" s="21"/>
      <c r="K45" s="22"/>
      <c r="L45" s="22"/>
      <c r="M45" s="22"/>
      <c r="N45" s="21"/>
      <c r="O45" s="9"/>
      <c r="P45" s="11" t="s">
        <v>127</v>
      </c>
      <c r="Q45" s="11" t="s">
        <v>28</v>
      </c>
      <c r="R45" s="11" t="s">
        <v>128</v>
      </c>
      <c r="S45" s="11" t="s">
        <v>129</v>
      </c>
      <c r="T45" s="11">
        <v>40</v>
      </c>
      <c r="U45" s="11">
        <f t="shared" si="1"/>
        <v>360</v>
      </c>
    </row>
    <row r="46" s="1" customFormat="1" customHeight="1" spans="1:21">
      <c r="A46" s="15"/>
      <c r="B46" s="19" t="s">
        <v>130</v>
      </c>
      <c r="C46" s="19"/>
      <c r="D46" s="9" t="s">
        <v>131</v>
      </c>
      <c r="E46" s="20">
        <v>9</v>
      </c>
      <c r="F46" s="21"/>
      <c r="G46" s="22"/>
      <c r="H46" s="22"/>
      <c r="I46" s="22"/>
      <c r="J46" s="21"/>
      <c r="K46" s="22"/>
      <c r="L46" s="22"/>
      <c r="M46" s="22"/>
      <c r="N46" s="21"/>
      <c r="O46" s="9"/>
      <c r="P46" s="11" t="s">
        <v>132</v>
      </c>
      <c r="Q46" s="11" t="s">
        <v>28</v>
      </c>
      <c r="R46" s="11" t="s">
        <v>133</v>
      </c>
      <c r="S46" s="11" t="s">
        <v>134</v>
      </c>
      <c r="T46" s="11">
        <v>169</v>
      </c>
      <c r="U46" s="11">
        <f t="shared" si="1"/>
        <v>1521</v>
      </c>
    </row>
    <row r="47" s="1" customFormat="1" customHeight="1" spans="1:21">
      <c r="A47" s="15"/>
      <c r="B47" s="19" t="s">
        <v>135</v>
      </c>
      <c r="C47" s="19"/>
      <c r="D47" s="9" t="s">
        <v>118</v>
      </c>
      <c r="E47" s="20">
        <v>9</v>
      </c>
      <c r="F47" s="21"/>
      <c r="G47" s="22"/>
      <c r="H47" s="22"/>
      <c r="I47" s="22"/>
      <c r="J47" s="21"/>
      <c r="K47" s="22"/>
      <c r="L47" s="22"/>
      <c r="M47" s="22"/>
      <c r="N47" s="21"/>
      <c r="O47" s="9"/>
      <c r="P47" s="11" t="s">
        <v>136</v>
      </c>
      <c r="Q47" s="11" t="s">
        <v>28</v>
      </c>
      <c r="R47" s="11" t="s">
        <v>137</v>
      </c>
      <c r="S47" s="11" t="s">
        <v>138</v>
      </c>
      <c r="T47" s="11">
        <v>53</v>
      </c>
      <c r="U47" s="11">
        <f t="shared" si="1"/>
        <v>477</v>
      </c>
    </row>
    <row r="48" s="1" customFormat="1" customHeight="1" spans="1:21">
      <c r="A48" s="15" t="s">
        <v>139</v>
      </c>
      <c r="B48" s="16" t="s">
        <v>140</v>
      </c>
      <c r="C48" s="16"/>
      <c r="D48" s="15"/>
      <c r="E48" s="23"/>
      <c r="F48" s="24"/>
      <c r="G48" s="24"/>
      <c r="H48" s="24"/>
      <c r="I48" s="24"/>
      <c r="J48" s="24"/>
      <c r="K48" s="24"/>
      <c r="L48" s="24"/>
      <c r="M48" s="24"/>
      <c r="N48" s="24"/>
      <c r="O48" s="9"/>
      <c r="P48" s="11"/>
      <c r="Q48" s="11"/>
      <c r="R48" s="11"/>
      <c r="S48" s="11"/>
      <c r="T48" s="11"/>
      <c r="U48" s="11"/>
    </row>
    <row r="49" s="1" customFormat="1" customHeight="1" spans="1:21">
      <c r="A49" s="15"/>
      <c r="B49" s="19" t="s">
        <v>141</v>
      </c>
      <c r="C49" s="19"/>
      <c r="D49" s="9" t="s">
        <v>26</v>
      </c>
      <c r="E49" s="20">
        <v>2</v>
      </c>
      <c r="F49" s="21"/>
      <c r="G49" s="22"/>
      <c r="H49" s="22"/>
      <c r="I49" s="22"/>
      <c r="J49" s="21"/>
      <c r="K49" s="22"/>
      <c r="L49" s="22"/>
      <c r="M49" s="22"/>
      <c r="N49" s="21"/>
      <c r="O49" s="9"/>
      <c r="P49" s="11"/>
      <c r="Q49" s="11" t="s">
        <v>142</v>
      </c>
      <c r="R49" s="11" t="s">
        <v>143</v>
      </c>
      <c r="S49" s="11"/>
      <c r="T49" s="11">
        <v>4982</v>
      </c>
      <c r="U49" s="11">
        <f t="shared" ref="U49:U54" si="2">T49*E49</f>
        <v>9964</v>
      </c>
    </row>
    <row r="50" s="1" customFormat="1" customHeight="1" spans="1:21">
      <c r="A50" s="15"/>
      <c r="B50" s="19" t="s">
        <v>144</v>
      </c>
      <c r="C50" s="19"/>
      <c r="D50" s="9" t="s">
        <v>26</v>
      </c>
      <c r="E50" s="20">
        <v>2</v>
      </c>
      <c r="F50" s="21"/>
      <c r="G50" s="22"/>
      <c r="H50" s="22"/>
      <c r="I50" s="22"/>
      <c r="J50" s="21"/>
      <c r="K50" s="22"/>
      <c r="L50" s="22"/>
      <c r="M50" s="22"/>
      <c r="N50" s="21"/>
      <c r="O50" s="9"/>
      <c r="P50" s="11"/>
      <c r="Q50" s="11" t="s">
        <v>142</v>
      </c>
      <c r="R50" s="11" t="s">
        <v>145</v>
      </c>
      <c r="S50" s="11"/>
      <c r="T50" s="11">
        <v>2000</v>
      </c>
      <c r="U50" s="11">
        <f t="shared" si="2"/>
        <v>4000</v>
      </c>
    </row>
    <row r="51" s="1" customFormat="1" customHeight="1" spans="1:21">
      <c r="A51" s="15"/>
      <c r="B51" s="19" t="s">
        <v>146</v>
      </c>
      <c r="C51" s="19"/>
      <c r="D51" s="9" t="s">
        <v>65</v>
      </c>
      <c r="E51" s="20">
        <v>1</v>
      </c>
      <c r="F51" s="21"/>
      <c r="G51" s="22"/>
      <c r="H51" s="22"/>
      <c r="I51" s="22"/>
      <c r="J51" s="21"/>
      <c r="K51" s="22"/>
      <c r="L51" s="22"/>
      <c r="M51" s="22"/>
      <c r="N51" s="21"/>
      <c r="O51" s="9"/>
      <c r="P51" s="11"/>
      <c r="Q51" s="11" t="s">
        <v>142</v>
      </c>
      <c r="R51" s="11" t="s">
        <v>147</v>
      </c>
      <c r="S51" s="11"/>
      <c r="T51" s="11">
        <v>3800</v>
      </c>
      <c r="U51" s="11">
        <f t="shared" si="2"/>
        <v>3800</v>
      </c>
    </row>
    <row r="52" s="1" customFormat="1" customHeight="1" spans="1:21">
      <c r="A52" s="15"/>
      <c r="B52" s="19" t="s">
        <v>148</v>
      </c>
      <c r="C52" s="19" t="s">
        <v>149</v>
      </c>
      <c r="D52" s="9" t="s">
        <v>26</v>
      </c>
      <c r="E52" s="20">
        <v>16</v>
      </c>
      <c r="F52" s="21"/>
      <c r="G52" s="22"/>
      <c r="H52" s="22"/>
      <c r="I52" s="22"/>
      <c r="J52" s="21"/>
      <c r="K52" s="22"/>
      <c r="L52" s="22"/>
      <c r="M52" s="22"/>
      <c r="N52" s="21"/>
      <c r="O52" s="9"/>
      <c r="P52" s="11" t="s">
        <v>150</v>
      </c>
      <c r="Q52" s="11" t="s">
        <v>28</v>
      </c>
      <c r="R52" s="11" t="s">
        <v>151</v>
      </c>
      <c r="S52" s="11" t="s">
        <v>152</v>
      </c>
      <c r="T52" s="11">
        <v>324</v>
      </c>
      <c r="U52" s="11">
        <f t="shared" si="2"/>
        <v>5184</v>
      </c>
    </row>
    <row r="53" s="1" customFormat="1" customHeight="1" spans="1:21">
      <c r="A53" s="15"/>
      <c r="B53" s="19" t="s">
        <v>153</v>
      </c>
      <c r="C53" s="19" t="s">
        <v>154</v>
      </c>
      <c r="D53" s="9" t="s">
        <v>44</v>
      </c>
      <c r="E53" s="20">
        <v>16</v>
      </c>
      <c r="F53" s="21"/>
      <c r="G53" s="22"/>
      <c r="H53" s="22"/>
      <c r="I53" s="22"/>
      <c r="J53" s="21"/>
      <c r="K53" s="22"/>
      <c r="L53" s="22"/>
      <c r="M53" s="22"/>
      <c r="N53" s="21"/>
      <c r="O53" s="9"/>
      <c r="P53" s="11" t="s">
        <v>155</v>
      </c>
      <c r="Q53" s="11" t="s">
        <v>28</v>
      </c>
      <c r="R53" s="11" t="s">
        <v>156</v>
      </c>
      <c r="S53" s="11" t="s">
        <v>157</v>
      </c>
      <c r="T53" s="11">
        <v>17</v>
      </c>
      <c r="U53" s="11">
        <f t="shared" si="2"/>
        <v>272</v>
      </c>
    </row>
    <row r="54" s="1" customFormat="1" customHeight="1" spans="1:21">
      <c r="A54" s="15"/>
      <c r="B54" s="19" t="s">
        <v>158</v>
      </c>
      <c r="C54" s="19"/>
      <c r="D54" s="9" t="s">
        <v>65</v>
      </c>
      <c r="E54" s="20">
        <v>1</v>
      </c>
      <c r="F54" s="21"/>
      <c r="G54" s="22"/>
      <c r="H54" s="22"/>
      <c r="I54" s="22"/>
      <c r="J54" s="21"/>
      <c r="K54" s="22"/>
      <c r="L54" s="22"/>
      <c r="M54" s="22"/>
      <c r="N54" s="21"/>
      <c r="O54" s="9"/>
      <c r="P54" s="11"/>
      <c r="Q54" s="11" t="s">
        <v>159</v>
      </c>
      <c r="R54" s="11"/>
      <c r="S54" s="11"/>
      <c r="T54" s="11">
        <v>3200</v>
      </c>
      <c r="U54" s="11">
        <f t="shared" si="2"/>
        <v>3200</v>
      </c>
    </row>
    <row r="55" s="1" customFormat="1" customHeight="1" spans="1:21">
      <c r="A55" s="15">
        <v>2.2</v>
      </c>
      <c r="B55" s="16" t="s">
        <v>160</v>
      </c>
      <c r="C55" s="16"/>
      <c r="D55" s="15"/>
      <c r="E55" s="23"/>
      <c r="F55" s="24"/>
      <c r="G55" s="24"/>
      <c r="H55" s="24"/>
      <c r="I55" s="24"/>
      <c r="J55" s="24"/>
      <c r="K55" s="24"/>
      <c r="L55" s="24"/>
      <c r="M55" s="24"/>
      <c r="N55" s="24"/>
      <c r="O55" s="9"/>
      <c r="P55" s="11"/>
      <c r="Q55" s="11"/>
      <c r="R55" s="11"/>
      <c r="S55" s="11"/>
      <c r="T55" s="11"/>
      <c r="U55" s="11"/>
    </row>
    <row r="56" s="1" customFormat="1" customHeight="1" spans="1:21">
      <c r="A56" s="15" t="s">
        <v>161</v>
      </c>
      <c r="B56" s="16" t="s">
        <v>162</v>
      </c>
      <c r="C56" s="16"/>
      <c r="D56" s="15"/>
      <c r="E56" s="23"/>
      <c r="F56" s="24"/>
      <c r="G56" s="24"/>
      <c r="H56" s="24"/>
      <c r="I56" s="24"/>
      <c r="J56" s="24"/>
      <c r="K56" s="24"/>
      <c r="L56" s="24"/>
      <c r="M56" s="24"/>
      <c r="N56" s="24"/>
      <c r="O56" s="9"/>
      <c r="P56" s="11"/>
      <c r="Q56" s="11"/>
      <c r="R56" s="11"/>
      <c r="S56" s="11"/>
      <c r="T56" s="11"/>
      <c r="U56" s="11"/>
    </row>
    <row r="57" s="1" customFormat="1" customHeight="1" spans="1:21">
      <c r="A57" s="15" t="s">
        <v>163</v>
      </c>
      <c r="B57" s="16" t="s">
        <v>164</v>
      </c>
      <c r="C57" s="16"/>
      <c r="D57" s="15"/>
      <c r="E57" s="23"/>
      <c r="F57" s="24"/>
      <c r="G57" s="24"/>
      <c r="H57" s="24"/>
      <c r="I57" s="24"/>
      <c r="J57" s="24"/>
      <c r="K57" s="24"/>
      <c r="L57" s="24"/>
      <c r="M57" s="24"/>
      <c r="N57" s="24"/>
      <c r="O57" s="9"/>
      <c r="P57" s="11"/>
      <c r="Q57" s="11"/>
      <c r="R57" s="11"/>
      <c r="S57" s="11"/>
      <c r="T57" s="11"/>
      <c r="U57" s="11"/>
    </row>
    <row r="58" s="1" customFormat="1" customHeight="1" spans="1:21">
      <c r="A58" s="15"/>
      <c r="B58" s="19" t="s">
        <v>165</v>
      </c>
      <c r="C58" s="19"/>
      <c r="D58" s="9" t="s">
        <v>26</v>
      </c>
      <c r="E58" s="20">
        <v>7</v>
      </c>
      <c r="F58" s="21"/>
      <c r="G58" s="22"/>
      <c r="H58" s="22"/>
      <c r="I58" s="22"/>
      <c r="J58" s="21"/>
      <c r="K58" s="22"/>
      <c r="L58" s="22"/>
      <c r="M58" s="22"/>
      <c r="N58" s="21"/>
      <c r="O58" s="9"/>
      <c r="P58" s="11" t="s">
        <v>166</v>
      </c>
      <c r="Q58" s="11" t="s">
        <v>28</v>
      </c>
      <c r="R58" s="11" t="s">
        <v>167</v>
      </c>
      <c r="S58" s="11" t="s">
        <v>168</v>
      </c>
      <c r="T58" s="11">
        <v>660</v>
      </c>
      <c r="U58" s="11">
        <f t="shared" ref="U58:U60" si="3">T58*E58</f>
        <v>4620</v>
      </c>
    </row>
    <row r="59" s="1" customFormat="1" customHeight="1" spans="1:21">
      <c r="A59" s="15"/>
      <c r="B59" s="19" t="s">
        <v>169</v>
      </c>
      <c r="C59" s="19"/>
      <c r="D59" s="9" t="s">
        <v>26</v>
      </c>
      <c r="E59" s="20">
        <v>4</v>
      </c>
      <c r="F59" s="21"/>
      <c r="G59" s="22"/>
      <c r="H59" s="22"/>
      <c r="I59" s="22"/>
      <c r="J59" s="21"/>
      <c r="K59" s="22"/>
      <c r="L59" s="22"/>
      <c r="M59" s="22"/>
      <c r="N59" s="21"/>
      <c r="O59" s="9"/>
      <c r="P59" s="11" t="s">
        <v>166</v>
      </c>
      <c r="Q59" s="11" t="s">
        <v>28</v>
      </c>
      <c r="R59" s="11" t="s">
        <v>167</v>
      </c>
      <c r="S59" s="11" t="s">
        <v>168</v>
      </c>
      <c r="T59" s="11">
        <v>660</v>
      </c>
      <c r="U59" s="11">
        <f t="shared" si="3"/>
        <v>2640</v>
      </c>
    </row>
    <row r="60" s="1" customFormat="1" customHeight="1" spans="1:21">
      <c r="A60" s="15"/>
      <c r="B60" s="19" t="s">
        <v>153</v>
      </c>
      <c r="C60" s="19"/>
      <c r="D60" s="9" t="s">
        <v>26</v>
      </c>
      <c r="E60" s="20">
        <v>8</v>
      </c>
      <c r="F60" s="21"/>
      <c r="G60" s="22"/>
      <c r="H60" s="22"/>
      <c r="I60" s="22"/>
      <c r="J60" s="21"/>
      <c r="K60" s="22"/>
      <c r="L60" s="22"/>
      <c r="M60" s="22"/>
      <c r="N60" s="21"/>
      <c r="O60" s="9"/>
      <c r="P60" s="11" t="s">
        <v>170</v>
      </c>
      <c r="Q60" s="11" t="s">
        <v>28</v>
      </c>
      <c r="R60" s="11" t="s">
        <v>171</v>
      </c>
      <c r="S60" s="11" t="s">
        <v>172</v>
      </c>
      <c r="T60" s="11">
        <v>30</v>
      </c>
      <c r="U60" s="11">
        <f t="shared" si="3"/>
        <v>240</v>
      </c>
    </row>
    <row r="61" s="1" customFormat="1" customHeight="1" spans="1:21">
      <c r="A61" s="15"/>
      <c r="B61" s="19" t="s">
        <v>173</v>
      </c>
      <c r="C61" s="19"/>
      <c r="D61" s="9" t="s">
        <v>26</v>
      </c>
      <c r="E61" s="20">
        <v>11</v>
      </c>
      <c r="F61" s="21"/>
      <c r="G61" s="22"/>
      <c r="H61" s="22"/>
      <c r="I61" s="22"/>
      <c r="J61" s="21"/>
      <c r="K61" s="22"/>
      <c r="L61" s="22"/>
      <c r="M61" s="22"/>
      <c r="N61" s="21"/>
      <c r="O61" s="9" t="s">
        <v>174</v>
      </c>
      <c r="P61" s="11" t="s">
        <v>175</v>
      </c>
      <c r="Q61" s="11"/>
      <c r="R61" s="11"/>
      <c r="S61" s="11"/>
      <c r="T61" s="11"/>
      <c r="U61" s="11"/>
    </row>
    <row r="62" s="1" customFormat="1" customHeight="1" spans="1:21">
      <c r="A62" s="9" t="s">
        <v>176</v>
      </c>
      <c r="B62" s="16" t="s">
        <v>177</v>
      </c>
      <c r="C62" s="16"/>
      <c r="D62" s="15"/>
      <c r="E62" s="23"/>
      <c r="F62" s="24"/>
      <c r="G62" s="24"/>
      <c r="H62" s="24"/>
      <c r="I62" s="24"/>
      <c r="J62" s="24"/>
      <c r="K62" s="24"/>
      <c r="L62" s="24"/>
      <c r="M62" s="24"/>
      <c r="N62" s="24"/>
      <c r="O62" s="9"/>
      <c r="P62" s="11"/>
      <c r="Q62" s="11"/>
      <c r="R62" s="11"/>
      <c r="S62" s="11"/>
      <c r="T62" s="11"/>
      <c r="U62" s="11"/>
    </row>
    <row r="63" s="1" customFormat="1" customHeight="1" spans="1:21">
      <c r="A63" s="15"/>
      <c r="B63" s="19" t="s">
        <v>178</v>
      </c>
      <c r="C63" s="19"/>
      <c r="D63" s="9" t="s">
        <v>26</v>
      </c>
      <c r="E63" s="20">
        <v>4</v>
      </c>
      <c r="F63" s="21"/>
      <c r="G63" s="22"/>
      <c r="H63" s="22"/>
      <c r="I63" s="22"/>
      <c r="J63" s="21"/>
      <c r="K63" s="22"/>
      <c r="L63" s="22"/>
      <c r="M63" s="22"/>
      <c r="N63" s="21"/>
      <c r="O63" s="9"/>
      <c r="P63" s="11" t="s">
        <v>179</v>
      </c>
      <c r="Q63" s="11" t="s">
        <v>28</v>
      </c>
      <c r="R63" s="11" t="s">
        <v>180</v>
      </c>
      <c r="S63" s="11" t="s">
        <v>181</v>
      </c>
      <c r="T63" s="11">
        <v>4350</v>
      </c>
      <c r="U63" s="11">
        <f t="shared" ref="U63:U74" si="4">T63*E63</f>
        <v>17400</v>
      </c>
    </row>
    <row r="64" s="1" customFormat="1" customHeight="1" spans="1:21">
      <c r="A64" s="15"/>
      <c r="B64" s="19" t="s">
        <v>182</v>
      </c>
      <c r="C64" s="19"/>
      <c r="D64" s="9" t="s">
        <v>26</v>
      </c>
      <c r="E64" s="20">
        <v>2</v>
      </c>
      <c r="F64" s="21"/>
      <c r="G64" s="22"/>
      <c r="H64" s="22"/>
      <c r="I64" s="22"/>
      <c r="J64" s="21"/>
      <c r="K64" s="22"/>
      <c r="L64" s="22"/>
      <c r="M64" s="22"/>
      <c r="N64" s="21"/>
      <c r="O64" s="9"/>
      <c r="P64" s="11" t="s">
        <v>179</v>
      </c>
      <c r="Q64" s="11" t="s">
        <v>28</v>
      </c>
      <c r="R64" s="11" t="s">
        <v>180</v>
      </c>
      <c r="S64" s="11" t="s">
        <v>181</v>
      </c>
      <c r="T64" s="11">
        <v>4350</v>
      </c>
      <c r="U64" s="11">
        <f t="shared" si="4"/>
        <v>8700</v>
      </c>
    </row>
    <row r="65" s="1" customFormat="1" customHeight="1" spans="1:22">
      <c r="A65" s="9" t="s">
        <v>183</v>
      </c>
      <c r="B65" s="19" t="s">
        <v>184</v>
      </c>
      <c r="C65" s="19"/>
      <c r="D65" s="9"/>
      <c r="E65" s="20"/>
      <c r="F65" s="21"/>
      <c r="G65" s="22"/>
      <c r="H65" s="22"/>
      <c r="I65" s="22"/>
      <c r="J65" s="21"/>
      <c r="K65" s="22"/>
      <c r="L65" s="22"/>
      <c r="M65" s="22"/>
      <c r="N65" s="21"/>
      <c r="O65" s="9"/>
      <c r="P65" s="11"/>
      <c r="Q65" s="11"/>
      <c r="R65" s="11"/>
      <c r="S65" s="11"/>
      <c r="T65" s="11"/>
      <c r="U65" s="11"/>
    </row>
    <row r="66" s="1" customFormat="1" customHeight="1" spans="1:22">
      <c r="A66" s="15"/>
      <c r="B66" s="19" t="s">
        <v>165</v>
      </c>
      <c r="C66" s="19"/>
      <c r="D66" s="9" t="s">
        <v>26</v>
      </c>
      <c r="E66" s="20">
        <v>5</v>
      </c>
      <c r="F66" s="21"/>
      <c r="G66" s="22"/>
      <c r="H66" s="22"/>
      <c r="I66" s="22"/>
      <c r="J66" s="21"/>
      <c r="K66" s="22"/>
      <c r="L66" s="22"/>
      <c r="M66" s="22"/>
      <c r="N66" s="21"/>
      <c r="O66" s="9"/>
      <c r="P66" s="11" t="s">
        <v>185</v>
      </c>
      <c r="Q66" s="11" t="s">
        <v>28</v>
      </c>
      <c r="R66" s="11" t="s">
        <v>186</v>
      </c>
      <c r="S66" s="11" t="s">
        <v>187</v>
      </c>
      <c r="T66" s="11">
        <v>588</v>
      </c>
      <c r="U66" s="11">
        <f t="shared" si="4"/>
        <v>2940</v>
      </c>
    </row>
    <row r="67" s="1" customFormat="1" customHeight="1" spans="1:22">
      <c r="A67" s="15"/>
      <c r="B67" s="19" t="s">
        <v>165</v>
      </c>
      <c r="C67" s="19"/>
      <c r="D67" s="9" t="s">
        <v>26</v>
      </c>
      <c r="E67" s="20">
        <v>16</v>
      </c>
      <c r="F67" s="21"/>
      <c r="G67" s="22"/>
      <c r="H67" s="22"/>
      <c r="I67" s="22"/>
      <c r="J67" s="21"/>
      <c r="K67" s="22"/>
      <c r="L67" s="22"/>
      <c r="M67" s="22"/>
      <c r="N67" s="21"/>
      <c r="O67" s="9"/>
      <c r="P67" s="11" t="s">
        <v>185</v>
      </c>
      <c r="Q67" s="11" t="s">
        <v>28</v>
      </c>
      <c r="R67" s="11" t="s">
        <v>186</v>
      </c>
      <c r="S67" s="11" t="s">
        <v>187</v>
      </c>
      <c r="T67" s="11">
        <v>588</v>
      </c>
      <c r="U67" s="11">
        <f t="shared" si="4"/>
        <v>9408</v>
      </c>
    </row>
    <row r="68" s="1" customFormat="1" customHeight="1" spans="1:22">
      <c r="A68" s="15"/>
      <c r="B68" s="19" t="s">
        <v>165</v>
      </c>
      <c r="C68" s="19"/>
      <c r="D68" s="9" t="s">
        <v>26</v>
      </c>
      <c r="E68" s="20">
        <v>4</v>
      </c>
      <c r="F68" s="21"/>
      <c r="G68" s="22"/>
      <c r="H68" s="22"/>
      <c r="I68" s="22"/>
      <c r="J68" s="21"/>
      <c r="K68" s="22"/>
      <c r="L68" s="22"/>
      <c r="M68" s="22"/>
      <c r="N68" s="21"/>
      <c r="O68" s="9"/>
      <c r="P68" s="11" t="s">
        <v>185</v>
      </c>
      <c r="Q68" s="11" t="s">
        <v>28</v>
      </c>
      <c r="R68" s="11" t="s">
        <v>186</v>
      </c>
      <c r="S68" s="11" t="s">
        <v>187</v>
      </c>
      <c r="T68" s="11">
        <v>588</v>
      </c>
      <c r="U68" s="11">
        <f t="shared" si="4"/>
        <v>2352</v>
      </c>
    </row>
    <row r="69" s="1" customFormat="1" customHeight="1" spans="1:22">
      <c r="A69" s="15"/>
      <c r="B69" s="19" t="s">
        <v>188</v>
      </c>
      <c r="C69" s="19"/>
      <c r="D69" s="9" t="s">
        <v>26</v>
      </c>
      <c r="E69" s="20">
        <v>1</v>
      </c>
      <c r="F69" s="21"/>
      <c r="G69" s="22"/>
      <c r="H69" s="22"/>
      <c r="I69" s="22"/>
      <c r="J69" s="21"/>
      <c r="K69" s="22"/>
      <c r="L69" s="22"/>
      <c r="M69" s="22"/>
      <c r="N69" s="21"/>
      <c r="O69" s="9"/>
      <c r="P69" s="11"/>
      <c r="Q69" s="11" t="s">
        <v>40</v>
      </c>
      <c r="R69" s="11"/>
      <c r="S69" s="11" t="s">
        <v>41</v>
      </c>
      <c r="T69" s="11">
        <v>6315</v>
      </c>
      <c r="U69" s="11">
        <f t="shared" si="4"/>
        <v>6315</v>
      </c>
    </row>
    <row r="70" s="1" customFormat="1" customHeight="1" spans="1:22">
      <c r="A70" s="15"/>
      <c r="B70" s="19" t="s">
        <v>189</v>
      </c>
      <c r="C70" s="19"/>
      <c r="D70" s="9" t="s">
        <v>26</v>
      </c>
      <c r="E70" s="20">
        <v>1</v>
      </c>
      <c r="F70" s="21"/>
      <c r="G70" s="22"/>
      <c r="H70" s="22"/>
      <c r="I70" s="22"/>
      <c r="J70" s="21"/>
      <c r="K70" s="22"/>
      <c r="L70" s="22"/>
      <c r="M70" s="22"/>
      <c r="N70" s="21"/>
      <c r="O70" s="9"/>
      <c r="P70" s="11" t="s">
        <v>190</v>
      </c>
      <c r="Q70" s="11" t="s">
        <v>28</v>
      </c>
      <c r="R70" s="11" t="s">
        <v>191</v>
      </c>
      <c r="S70" s="11" t="s">
        <v>192</v>
      </c>
      <c r="T70" s="11">
        <v>1920</v>
      </c>
      <c r="U70" s="11">
        <f t="shared" si="4"/>
        <v>1920</v>
      </c>
      <c r="V70" s="31"/>
    </row>
    <row r="71" s="1" customFormat="1" customHeight="1" spans="1:22">
      <c r="A71" s="15"/>
      <c r="B71" s="32" t="s">
        <v>193</v>
      </c>
      <c r="C71" s="19"/>
      <c r="D71" s="9" t="s">
        <v>194</v>
      </c>
      <c r="E71" s="20">
        <v>6</v>
      </c>
      <c r="F71" s="21"/>
      <c r="G71" s="22"/>
      <c r="H71" s="22"/>
      <c r="I71" s="22"/>
      <c r="J71" s="21"/>
      <c r="K71" s="22"/>
      <c r="L71" s="22"/>
      <c r="M71" s="22"/>
      <c r="N71" s="21"/>
      <c r="O71" s="9" t="s">
        <v>195</v>
      </c>
      <c r="P71" s="11" t="s">
        <v>196</v>
      </c>
      <c r="Q71" s="11" t="s">
        <v>28</v>
      </c>
      <c r="R71" s="11" t="s">
        <v>197</v>
      </c>
      <c r="S71" s="11" t="s">
        <v>198</v>
      </c>
      <c r="T71" s="11">
        <v>1600</v>
      </c>
      <c r="U71" s="11">
        <f t="shared" si="4"/>
        <v>9600</v>
      </c>
      <c r="V71" s="31"/>
    </row>
    <row r="72" s="1" customFormat="1" customHeight="1" spans="1:22">
      <c r="A72" s="15"/>
      <c r="B72" s="19" t="s">
        <v>199</v>
      </c>
      <c r="C72" s="19"/>
      <c r="D72" s="9" t="s">
        <v>26</v>
      </c>
      <c r="E72" s="20">
        <v>5</v>
      </c>
      <c r="F72" s="21"/>
      <c r="G72" s="22"/>
      <c r="H72" s="22"/>
      <c r="I72" s="22"/>
      <c r="J72" s="21"/>
      <c r="K72" s="22"/>
      <c r="L72" s="22"/>
      <c r="M72" s="22"/>
      <c r="N72" s="21"/>
      <c r="O72" s="9"/>
      <c r="P72" s="11"/>
      <c r="Q72" s="11" t="s">
        <v>200</v>
      </c>
      <c r="R72" s="11" t="s">
        <v>201</v>
      </c>
      <c r="S72" s="11"/>
      <c r="T72" s="11">
        <v>350</v>
      </c>
      <c r="U72" s="11">
        <f t="shared" si="4"/>
        <v>1750</v>
      </c>
    </row>
    <row r="73" s="1" customFormat="1" customHeight="1" spans="1:22">
      <c r="A73" s="15"/>
      <c r="B73" s="19" t="s">
        <v>202</v>
      </c>
      <c r="C73" s="19"/>
      <c r="D73" s="9" t="s">
        <v>26</v>
      </c>
      <c r="E73" s="20">
        <v>2</v>
      </c>
      <c r="F73" s="21"/>
      <c r="G73" s="22"/>
      <c r="H73" s="22"/>
      <c r="I73" s="22"/>
      <c r="J73" s="21"/>
      <c r="K73" s="22"/>
      <c r="L73" s="22"/>
      <c r="M73" s="22"/>
      <c r="N73" s="21"/>
      <c r="O73" s="9"/>
      <c r="P73" s="11"/>
      <c r="Q73" s="11" t="s">
        <v>200</v>
      </c>
      <c r="R73" s="11" t="s">
        <v>201</v>
      </c>
      <c r="S73" s="11"/>
      <c r="T73" s="11">
        <v>1995</v>
      </c>
      <c r="U73" s="11">
        <f t="shared" si="4"/>
        <v>3990</v>
      </c>
    </row>
    <row r="74" s="1" customFormat="1" customHeight="1" spans="1:22">
      <c r="A74" s="15"/>
      <c r="B74" s="19" t="s">
        <v>203</v>
      </c>
      <c r="C74" s="19"/>
      <c r="D74" s="9" t="s">
        <v>90</v>
      </c>
      <c r="E74" s="20">
        <v>1</v>
      </c>
      <c r="F74" s="21"/>
      <c r="G74" s="21"/>
      <c r="H74" s="21"/>
      <c r="I74" s="21"/>
      <c r="J74" s="21"/>
      <c r="K74" s="21"/>
      <c r="L74" s="21"/>
      <c r="M74" s="21"/>
      <c r="N74" s="21"/>
      <c r="O74" s="9"/>
      <c r="P74" s="11"/>
      <c r="Q74" s="11" t="s">
        <v>159</v>
      </c>
      <c r="R74" s="11" t="s">
        <v>204</v>
      </c>
      <c r="T74" s="11">
        <v>2310</v>
      </c>
      <c r="U74" s="11">
        <f t="shared" si="4"/>
        <v>2310</v>
      </c>
    </row>
    <row r="75" s="1" customFormat="1" customHeight="1" spans="1:22">
      <c r="A75" s="15"/>
      <c r="B75" s="19" t="s">
        <v>205</v>
      </c>
      <c r="C75" s="19"/>
      <c r="D75" s="9" t="s">
        <v>44</v>
      </c>
      <c r="E75" s="20">
        <v>1</v>
      </c>
      <c r="F75" s="21"/>
      <c r="G75" s="22"/>
      <c r="H75" s="22"/>
      <c r="I75" s="22"/>
      <c r="J75" s="21"/>
      <c r="K75" s="21"/>
      <c r="L75" s="21"/>
      <c r="M75" s="21"/>
      <c r="N75" s="21"/>
      <c r="O75" s="9" t="s">
        <v>206</v>
      </c>
      <c r="P75" s="11" t="s">
        <v>207</v>
      </c>
      <c r="Q75" s="11" t="s">
        <v>28</v>
      </c>
      <c r="R75" s="11" t="s">
        <v>208</v>
      </c>
      <c r="S75" s="11" t="s">
        <v>209</v>
      </c>
      <c r="T75" s="11">
        <v>3520</v>
      </c>
      <c r="U75" s="11">
        <f>T75*4</f>
        <v>14080</v>
      </c>
    </row>
    <row r="76" s="1" customFormat="1" customHeight="1" spans="1:22">
      <c r="A76" s="15"/>
      <c r="B76" s="19" t="s">
        <v>210</v>
      </c>
      <c r="C76" s="19"/>
      <c r="D76" s="9"/>
      <c r="E76" s="20"/>
      <c r="F76" s="21"/>
      <c r="G76" s="22"/>
      <c r="H76" s="22"/>
      <c r="I76" s="22"/>
      <c r="J76" s="21"/>
      <c r="K76" s="21"/>
      <c r="L76" s="21"/>
      <c r="M76" s="21"/>
      <c r="N76" s="21"/>
      <c r="O76" s="9"/>
      <c r="P76" s="11" t="s">
        <v>211</v>
      </c>
      <c r="Q76" s="11" t="s">
        <v>28</v>
      </c>
      <c r="R76" s="11" t="s">
        <v>212</v>
      </c>
      <c r="S76" s="11" t="s">
        <v>213</v>
      </c>
      <c r="T76" s="11">
        <v>2340</v>
      </c>
      <c r="U76" s="11">
        <f>T76*4</f>
        <v>9360</v>
      </c>
    </row>
    <row r="77" s="1" customFormat="1" customHeight="1" spans="1:22">
      <c r="A77" s="9" t="s">
        <v>214</v>
      </c>
      <c r="B77" s="16" t="s">
        <v>215</v>
      </c>
      <c r="C77" s="16"/>
      <c r="D77" s="15"/>
      <c r="E77" s="23"/>
      <c r="F77" s="24"/>
      <c r="G77" s="33"/>
      <c r="H77" s="33"/>
      <c r="I77" s="33"/>
      <c r="J77" s="24"/>
      <c r="K77" s="33"/>
      <c r="L77" s="33"/>
      <c r="M77" s="33"/>
      <c r="N77" s="24"/>
      <c r="O77" s="9"/>
      <c r="P77" s="11"/>
      <c r="Q77" s="11"/>
      <c r="R77" s="11"/>
      <c r="S77" s="11"/>
      <c r="T77" s="11"/>
      <c r="U77" s="11"/>
    </row>
    <row r="78" s="1" customFormat="1" customHeight="1" spans="1:22">
      <c r="A78" s="15"/>
      <c r="B78" s="19" t="s">
        <v>216</v>
      </c>
      <c r="C78" s="19"/>
      <c r="D78" s="9" t="s">
        <v>26</v>
      </c>
      <c r="E78" s="20">
        <v>9</v>
      </c>
      <c r="F78" s="21"/>
      <c r="G78" s="22"/>
      <c r="H78" s="22"/>
      <c r="I78" s="22"/>
      <c r="J78" s="21"/>
      <c r="K78" s="22"/>
      <c r="L78" s="22"/>
      <c r="M78" s="22"/>
      <c r="N78" s="21"/>
      <c r="O78" s="9"/>
      <c r="P78" s="11"/>
      <c r="Q78" s="11" t="s">
        <v>217</v>
      </c>
      <c r="R78" s="11" t="s">
        <v>218</v>
      </c>
      <c r="S78" s="11"/>
      <c r="T78" s="11">
        <v>242</v>
      </c>
      <c r="U78" s="11">
        <f>T78*4</f>
        <v>968</v>
      </c>
    </row>
    <row r="79" s="1" customFormat="1" customHeight="1" spans="1:22">
      <c r="A79" s="15"/>
      <c r="B79" s="19" t="s">
        <v>219</v>
      </c>
      <c r="C79" s="19"/>
      <c r="D79" s="9" t="s">
        <v>26</v>
      </c>
      <c r="E79" s="20">
        <v>1</v>
      </c>
      <c r="F79" s="21"/>
      <c r="G79" s="22"/>
      <c r="H79" s="22"/>
      <c r="I79" s="22"/>
      <c r="J79" s="21"/>
      <c r="K79" s="22"/>
      <c r="L79" s="22"/>
      <c r="M79" s="22"/>
      <c r="N79" s="21"/>
      <c r="O79" s="9"/>
      <c r="P79" s="11"/>
      <c r="Q79" s="11" t="s">
        <v>220</v>
      </c>
      <c r="R79" s="11" t="s">
        <v>221</v>
      </c>
      <c r="S79" s="11"/>
      <c r="T79" s="11">
        <v>1680</v>
      </c>
      <c r="U79" s="11">
        <f>T79*4</f>
        <v>6720</v>
      </c>
    </row>
    <row r="80" s="1" customFormat="1" customHeight="1" spans="1:22">
      <c r="A80" s="15" t="s">
        <v>222</v>
      </c>
      <c r="B80" s="16" t="s">
        <v>223</v>
      </c>
      <c r="C80" s="16"/>
      <c r="D80" s="15"/>
      <c r="E80" s="23"/>
      <c r="F80" s="24"/>
      <c r="G80" s="24"/>
      <c r="H80" s="24"/>
      <c r="I80" s="24"/>
      <c r="J80" s="24"/>
      <c r="K80" s="24"/>
      <c r="L80" s="24"/>
      <c r="M80" s="24"/>
      <c r="N80" s="24"/>
      <c r="O80" s="9"/>
      <c r="P80" s="11"/>
      <c r="Q80" s="11"/>
      <c r="R80" s="11"/>
      <c r="S80" s="11"/>
      <c r="T80" s="11"/>
      <c r="U80" s="11"/>
    </row>
    <row r="81" s="1" customFormat="1" ht="38" customHeight="1" spans="1:22">
      <c r="A81" s="15" t="s">
        <v>224</v>
      </c>
      <c r="B81" s="19" t="s">
        <v>225</v>
      </c>
      <c r="C81" s="19"/>
      <c r="D81" s="9" t="s">
        <v>26</v>
      </c>
      <c r="E81" s="20">
        <v>16</v>
      </c>
      <c r="F81" s="21"/>
      <c r="G81" s="22"/>
      <c r="H81" s="22"/>
      <c r="I81" s="22"/>
      <c r="J81" s="21"/>
      <c r="K81" s="22"/>
      <c r="L81" s="22"/>
      <c r="M81" s="22"/>
      <c r="N81" s="21"/>
      <c r="O81" s="9"/>
      <c r="P81" s="11" t="s">
        <v>226</v>
      </c>
      <c r="Q81" s="11" t="s">
        <v>28</v>
      </c>
      <c r="R81" s="11" t="s">
        <v>227</v>
      </c>
      <c r="S81" s="11" t="s">
        <v>228</v>
      </c>
      <c r="T81" s="11">
        <v>1830</v>
      </c>
      <c r="U81" s="11">
        <f>T81*E81</f>
        <v>29280</v>
      </c>
    </row>
    <row r="82" s="1" customFormat="1" customHeight="1" spans="1:22">
      <c r="A82" s="15">
        <v>2.3</v>
      </c>
      <c r="B82" s="16" t="s">
        <v>229</v>
      </c>
      <c r="C82" s="16"/>
      <c r="D82" s="15"/>
      <c r="E82" s="23"/>
      <c r="F82" s="24"/>
      <c r="G82" s="24"/>
      <c r="H82" s="24"/>
      <c r="I82" s="24"/>
      <c r="J82" s="24"/>
      <c r="K82" s="24"/>
      <c r="L82" s="24"/>
      <c r="M82" s="24"/>
      <c r="N82" s="24"/>
      <c r="O82" s="9"/>
      <c r="P82" s="11"/>
      <c r="Q82" s="11"/>
      <c r="R82" s="11"/>
      <c r="S82" s="11"/>
      <c r="T82" s="11"/>
      <c r="U82" s="11"/>
    </row>
    <row r="83" s="1" customFormat="1" customHeight="1" spans="1:22">
      <c r="A83" s="15"/>
      <c r="B83" s="19" t="s">
        <v>230</v>
      </c>
      <c r="C83" s="19"/>
      <c r="D83" s="9" t="s">
        <v>26</v>
      </c>
      <c r="E83" s="20">
        <v>1</v>
      </c>
      <c r="F83" s="21"/>
      <c r="G83" s="22"/>
      <c r="H83" s="22"/>
      <c r="I83" s="22"/>
      <c r="J83" s="21"/>
      <c r="K83" s="22"/>
      <c r="L83" s="22"/>
      <c r="M83" s="22"/>
      <c r="N83" s="21"/>
      <c r="O83" s="9"/>
      <c r="P83" s="11"/>
      <c r="Q83" s="11" t="s">
        <v>231</v>
      </c>
      <c r="R83" s="11" t="s">
        <v>232</v>
      </c>
      <c r="S83" s="11"/>
      <c r="T83" s="11">
        <v>40938</v>
      </c>
      <c r="U83" s="11">
        <f>T83*E83</f>
        <v>40938</v>
      </c>
    </row>
    <row r="84" s="1" customFormat="1" customHeight="1" spans="1:22">
      <c r="A84" s="15"/>
      <c r="B84" s="19" t="s">
        <v>233</v>
      </c>
      <c r="C84" s="19"/>
      <c r="D84" s="9" t="s">
        <v>44</v>
      </c>
      <c r="E84" s="20">
        <v>1</v>
      </c>
      <c r="F84" s="21"/>
      <c r="G84" s="22"/>
      <c r="H84" s="22"/>
      <c r="I84" s="22"/>
      <c r="J84" s="21"/>
      <c r="K84" s="22"/>
      <c r="L84" s="22"/>
      <c r="M84" s="22"/>
      <c r="N84" s="21"/>
      <c r="O84" s="9"/>
      <c r="P84" s="11"/>
      <c r="Q84" s="11" t="s">
        <v>231</v>
      </c>
      <c r="R84" s="11" t="s">
        <v>234</v>
      </c>
      <c r="S84" s="11"/>
      <c r="T84" s="11">
        <v>10264</v>
      </c>
      <c r="U84" s="11">
        <f>T84*E84</f>
        <v>10264</v>
      </c>
    </row>
    <row r="85" s="1" customFormat="1" ht="36" customHeight="1" spans="1:22">
      <c r="A85" s="15">
        <v>2.4</v>
      </c>
      <c r="B85" s="16" t="s">
        <v>235</v>
      </c>
      <c r="C85" s="16"/>
      <c r="D85" s="15"/>
      <c r="E85" s="23"/>
      <c r="F85" s="24"/>
      <c r="G85" s="24"/>
      <c r="H85" s="24"/>
      <c r="I85" s="24"/>
      <c r="J85" s="24"/>
      <c r="K85" s="24"/>
      <c r="L85" s="24"/>
      <c r="M85" s="24"/>
      <c r="N85" s="24"/>
      <c r="O85" s="9"/>
      <c r="P85" s="11"/>
      <c r="Q85" s="11"/>
      <c r="R85" s="11"/>
      <c r="S85" s="11"/>
      <c r="T85" s="11"/>
      <c r="U85" s="11"/>
    </row>
    <row r="86" s="1" customFormat="1" customHeight="1" spans="1:22">
      <c r="A86" s="15"/>
      <c r="B86" s="10" t="s">
        <v>236</v>
      </c>
      <c r="C86" s="10" t="s">
        <v>237</v>
      </c>
      <c r="D86" s="9" t="s">
        <v>26</v>
      </c>
      <c r="E86" s="20">
        <v>1</v>
      </c>
      <c r="F86" s="21"/>
      <c r="G86" s="22"/>
      <c r="H86" s="22"/>
      <c r="I86" s="22"/>
      <c r="J86" s="21"/>
      <c r="K86" s="22"/>
      <c r="L86" s="22"/>
      <c r="M86" s="22"/>
      <c r="N86" s="21"/>
      <c r="O86" s="9"/>
      <c r="P86" s="11"/>
      <c r="Q86" s="11" t="s">
        <v>238</v>
      </c>
      <c r="R86" s="11"/>
      <c r="S86" s="11" t="s">
        <v>239</v>
      </c>
      <c r="T86" s="11">
        <v>170000</v>
      </c>
      <c r="U86" s="11">
        <f>T86*E86</f>
        <v>170000</v>
      </c>
    </row>
    <row r="87" s="1" customFormat="1" customHeight="1" spans="1:22">
      <c r="A87" s="15"/>
      <c r="B87" s="10" t="s">
        <v>240</v>
      </c>
      <c r="C87" s="10" t="s">
        <v>241</v>
      </c>
      <c r="D87" s="9" t="s">
        <v>44</v>
      </c>
      <c r="E87" s="20">
        <v>1</v>
      </c>
      <c r="F87" s="21"/>
      <c r="G87" s="22"/>
      <c r="H87" s="22"/>
      <c r="I87" s="22"/>
      <c r="J87" s="21"/>
      <c r="K87" s="22"/>
      <c r="L87" s="22"/>
      <c r="M87" s="22"/>
      <c r="N87" s="21"/>
      <c r="O87" s="9"/>
      <c r="P87" s="11"/>
      <c r="Q87" s="11" t="s">
        <v>238</v>
      </c>
      <c r="R87" s="11"/>
      <c r="S87" s="11"/>
      <c r="T87" s="11">
        <v>180000</v>
      </c>
      <c r="U87" s="11">
        <f>T87*E87</f>
        <v>180000</v>
      </c>
    </row>
    <row r="88" s="1" customFormat="1" customHeight="1" spans="1:22">
      <c r="A88" s="15">
        <v>2.5</v>
      </c>
      <c r="B88" s="16" t="s">
        <v>242</v>
      </c>
      <c r="C88" s="16"/>
      <c r="D88" s="15"/>
      <c r="E88" s="23"/>
      <c r="F88" s="24"/>
      <c r="G88" s="24"/>
      <c r="H88" s="24"/>
      <c r="I88" s="24"/>
      <c r="J88" s="24"/>
      <c r="K88" s="24"/>
      <c r="L88" s="24"/>
      <c r="M88" s="24"/>
      <c r="N88" s="24"/>
      <c r="O88" s="9"/>
      <c r="P88" s="11"/>
      <c r="Q88" s="11"/>
      <c r="R88" s="11"/>
      <c r="S88" s="11"/>
      <c r="T88" s="11"/>
      <c r="U88" s="11"/>
    </row>
    <row r="89" s="1" customFormat="1" customHeight="1" spans="1:22">
      <c r="A89" s="15"/>
      <c r="B89" s="10" t="s">
        <v>243</v>
      </c>
      <c r="C89" s="10" t="s">
        <v>244</v>
      </c>
      <c r="D89" s="9" t="s">
        <v>26</v>
      </c>
      <c r="E89" s="20">
        <v>1</v>
      </c>
      <c r="F89" s="21"/>
      <c r="G89" s="22"/>
      <c r="H89" s="22"/>
      <c r="I89" s="22"/>
      <c r="J89" s="21"/>
      <c r="K89" s="22"/>
      <c r="L89" s="22"/>
      <c r="M89" s="22"/>
      <c r="N89" s="21"/>
      <c r="O89" s="9"/>
      <c r="P89" s="11" t="s">
        <v>245</v>
      </c>
      <c r="Q89" s="11" t="s">
        <v>28</v>
      </c>
      <c r="R89" s="11" t="s">
        <v>246</v>
      </c>
      <c r="S89" s="11" t="s">
        <v>247</v>
      </c>
      <c r="T89" s="11">
        <v>34000</v>
      </c>
      <c r="U89" s="11">
        <f t="shared" ref="U89:U91" si="5">T89*E89</f>
        <v>34000</v>
      </c>
    </row>
    <row r="90" s="1" customFormat="1" customHeight="1" spans="1:22">
      <c r="A90" s="15"/>
      <c r="B90" s="10" t="s">
        <v>248</v>
      </c>
      <c r="C90" s="10"/>
      <c r="D90" s="9" t="s">
        <v>26</v>
      </c>
      <c r="E90" s="20">
        <v>1</v>
      </c>
      <c r="F90" s="21"/>
      <c r="G90" s="22"/>
      <c r="H90" s="22"/>
      <c r="I90" s="22"/>
      <c r="J90" s="21"/>
      <c r="K90" s="22"/>
      <c r="L90" s="22"/>
      <c r="M90" s="22"/>
      <c r="N90" s="21"/>
      <c r="O90" s="9"/>
      <c r="P90" s="11" t="s">
        <v>249</v>
      </c>
      <c r="Q90" s="11" t="s">
        <v>28</v>
      </c>
      <c r="R90" s="11" t="s">
        <v>250</v>
      </c>
      <c r="S90" s="11" t="s">
        <v>251</v>
      </c>
      <c r="T90" s="11">
        <v>21200</v>
      </c>
      <c r="U90" s="11">
        <f t="shared" si="5"/>
        <v>21200</v>
      </c>
    </row>
    <row r="91" s="1" customFormat="1" customHeight="1" spans="1:22">
      <c r="A91" s="15"/>
      <c r="B91" s="10" t="s">
        <v>252</v>
      </c>
      <c r="C91" s="10"/>
      <c r="D91" s="9" t="s">
        <v>26</v>
      </c>
      <c r="E91" s="20">
        <v>1</v>
      </c>
      <c r="F91" s="21"/>
      <c r="G91" s="22"/>
      <c r="H91" s="22"/>
      <c r="I91" s="22"/>
      <c r="J91" s="21"/>
      <c r="K91" s="22"/>
      <c r="L91" s="22"/>
      <c r="M91" s="22"/>
      <c r="N91" s="21"/>
      <c r="O91" s="9"/>
      <c r="P91" s="11" t="s">
        <v>253</v>
      </c>
      <c r="Q91" s="11" t="s">
        <v>28</v>
      </c>
      <c r="R91" s="11" t="s">
        <v>254</v>
      </c>
      <c r="S91" s="11" t="s">
        <v>255</v>
      </c>
      <c r="T91" s="11">
        <v>38800</v>
      </c>
      <c r="U91" s="11">
        <f t="shared" si="5"/>
        <v>38800</v>
      </c>
    </row>
    <row r="92" s="1" customFormat="1" customHeight="1" spans="1:22">
      <c r="A92" s="15"/>
      <c r="B92" s="10" t="s">
        <v>256</v>
      </c>
      <c r="C92" s="10"/>
      <c r="D92" s="9" t="s">
        <v>194</v>
      </c>
      <c r="E92" s="20">
        <v>1</v>
      </c>
      <c r="F92" s="21"/>
      <c r="G92" s="22"/>
      <c r="H92" s="22"/>
      <c r="I92" s="22"/>
      <c r="J92" s="21"/>
      <c r="K92" s="22"/>
      <c r="L92" s="22"/>
      <c r="M92" s="22"/>
      <c r="N92" s="21"/>
      <c r="O92" s="9"/>
      <c r="P92" s="11" t="s">
        <v>175</v>
      </c>
      <c r="Q92" s="11"/>
      <c r="R92" s="11"/>
      <c r="S92" s="11"/>
      <c r="T92" s="11"/>
      <c r="U92" s="11"/>
    </row>
    <row r="93" s="1" customFormat="1" customHeight="1" spans="1:22">
      <c r="A93" s="15"/>
      <c r="B93" s="10" t="s">
        <v>257</v>
      </c>
      <c r="C93" s="10"/>
      <c r="D93" s="9" t="s">
        <v>26</v>
      </c>
      <c r="E93" s="20">
        <v>2</v>
      </c>
      <c r="F93" s="21"/>
      <c r="G93" s="22"/>
      <c r="H93" s="22"/>
      <c r="I93" s="22"/>
      <c r="J93" s="21"/>
      <c r="K93" s="22"/>
      <c r="L93" s="22"/>
      <c r="M93" s="22"/>
      <c r="N93" s="21"/>
      <c r="O93" s="9" t="s">
        <v>258</v>
      </c>
      <c r="P93" s="11" t="s">
        <v>259</v>
      </c>
      <c r="Q93" s="11" t="s">
        <v>28</v>
      </c>
      <c r="R93" s="11" t="s">
        <v>260</v>
      </c>
      <c r="S93" s="11" t="s">
        <v>261</v>
      </c>
      <c r="T93" s="11">
        <v>16000</v>
      </c>
      <c r="U93" s="11">
        <f>T93*E93</f>
        <v>32000</v>
      </c>
    </row>
    <row r="94" s="1" customFormat="1" customHeight="1" spans="1:22">
      <c r="A94" s="15"/>
      <c r="B94" s="10"/>
      <c r="C94" s="10"/>
      <c r="D94" s="9"/>
      <c r="E94" s="20"/>
      <c r="F94" s="21"/>
      <c r="G94" s="22"/>
      <c r="H94" s="22"/>
      <c r="I94" s="22"/>
      <c r="J94" s="21"/>
      <c r="K94" s="22"/>
      <c r="L94" s="22"/>
      <c r="M94" s="22"/>
      <c r="N94" s="21"/>
      <c r="O94" s="9" t="s">
        <v>262</v>
      </c>
      <c r="P94" s="11" t="s">
        <v>263</v>
      </c>
      <c r="Q94" s="11" t="s">
        <v>28</v>
      </c>
      <c r="R94" s="11" t="s">
        <v>264</v>
      </c>
      <c r="S94" s="11" t="s">
        <v>265</v>
      </c>
      <c r="T94" s="11">
        <v>3100</v>
      </c>
      <c r="U94" s="11" t="s">
        <v>262</v>
      </c>
      <c r="V94" s="31"/>
    </row>
    <row r="95" s="1" customFormat="1" customHeight="1" spans="1:22">
      <c r="A95" s="15"/>
      <c r="B95" s="10" t="s">
        <v>266</v>
      </c>
      <c r="C95" s="10"/>
      <c r="D95" s="9" t="s">
        <v>44</v>
      </c>
      <c r="E95" s="20">
        <v>1</v>
      </c>
      <c r="F95" s="21"/>
      <c r="G95" s="22"/>
      <c r="H95" s="22"/>
      <c r="I95" s="22"/>
      <c r="J95" s="21"/>
      <c r="K95" s="22"/>
      <c r="L95" s="22"/>
      <c r="M95" s="22"/>
      <c r="N95" s="21"/>
      <c r="O95" s="9"/>
      <c r="P95" s="11" t="s">
        <v>267</v>
      </c>
      <c r="Q95" s="11" t="s">
        <v>28</v>
      </c>
      <c r="R95" s="11" t="s">
        <v>268</v>
      </c>
      <c r="S95" s="11" t="s">
        <v>269</v>
      </c>
      <c r="T95" s="11">
        <v>25200</v>
      </c>
      <c r="U95" s="11">
        <f>T95*E95</f>
        <v>25200</v>
      </c>
    </row>
    <row r="96" s="1" customFormat="1" customHeight="1" spans="1:22">
      <c r="A96" s="15"/>
      <c r="B96" s="10" t="s">
        <v>270</v>
      </c>
      <c r="C96" s="10"/>
      <c r="D96" s="9" t="s">
        <v>271</v>
      </c>
      <c r="E96" s="20">
        <v>150</v>
      </c>
      <c r="F96" s="21"/>
      <c r="G96" s="22"/>
      <c r="H96" s="22"/>
      <c r="I96" s="22"/>
      <c r="J96" s="21"/>
      <c r="K96" s="22"/>
      <c r="L96" s="22"/>
      <c r="M96" s="22"/>
      <c r="N96" s="21"/>
      <c r="O96" s="9" t="s">
        <v>272</v>
      </c>
      <c r="P96" s="11" t="s">
        <v>175</v>
      </c>
      <c r="Q96" s="11"/>
      <c r="R96" s="11"/>
      <c r="S96" s="11"/>
      <c r="T96" s="11"/>
      <c r="U96" s="11"/>
    </row>
    <row r="97" s="1" customFormat="1" customHeight="1" spans="1:21">
      <c r="A97" s="15"/>
      <c r="B97" s="10" t="s">
        <v>273</v>
      </c>
      <c r="C97" s="10"/>
      <c r="D97" s="9" t="s">
        <v>44</v>
      </c>
      <c r="E97" s="20">
        <v>1</v>
      </c>
      <c r="F97" s="21"/>
      <c r="G97" s="22"/>
      <c r="H97" s="22"/>
      <c r="I97" s="22"/>
      <c r="J97" s="21"/>
      <c r="K97" s="22"/>
      <c r="L97" s="22"/>
      <c r="M97" s="22"/>
      <c r="N97" s="21"/>
      <c r="O97" s="9" t="s">
        <v>272</v>
      </c>
      <c r="P97" s="11" t="s">
        <v>175</v>
      </c>
      <c r="Q97" s="11"/>
      <c r="R97" s="11"/>
      <c r="S97" s="11"/>
      <c r="T97" s="11"/>
      <c r="U97" s="11"/>
    </row>
    <row r="98" s="1" customFormat="1" customHeight="1" spans="1:21">
      <c r="A98" s="15"/>
      <c r="B98" s="10" t="s">
        <v>274</v>
      </c>
      <c r="C98" s="10"/>
      <c r="D98" s="9" t="s">
        <v>275</v>
      </c>
      <c r="E98" s="20">
        <v>50</v>
      </c>
      <c r="F98" s="21"/>
      <c r="G98" s="22"/>
      <c r="H98" s="22"/>
      <c r="I98" s="22"/>
      <c r="J98" s="21"/>
      <c r="K98" s="22"/>
      <c r="L98" s="22"/>
      <c r="M98" s="22"/>
      <c r="N98" s="21"/>
      <c r="O98" s="9" t="s">
        <v>272</v>
      </c>
      <c r="P98" s="11" t="s">
        <v>175</v>
      </c>
      <c r="Q98" s="11"/>
      <c r="R98" s="11"/>
      <c r="S98" s="11"/>
      <c r="T98" s="11"/>
      <c r="U98" s="11"/>
    </row>
    <row r="99" s="1" customFormat="1" customHeight="1" spans="1:21">
      <c r="A99" s="15"/>
      <c r="B99" s="10" t="s">
        <v>276</v>
      </c>
      <c r="C99" s="10"/>
      <c r="D99" s="9" t="s">
        <v>277</v>
      </c>
      <c r="E99" s="20">
        <v>4</v>
      </c>
      <c r="F99" s="21"/>
      <c r="G99" s="22"/>
      <c r="H99" s="22"/>
      <c r="I99" s="22"/>
      <c r="J99" s="21"/>
      <c r="K99" s="22"/>
      <c r="L99" s="22"/>
      <c r="M99" s="22"/>
      <c r="N99" s="21"/>
      <c r="O99" s="9" t="s">
        <v>272</v>
      </c>
      <c r="P99" s="11" t="s">
        <v>175</v>
      </c>
      <c r="Q99" s="11"/>
      <c r="R99" s="11"/>
      <c r="S99" s="11"/>
      <c r="T99" s="11"/>
      <c r="U99" s="11"/>
    </row>
    <row r="100" s="1" customFormat="1" customHeight="1" spans="1:21">
      <c r="A100" s="15"/>
      <c r="B100" s="10" t="s">
        <v>278</v>
      </c>
      <c r="C100" s="10"/>
      <c r="D100" s="9" t="s">
        <v>44</v>
      </c>
      <c r="E100" s="20">
        <v>1</v>
      </c>
      <c r="F100" s="21"/>
      <c r="G100" s="22"/>
      <c r="H100" s="22"/>
      <c r="I100" s="22"/>
      <c r="J100" s="21"/>
      <c r="K100" s="22"/>
      <c r="L100" s="22"/>
      <c r="M100" s="22"/>
      <c r="N100" s="21"/>
      <c r="O100" s="9" t="s">
        <v>272</v>
      </c>
      <c r="P100" s="11" t="s">
        <v>175</v>
      </c>
      <c r="Q100" s="11"/>
      <c r="R100" s="11"/>
      <c r="S100" s="11"/>
      <c r="T100" s="11"/>
      <c r="U100" s="11"/>
    </row>
    <row r="101" s="1" customFormat="1" customHeight="1" spans="1:21">
      <c r="A101" s="15"/>
      <c r="B101" s="10" t="s">
        <v>279</v>
      </c>
      <c r="C101" s="10"/>
      <c r="D101" s="9" t="s">
        <v>44</v>
      </c>
      <c r="E101" s="20">
        <v>1</v>
      </c>
      <c r="F101" s="21"/>
      <c r="G101" s="22"/>
      <c r="H101" s="22"/>
      <c r="I101" s="22"/>
      <c r="J101" s="21"/>
      <c r="K101" s="22"/>
      <c r="L101" s="22"/>
      <c r="M101" s="22"/>
      <c r="N101" s="21"/>
      <c r="O101" s="9" t="s">
        <v>272</v>
      </c>
      <c r="P101" s="11" t="s">
        <v>175</v>
      </c>
      <c r="Q101" s="11"/>
      <c r="R101" s="11"/>
      <c r="S101" s="11"/>
      <c r="T101" s="11"/>
      <c r="U101" s="11"/>
    </row>
    <row r="102" s="1" customFormat="1" customHeight="1" spans="1:21">
      <c r="A102" s="15"/>
      <c r="B102" s="10" t="s">
        <v>280</v>
      </c>
      <c r="C102" s="10"/>
      <c r="D102" s="9" t="s">
        <v>44</v>
      </c>
      <c r="E102" s="20">
        <v>1</v>
      </c>
      <c r="F102" s="21"/>
      <c r="G102" s="22"/>
      <c r="H102" s="22"/>
      <c r="I102" s="22"/>
      <c r="J102" s="21"/>
      <c r="K102" s="22"/>
      <c r="L102" s="22"/>
      <c r="M102" s="22"/>
      <c r="N102" s="21"/>
      <c r="O102" s="9" t="s">
        <v>272</v>
      </c>
      <c r="P102" s="11" t="s">
        <v>175</v>
      </c>
      <c r="Q102" s="11"/>
      <c r="R102" s="11"/>
      <c r="S102" s="11"/>
      <c r="T102" s="11"/>
      <c r="U102" s="11"/>
    </row>
    <row r="103" s="1" customFormat="1" customHeight="1" spans="1:21">
      <c r="A103" s="15"/>
      <c r="B103" s="10" t="s">
        <v>281</v>
      </c>
      <c r="C103" s="10"/>
      <c r="D103" s="9" t="s">
        <v>271</v>
      </c>
      <c r="E103" s="20">
        <v>300</v>
      </c>
      <c r="F103" s="21"/>
      <c r="G103" s="22"/>
      <c r="H103" s="22"/>
      <c r="I103" s="22"/>
      <c r="J103" s="21"/>
      <c r="K103" s="22"/>
      <c r="L103" s="22"/>
      <c r="M103" s="22"/>
      <c r="N103" s="21"/>
      <c r="O103" s="9" t="s">
        <v>272</v>
      </c>
      <c r="P103" s="11" t="s">
        <v>175</v>
      </c>
      <c r="Q103" s="11"/>
      <c r="R103" s="11"/>
      <c r="S103" s="11"/>
      <c r="T103" s="11"/>
      <c r="U103" s="11"/>
    </row>
    <row r="104" s="1" customFormat="1" customHeight="1" spans="1:21">
      <c r="A104" s="15"/>
      <c r="B104" s="10" t="s">
        <v>282</v>
      </c>
      <c r="C104" s="10"/>
      <c r="D104" s="9" t="s">
        <v>271</v>
      </c>
      <c r="E104" s="20">
        <v>150</v>
      </c>
      <c r="F104" s="21"/>
      <c r="G104" s="22"/>
      <c r="H104" s="22"/>
      <c r="I104" s="22"/>
      <c r="J104" s="21"/>
      <c r="K104" s="22"/>
      <c r="L104" s="22"/>
      <c r="M104" s="22"/>
      <c r="N104" s="21"/>
      <c r="O104" s="9" t="s">
        <v>272</v>
      </c>
      <c r="P104" s="11" t="s">
        <v>175</v>
      </c>
      <c r="Q104" s="11"/>
      <c r="R104" s="11"/>
      <c r="S104" s="11"/>
      <c r="T104" s="11"/>
      <c r="U104" s="11"/>
    </row>
    <row r="105" s="1" customFormat="1" customHeight="1" spans="1:21">
      <c r="A105" s="15"/>
      <c r="B105" s="10" t="s">
        <v>283</v>
      </c>
      <c r="C105" s="10"/>
      <c r="D105" s="9" t="s">
        <v>44</v>
      </c>
      <c r="E105" s="20">
        <v>1</v>
      </c>
      <c r="F105" s="21"/>
      <c r="G105" s="22"/>
      <c r="H105" s="22"/>
      <c r="I105" s="22"/>
      <c r="J105" s="21"/>
      <c r="K105" s="22"/>
      <c r="L105" s="22"/>
      <c r="M105" s="22"/>
      <c r="N105" s="21"/>
      <c r="O105" s="9" t="s">
        <v>272</v>
      </c>
      <c r="P105" s="11" t="s">
        <v>175</v>
      </c>
      <c r="Q105" s="11"/>
      <c r="R105" s="11"/>
      <c r="S105" s="11"/>
      <c r="T105" s="11"/>
      <c r="U105" s="11"/>
    </row>
    <row r="106" s="1" customFormat="1" customHeight="1" spans="1:21">
      <c r="A106" s="15"/>
      <c r="B106" s="10" t="s">
        <v>284</v>
      </c>
      <c r="C106" s="10"/>
      <c r="D106" s="9" t="s">
        <v>44</v>
      </c>
      <c r="E106" s="20">
        <v>1</v>
      </c>
      <c r="F106" s="21"/>
      <c r="G106" s="22"/>
      <c r="H106" s="22"/>
      <c r="I106" s="22"/>
      <c r="J106" s="21"/>
      <c r="K106" s="22"/>
      <c r="L106" s="22"/>
      <c r="M106" s="22"/>
      <c r="N106" s="21"/>
      <c r="O106" s="9"/>
      <c r="P106" s="11" t="s">
        <v>175</v>
      </c>
      <c r="Q106" s="11"/>
      <c r="R106" s="11"/>
      <c r="S106" s="11"/>
      <c r="T106" s="11"/>
      <c r="U106" s="11"/>
    </row>
    <row r="107" s="1" customFormat="1" customHeight="1" spans="1:21">
      <c r="A107" s="15"/>
      <c r="B107" s="10" t="s">
        <v>285</v>
      </c>
      <c r="C107" s="10"/>
      <c r="D107" s="9" t="s">
        <v>44</v>
      </c>
      <c r="E107" s="20">
        <v>1</v>
      </c>
      <c r="F107" s="21"/>
      <c r="G107" s="22"/>
      <c r="H107" s="22"/>
      <c r="I107" s="22"/>
      <c r="J107" s="21"/>
      <c r="K107" s="22"/>
      <c r="L107" s="22"/>
      <c r="M107" s="22"/>
      <c r="N107" s="21"/>
      <c r="O107" s="9"/>
      <c r="P107" s="11" t="s">
        <v>175</v>
      </c>
      <c r="Q107" s="11"/>
      <c r="R107" s="11"/>
      <c r="S107" s="11"/>
      <c r="T107" s="11"/>
      <c r="U107" s="11"/>
    </row>
    <row r="108" s="1" customFormat="1" customHeight="1" spans="1:21">
      <c r="A108" s="15"/>
      <c r="B108" s="10" t="s">
        <v>286</v>
      </c>
      <c r="C108" s="10"/>
      <c r="D108" s="9" t="s">
        <v>44</v>
      </c>
      <c r="E108" s="20">
        <v>1</v>
      </c>
      <c r="F108" s="21"/>
      <c r="G108" s="22"/>
      <c r="H108" s="22"/>
      <c r="I108" s="22"/>
      <c r="J108" s="21"/>
      <c r="K108" s="22"/>
      <c r="L108" s="22"/>
      <c r="M108" s="22"/>
      <c r="N108" s="21"/>
      <c r="O108" s="9"/>
      <c r="P108" s="11" t="s">
        <v>175</v>
      </c>
      <c r="Q108" s="11"/>
      <c r="R108" s="11"/>
      <c r="S108" s="11"/>
      <c r="T108" s="11"/>
      <c r="U108" s="11"/>
    </row>
    <row r="109" s="1" customFormat="1" customHeight="1" spans="1:21">
      <c r="A109" s="15"/>
      <c r="B109" s="10" t="s">
        <v>287</v>
      </c>
      <c r="C109" s="10"/>
      <c r="D109" s="9" t="s">
        <v>44</v>
      </c>
      <c r="E109" s="20">
        <v>1</v>
      </c>
      <c r="F109" s="21"/>
      <c r="G109" s="22"/>
      <c r="H109" s="22"/>
      <c r="I109" s="22"/>
      <c r="J109" s="21"/>
      <c r="K109" s="22"/>
      <c r="L109" s="22"/>
      <c r="M109" s="22"/>
      <c r="N109" s="21"/>
      <c r="O109" s="9" t="s">
        <v>272</v>
      </c>
      <c r="P109" s="11" t="s">
        <v>175</v>
      </c>
      <c r="Q109" s="11"/>
      <c r="R109" s="11"/>
      <c r="S109" s="11"/>
      <c r="T109" s="11"/>
      <c r="U109" s="11"/>
    </row>
    <row r="110" s="1" customFormat="1" customHeight="1" spans="1:21">
      <c r="A110" s="15"/>
      <c r="B110" s="10" t="s">
        <v>288</v>
      </c>
      <c r="C110" s="10"/>
      <c r="D110" s="9" t="s">
        <v>289</v>
      </c>
      <c r="E110" s="20">
        <v>1</v>
      </c>
      <c r="F110" s="21"/>
      <c r="G110" s="22"/>
      <c r="H110" s="22"/>
      <c r="I110" s="22"/>
      <c r="J110" s="21"/>
      <c r="K110" s="22"/>
      <c r="L110" s="22"/>
      <c r="M110" s="22"/>
      <c r="N110" s="21"/>
      <c r="O110" s="9" t="s">
        <v>272</v>
      </c>
      <c r="P110" s="11" t="s">
        <v>175</v>
      </c>
      <c r="Q110" s="11"/>
      <c r="R110" s="11"/>
      <c r="S110" s="11"/>
      <c r="T110" s="11"/>
      <c r="U110" s="11"/>
    </row>
    <row r="111" s="1" customFormat="1" customHeight="1" spans="1:21">
      <c r="A111" s="15"/>
      <c r="B111" s="10" t="s">
        <v>290</v>
      </c>
      <c r="C111" s="10"/>
      <c r="D111" s="9" t="s">
        <v>44</v>
      </c>
      <c r="E111" s="20">
        <v>1</v>
      </c>
      <c r="F111" s="21"/>
      <c r="G111" s="22"/>
      <c r="H111" s="22"/>
      <c r="I111" s="22"/>
      <c r="J111" s="21"/>
      <c r="K111" s="22"/>
      <c r="L111" s="22"/>
      <c r="M111" s="22"/>
      <c r="N111" s="21"/>
      <c r="O111" s="9"/>
      <c r="P111" s="11" t="s">
        <v>175</v>
      </c>
      <c r="Q111" s="11"/>
      <c r="R111" s="11"/>
      <c r="S111" s="11"/>
      <c r="T111" s="11"/>
      <c r="U111" s="11"/>
    </row>
    <row r="112" s="1" customFormat="1" customHeight="1" spans="1:21">
      <c r="A112" s="15"/>
      <c r="B112" s="10" t="s">
        <v>291</v>
      </c>
      <c r="C112" s="10"/>
      <c r="D112" s="9" t="s">
        <v>26</v>
      </c>
      <c r="E112" s="20">
        <v>1</v>
      </c>
      <c r="F112" s="21"/>
      <c r="G112" s="22"/>
      <c r="H112" s="22"/>
      <c r="I112" s="22"/>
      <c r="J112" s="21"/>
      <c r="K112" s="22"/>
      <c r="L112" s="22"/>
      <c r="M112" s="22"/>
      <c r="N112" s="21"/>
      <c r="O112" s="9"/>
      <c r="P112" s="11" t="s">
        <v>175</v>
      </c>
      <c r="Q112" s="11"/>
      <c r="R112" s="11"/>
      <c r="S112" s="11"/>
      <c r="T112" s="11"/>
      <c r="U112" s="11"/>
    </row>
    <row r="113" s="1" customFormat="1" customHeight="1" spans="1:21">
      <c r="A113" s="15"/>
      <c r="B113" s="10" t="s">
        <v>292</v>
      </c>
      <c r="C113" s="10"/>
      <c r="D113" s="9" t="s">
        <v>44</v>
      </c>
      <c r="E113" s="20">
        <v>1</v>
      </c>
      <c r="F113" s="21"/>
      <c r="G113" s="22"/>
      <c r="H113" s="22"/>
      <c r="I113" s="22"/>
      <c r="J113" s="21"/>
      <c r="K113" s="22"/>
      <c r="L113" s="22"/>
      <c r="M113" s="22"/>
      <c r="N113" s="21"/>
      <c r="O113" s="9"/>
      <c r="P113" s="11" t="s">
        <v>175</v>
      </c>
      <c r="Q113" s="11"/>
      <c r="R113" s="11"/>
      <c r="S113" s="11"/>
      <c r="T113" s="11"/>
      <c r="U113" s="11"/>
    </row>
    <row r="114" s="1" customFormat="1" customHeight="1" spans="1:21">
      <c r="A114" s="15"/>
      <c r="B114" s="10" t="s">
        <v>293</v>
      </c>
      <c r="C114" s="10"/>
      <c r="D114" s="9" t="s">
        <v>44</v>
      </c>
      <c r="E114" s="20">
        <v>1</v>
      </c>
      <c r="F114" s="21"/>
      <c r="G114" s="22"/>
      <c r="H114" s="22"/>
      <c r="I114" s="22"/>
      <c r="J114" s="21"/>
      <c r="K114" s="22"/>
      <c r="L114" s="22"/>
      <c r="M114" s="22"/>
      <c r="N114" s="21"/>
      <c r="O114" s="9"/>
      <c r="P114" s="11" t="s">
        <v>175</v>
      </c>
      <c r="Q114" s="11"/>
      <c r="R114" s="11"/>
      <c r="S114" s="11"/>
      <c r="T114" s="11"/>
      <c r="U114" s="11"/>
    </row>
    <row r="115" s="1" customFormat="1" customHeight="1" spans="1:21">
      <c r="A115" s="15"/>
      <c r="B115" s="10" t="s">
        <v>294</v>
      </c>
      <c r="C115" s="10"/>
      <c r="D115" s="9" t="s">
        <v>44</v>
      </c>
      <c r="E115" s="20">
        <v>1</v>
      </c>
      <c r="F115" s="21"/>
      <c r="G115" s="22"/>
      <c r="H115" s="22"/>
      <c r="I115" s="22"/>
      <c r="J115" s="21"/>
      <c r="K115" s="22"/>
      <c r="L115" s="22"/>
      <c r="M115" s="22"/>
      <c r="N115" s="21"/>
      <c r="O115" s="9"/>
      <c r="P115" s="11" t="s">
        <v>175</v>
      </c>
      <c r="Q115" s="11"/>
      <c r="R115" s="11"/>
      <c r="S115" s="11"/>
      <c r="T115" s="11"/>
      <c r="U115" s="11"/>
    </row>
    <row r="116" s="1" customFormat="1" customHeight="1" spans="1:21">
      <c r="A116" s="15"/>
      <c r="B116" s="10" t="s">
        <v>295</v>
      </c>
      <c r="C116" s="10"/>
      <c r="D116" s="9" t="s">
        <v>296</v>
      </c>
      <c r="E116" s="20">
        <v>1</v>
      </c>
      <c r="F116" s="21"/>
      <c r="G116" s="22"/>
      <c r="H116" s="22"/>
      <c r="I116" s="22"/>
      <c r="J116" s="21"/>
      <c r="K116" s="22"/>
      <c r="L116" s="22"/>
      <c r="M116" s="22"/>
      <c r="N116" s="21"/>
      <c r="O116" s="9"/>
      <c r="P116" s="11" t="s">
        <v>175</v>
      </c>
      <c r="Q116" s="11"/>
      <c r="R116" s="11"/>
      <c r="S116" s="11"/>
      <c r="T116" s="11"/>
      <c r="U116" s="11"/>
    </row>
    <row r="117" s="1" customFormat="1" customHeight="1" spans="1:21">
      <c r="A117" s="15"/>
      <c r="B117" s="10" t="s">
        <v>266</v>
      </c>
      <c r="C117" s="10"/>
      <c r="D117" s="9" t="s">
        <v>44</v>
      </c>
      <c r="E117" s="20">
        <v>1</v>
      </c>
      <c r="F117" s="21"/>
      <c r="G117" s="22"/>
      <c r="H117" s="22"/>
      <c r="I117" s="22"/>
      <c r="J117" s="21"/>
      <c r="K117" s="22"/>
      <c r="L117" s="22"/>
      <c r="M117" s="22"/>
      <c r="N117" s="21"/>
      <c r="O117" s="9"/>
      <c r="P117" s="11" t="s">
        <v>175</v>
      </c>
      <c r="Q117" s="11"/>
      <c r="R117" s="11"/>
      <c r="S117" s="11"/>
      <c r="T117" s="11"/>
      <c r="U117" s="11"/>
    </row>
    <row r="118" s="1" customFormat="1" customHeight="1" spans="1:21">
      <c r="A118" s="15"/>
      <c r="B118" s="10" t="s">
        <v>297</v>
      </c>
      <c r="C118" s="10"/>
      <c r="D118" s="9" t="s">
        <v>44</v>
      </c>
      <c r="E118" s="20">
        <v>1</v>
      </c>
      <c r="F118" s="21"/>
      <c r="G118" s="22"/>
      <c r="H118" s="22"/>
      <c r="I118" s="22"/>
      <c r="J118" s="21"/>
      <c r="K118" s="22"/>
      <c r="L118" s="22"/>
      <c r="M118" s="22"/>
      <c r="N118" s="21"/>
      <c r="O118" s="9"/>
      <c r="P118" s="11" t="s">
        <v>175</v>
      </c>
      <c r="Q118" s="11"/>
      <c r="R118" s="11"/>
      <c r="S118" s="11"/>
      <c r="T118" s="11"/>
      <c r="U118" s="11"/>
    </row>
    <row r="119" s="1" customFormat="1" customHeight="1" spans="1:21">
      <c r="A119" s="15"/>
      <c r="B119" s="10" t="s">
        <v>298</v>
      </c>
      <c r="C119" s="10"/>
      <c r="D119" s="9" t="s">
        <v>271</v>
      </c>
      <c r="E119" s="20">
        <v>10</v>
      </c>
      <c r="F119" s="21"/>
      <c r="G119" s="22"/>
      <c r="H119" s="22"/>
      <c r="I119" s="22"/>
      <c r="J119" s="21"/>
      <c r="K119" s="22"/>
      <c r="L119" s="22"/>
      <c r="M119" s="22"/>
      <c r="N119" s="21"/>
      <c r="O119" s="9"/>
      <c r="P119" s="11" t="s">
        <v>175</v>
      </c>
      <c r="Q119" s="11"/>
      <c r="R119" s="11"/>
      <c r="S119" s="11"/>
      <c r="T119" s="11"/>
      <c r="U119" s="11"/>
    </row>
    <row r="120" s="1" customFormat="1" customHeight="1" spans="1:21">
      <c r="A120" s="15" t="s">
        <v>299</v>
      </c>
      <c r="B120" s="10" t="s">
        <v>300</v>
      </c>
      <c r="C120" s="10"/>
      <c r="D120" s="9" t="s">
        <v>65</v>
      </c>
      <c r="E120" s="20">
        <v>1</v>
      </c>
      <c r="F120" s="34"/>
      <c r="G120" s="22"/>
      <c r="H120" s="21"/>
      <c r="I120" s="22"/>
      <c r="J120" s="34"/>
      <c r="K120" s="22"/>
      <c r="L120" s="21"/>
      <c r="M120" s="22"/>
      <c r="N120" s="21"/>
      <c r="O120" s="9"/>
      <c r="P120" s="11"/>
      <c r="Q120" s="11" t="s">
        <v>159</v>
      </c>
      <c r="R120" s="11"/>
      <c r="S120" s="11"/>
      <c r="T120" s="11">
        <v>500000</v>
      </c>
      <c r="U120" s="11">
        <f>E120*T120</f>
        <v>500000</v>
      </c>
    </row>
    <row r="121" s="2" customFormat="1" customHeight="1" spans="1:21">
      <c r="A121" s="35"/>
      <c r="B121" s="36"/>
      <c r="C121" s="36"/>
      <c r="D121" s="10"/>
      <c r="E121" s="37"/>
      <c r="F121" s="38"/>
      <c r="G121" s="38"/>
      <c r="H121" s="38"/>
      <c r="I121" s="38"/>
      <c r="J121" s="38"/>
      <c r="K121" s="38"/>
      <c r="L121" s="36"/>
      <c r="M121" s="37"/>
      <c r="N121" s="37"/>
      <c r="O121" s="37"/>
      <c r="P121" s="11"/>
      <c r="Q121" s="11"/>
      <c r="R121" s="11"/>
      <c r="S121" s="11"/>
      <c r="T121" s="11"/>
      <c r="U121" s="39">
        <f>SUM(U9:U120)</f>
        <v>3607163</v>
      </c>
    </row>
  </sheetData>
  <mergeCells count="19">
    <mergeCell ref="F1:I1"/>
    <mergeCell ref="J1:M1"/>
    <mergeCell ref="B120:C120"/>
    <mergeCell ref="A1:A2"/>
    <mergeCell ref="B1:B2"/>
    <mergeCell ref="C1:C2"/>
    <mergeCell ref="D1:D2"/>
    <mergeCell ref="E1:E2"/>
    <mergeCell ref="N1:N2"/>
    <mergeCell ref="O1:O2"/>
    <mergeCell ref="P1:P2"/>
    <mergeCell ref="Q1:Q2"/>
    <mergeCell ref="Q14:Q24"/>
    <mergeCell ref="R1:R2"/>
    <mergeCell ref="S1:S2"/>
    <mergeCell ref="T1:T2"/>
    <mergeCell ref="T14:T24"/>
    <mergeCell ref="U1:U2"/>
    <mergeCell ref="U14:U24"/>
  </mergeCells>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许昌奎</cp:lastModifiedBy>
  <dcterms:created xsi:type="dcterms:W3CDTF">2023-05-12T11:15:00Z</dcterms:created>
  <dcterms:modified xsi:type="dcterms:W3CDTF">2026-06-12T02:40:55Z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2052-12.1.0.26895</vt:lpwstr>
  </property>
  <property fmtid="{D5CDD505-2E9C-101B-9397-08002B2CF9AE}" pid="3" name="ICV">
    <vt:lpwstr>5585EB2A4D0D45E0ABF48405F53B3C71_13</vt:lpwstr>
  </property>
  <property fmtid="{D5CDD505-2E9C-101B-9397-08002B2CF9AE}" pid="4" name="CalculationRule">
    <vt:i4>0</vt:i4>
  </property>
</Properties>
</file>