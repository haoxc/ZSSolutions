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08AB5DC3-C6FA-4086-A4B8-DEAE28AD8239}"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9" i="1" l="1"/>
  <c r="G113" i="1"/>
  <c r="G112" i="1"/>
  <c r="G111" i="1"/>
  <c r="G110" i="1"/>
  <c r="G109" i="1"/>
  <c r="G108" i="1"/>
  <c r="G107" i="1"/>
  <c r="G106" i="1"/>
  <c r="G105" i="1"/>
  <c r="G104" i="1"/>
  <c r="G103" i="1"/>
  <c r="G102" i="1"/>
  <c r="G101" i="1"/>
  <c r="G100" i="1"/>
  <c r="G99" i="1"/>
  <c r="G98" i="1"/>
  <c r="G97" i="1"/>
  <c r="G96" i="1"/>
  <c r="G95" i="1"/>
  <c r="G94" i="1"/>
  <c r="G93" i="1"/>
  <c r="G92" i="1"/>
  <c r="G91" i="1"/>
  <c r="G90" i="1"/>
  <c r="I89" i="1"/>
  <c r="G89" i="1"/>
  <c r="G88" i="1"/>
  <c r="G87" i="1"/>
  <c r="G86" i="1"/>
  <c r="G85" i="1"/>
  <c r="G84" i="1"/>
  <c r="G83" i="1"/>
  <c r="G81" i="1"/>
  <c r="G80" i="1"/>
  <c r="G78" i="1"/>
  <c r="G77" i="1"/>
  <c r="G75" i="1"/>
  <c r="G73" i="1"/>
  <c r="G72" i="1"/>
  <c r="G70" i="1"/>
  <c r="G69" i="1"/>
  <c r="G68" i="1"/>
  <c r="G67" i="1"/>
  <c r="G66" i="1"/>
  <c r="G65" i="1"/>
  <c r="G64" i="1"/>
  <c r="G63" i="1"/>
  <c r="G62" i="1"/>
  <c r="G60" i="1"/>
  <c r="G59" i="1"/>
  <c r="G57" i="1"/>
  <c r="G56" i="1"/>
  <c r="G55" i="1"/>
  <c r="G54" i="1"/>
  <c r="G50" i="1"/>
  <c r="G49" i="1"/>
  <c r="G48" i="1"/>
  <c r="G47" i="1"/>
  <c r="G46" i="1"/>
  <c r="G45" i="1"/>
  <c r="G43" i="1"/>
  <c r="G42" i="1"/>
  <c r="G41" i="1"/>
  <c r="G40" i="1"/>
  <c r="G39" i="1"/>
  <c r="G38" i="1"/>
  <c r="G37" i="1"/>
  <c r="G33" i="1"/>
  <c r="G32" i="1"/>
  <c r="G31" i="1"/>
  <c r="G30" i="1"/>
  <c r="G29" i="1"/>
  <c r="G28" i="1"/>
  <c r="G27" i="1"/>
  <c r="G26" i="1"/>
  <c r="G25" i="1"/>
  <c r="G24" i="1"/>
  <c r="G23" i="1"/>
  <c r="G20" i="1"/>
  <c r="G19" i="1"/>
  <c r="G18" i="1"/>
  <c r="G17" i="1"/>
  <c r="G16" i="1"/>
  <c r="G15" i="1"/>
  <c r="G14" i="1"/>
  <c r="G13" i="1"/>
  <c r="G12" i="1"/>
  <c r="G11" i="1"/>
  <c r="G10" i="1"/>
  <c r="G8" i="1"/>
  <c r="G7" i="1"/>
  <c r="G6" i="1"/>
  <c r="G5" i="1"/>
</calcChain>
</file>

<file path=xl/sharedStrings.xml><?xml version="1.0" encoding="utf-8"?>
<sst xmlns="http://schemas.openxmlformats.org/spreadsheetml/2006/main" count="271" uniqueCount="181">
  <si>
    <t>序号</t>
  </si>
  <si>
    <t>工程项目或费用名称</t>
  </si>
  <si>
    <t>材质/技术参数</t>
  </si>
  <si>
    <t>单位</t>
  </si>
  <si>
    <t>数量</t>
  </si>
  <si>
    <t>单价（万元）</t>
  </si>
  <si>
    <t>合计（万元）</t>
  </si>
  <si>
    <t>合计</t>
  </si>
  <si>
    <t>备注</t>
  </si>
  <si>
    <t>单价（元）</t>
  </si>
  <si>
    <t>总计（元）</t>
  </si>
  <si>
    <t>设备购置费</t>
  </si>
  <si>
    <t>主要材料费</t>
  </si>
  <si>
    <t>安装费</t>
  </si>
  <si>
    <t>建筑工程费</t>
  </si>
  <si>
    <t>一</t>
  </si>
  <si>
    <t>智慧场站Ⅲ区系统平台软件及服务内容</t>
  </si>
  <si>
    <t>智慧场站Ⅲ区系统平台及智慧无人值守场站基础部署硬件</t>
  </si>
  <si>
    <t>大数据平台服务器</t>
  </si>
  <si>
    <t>CPU： 2*海光X86CPU 16C 2.0GHz
内存：16* 64GB DDR4 
硬盘：4块1.92TB SSD
          4块12TB 7.2k SATA HDD
          6块2.4TB 10k SAS HDD
RAID: 1*4G 8口 RAID卡
网卡：1*板载双口千兆网口RJ45
      1*双口千兆网口RJ45      
      2*双口万兆电口网卡
电源：冗余电源</t>
  </si>
  <si>
    <t>台</t>
  </si>
  <si>
    <t>大数据核心交换机</t>
  </si>
  <si>
    <t>24个100M/1/2.5/5/10G以太网端口,4个25G SFP28,2个100G QSFP28,单子卡槽位,PoE++,双电源</t>
  </si>
  <si>
    <t>交换机</t>
  </si>
  <si>
    <t xml:space="preserve">24个10/100/1000BASE-T以太网端口,4个万兆SFP+,2个12GE堆叠口,不含电源) /  80W交流模块（66mm宽外壳，左右风道）*2 </t>
  </si>
  <si>
    <t>工作站</t>
  </si>
  <si>
    <t>i5-10400/8G/1T/集成显卡/win10 home 64/键鼠/24寸显示器</t>
  </si>
  <si>
    <t>大数据基础支撑平台</t>
  </si>
  <si>
    <t>具备设备物联接入、数据存储、数据计算（包括数据流处理及批处理）、数据共享能力，支撑新能源风电、光伏等业务数据的接入需求，实现海量数据的存储计算与分析共享。
1）具备良好的开放性和可扩展性。平台基于开源架构构建，具备可扩展性，能够支持资产扩容需求。
2）具备设备建模能力。具备针对不同设备类型、设备型号建立设备模型的能力，并具备模型的自定义及扩展能力。
3）具备数据存储能力。平台所使用的数据库依托于开源构建，包括关系数据库、Key-Value数据库、时序数据库。
4）具备流处理能力，具备通用数据处理方法的沉淀能力；具备大数据任务调度能力，具备支撑SHELL、SQL、MAPREDUCE等任务类型的能力。
5）具备数据共享能力，具备将系统平台功能以API和SDK的形式开放的能力。</t>
  </si>
  <si>
    <t>套</t>
  </si>
  <si>
    <t>场站监视管理及绩效管理</t>
  </si>
  <si>
    <t>1.实时监控实时发电量，实现场站、设备一体化监视。电量透明：统计实际发电量，计算理论应发电量，按客户要求自动计算各原因损失电量，并与计划发电量、设计发电量对比差异；
2）提供场站及发电设备告警监测与历史事件查询、设备数据统计与报表管理、核心数据分析等多业务一体化集中监控支撑。
3）固化行业内风电场绩效常用指标，对风场发电能力智能评估并对损失电量进行分解，实现风场绩效透明
4）智能统计报表：支持场站综合报表、发电量报表、停机记录表、首发故障表、状态明细表、升压站报表、长停风机报表，无故障风场报表等
5）支持展示过去一段时间内单个/多个升压站场站总体的馈线发电量、上网电量、下网电量、场用电量/率、变损和线损指标总体数据
6）完善的告警服务功能支持用户设置简单的弹窗提示方式，或创建复杂的告警通知规则，以适合自己的方式获得提醒，提高告警发生时的响应度</t>
  </si>
  <si>
    <t>风机大部件智能预警诊断系统</t>
  </si>
  <si>
    <t>1）通过风机SCADA数据、CMS振动数据，进行大数据分析可发现风机主轴承、齿轮箱、联轴器、发电机等机械传动链问题，评估部件健康度，及时提出维护与检修建议。
2）对传动链中的关键部件（主轴、齿轮箱和发电机）进行亚健康的识别、诊断及早期故障预警，提前识别故障，避免非计划性停机
3）控制系统预警聚焦风机控制系统，采用风机历史运行数据，基于机器学习以及累计异常检测算法，针对影响风机功率曲线性能的偏航设备、变桨系统以及转矩系统，实现因风机设备性能不佳导致的发电性能跌落告警。
4）降容预警采用风机历史运行数据，运用数据深度挖掘、大数据全面统计分析算法，结合物理特征和环境信息进行风机功率状态判别，涵盖风机主动停机状态识别、风机设备故障停机、电网限电状态、功率非物理性状态识别、以及风机降容状态识别，对风机主控系统设备故障导致的风机降容进行预警，并深度分析风机降容运行的原理，以及导致的风机发电量损失的潜在风险。
5）传感器预警采用风机历史运行数据，基于空间经纬度邻近算法进行目标风机的邻近风机计算选择，基于机器学习的随机森林算法进行环境因素精准回归，基于累计异常算法以及滑动窗口算法对数据残差序列进行异常检测，实现传感器的性能监控以及异常预警。</t>
  </si>
  <si>
    <t>监视管理及绩效管理接入实施</t>
  </si>
  <si>
    <t>数据接入，应用模型配置，功能调试</t>
  </si>
  <si>
    <t>站</t>
  </si>
  <si>
    <t>大部件智能预警诊断配置实施</t>
  </si>
  <si>
    <t>数据接入，模型映射，算法调试，算法优化等</t>
  </si>
  <si>
    <t>全景监测</t>
  </si>
  <si>
    <t>1.一次设备看视频：在各一次设备的巡视点位，在接线图中可直接查看实时视频数据
2.表计看视频：对表计有巡视点位的，可在通过视频直接看表计信息
3.告警看视频：展示巡视过程中产生的告警事件信息，并查看告警过程中的历史视频
4.支持风机结合巡视点位、红外热成像、巡检机器人等技术，实现风机的全景监视，提升运维效率和安全性</t>
  </si>
  <si>
    <t>综合告警</t>
  </si>
  <si>
    <t>打通场站多套辅助系统，整合接入设备告警、巡检告警、周界入侵、火灾告警、异常作业告警等告警数据，指导场站的事件处置及闭环管理。</t>
  </si>
  <si>
    <t>巡检管理</t>
  </si>
  <si>
    <t>1.根据设备工艺、国家法规以及行业协会的巡检标准，编制设备巡检检查工作的步骤，包括判断标准、巡检周期以及所需工器具等资料。这些步骤将被纳入巡检标准管理中，以确保设备的正常运行。
2.巡检线路是一组设备或者位置的组合，根据现场设备巡回检查的顺序，定义各种巡回检查路线，确保所有设备被巡检覆盖。
3.根据巡检路线和巡检标准所定义的巡检内容和巡检频率，生成巡检计划，并将其下发至站端数字化边缘平台。数字化边平台随后将巡检计划推送至站端自动巡检系统以执行。
4.场站数据采集系统将站端自动巡检的结果（包括报警、图片和视频）进行采集，并将巡检结果发送至巡检管理应用，以进行巡检结果的展示。
5.可基于巡检计划安排自动生成巡检报告。</t>
  </si>
  <si>
    <t>作业过程监督</t>
  </si>
  <si>
    <t>1.作业实时监督：联动工单与穿戴设备的定位数据、视频数据，实现单场站的作业过程实时监视。以地图与列表的形式，可实现作业过程中，通过穿戴设备进行视频、呼叫、查看历史移动轨迹操作。
2.作业质量追溯：实现历史已作业工单的视频回看，追溯历史工作中的详细作业视频记录。
3.轨迹管理：人车定位及轨迹管理。</t>
  </si>
  <si>
    <t>智慧场站管理系统部署调试</t>
  </si>
  <si>
    <t>智慧场站管理系统部署实施服务</t>
  </si>
  <si>
    <t>项</t>
  </si>
  <si>
    <t>智慧场站应用模块接入实施</t>
  </si>
  <si>
    <t>智慧场站应用数据接入，模型映射，算法调试等</t>
  </si>
  <si>
    <t>二</t>
  </si>
  <si>
    <t>场站端采集软硬件、智能化装备及服务内容</t>
  </si>
  <si>
    <t>数据采集软硬件及实施服务</t>
  </si>
  <si>
    <t>数据采集装置</t>
  </si>
  <si>
    <t>CPU：国产海光CPU  不小于8核 主频不小于2.5GHz
内存：1 * 32GB DDR4 
硬盘：3 * 2.4T 10K SAS HDD
RAID卡:1 * 8口 RAID卡，支持raid0/1/5
网卡：1 * 板载千兆双口网卡
1 * 四口千兆以太网卡
双电源</t>
  </si>
  <si>
    <t>操作系统及探针</t>
  </si>
  <si>
    <t>国产操作系统及探针</t>
  </si>
  <si>
    <t>I、II区防火墙</t>
  </si>
  <si>
    <t>2*GE RJ45 + 8*GE COMBO + 2*10GE SFP+,1交流电源,含SSL VPN 100用户)，额外60W 交流电源模块</t>
  </si>
  <si>
    <t>正向隔离</t>
  </si>
  <si>
    <t>百兆正向隔离</t>
  </si>
  <si>
    <t>机柜</t>
  </si>
  <si>
    <t>标准服务器机柜800*1000*2000、1块托盘，2块PDU单元</t>
  </si>
  <si>
    <t>面</t>
  </si>
  <si>
    <t>场站端数据采集边缘计算软件</t>
  </si>
  <si>
    <t>数据采集软件</t>
  </si>
  <si>
    <t>场站端数据采集实施服务</t>
  </si>
  <si>
    <t>点表配置、数据核对，设备上架，控制联调</t>
  </si>
  <si>
    <t>场站端智慧化设备数据接入</t>
  </si>
  <si>
    <t>智慧场站管理系统数据接入调试服务</t>
  </si>
  <si>
    <t>场站端接口开放协调</t>
  </si>
  <si>
    <t>场站端系统需接入到集控和智慧场站管理系统的第三方系统接口协调开放工作(含远动机)</t>
  </si>
  <si>
    <t>场站端辅助数据采集实施服务</t>
  </si>
  <si>
    <t>场站端除本次提供的系统以外的第三方系统接入集控综合告警展示实施配置服务</t>
  </si>
  <si>
    <t>系统</t>
  </si>
  <si>
    <t>场站端智能化装备及服务</t>
  </si>
  <si>
    <t>智能安防</t>
  </si>
  <si>
    <t>2.1.1</t>
  </si>
  <si>
    <t>智能门禁子系统</t>
  </si>
  <si>
    <t>生物信息采集仪</t>
  </si>
  <si>
    <t>人脸门禁一体机（双门）</t>
  </si>
  <si>
    <t>门禁-开门按钮（双门）</t>
  </si>
  <si>
    <t>只</t>
  </si>
  <si>
    <t>遮阳罩（双门）</t>
  </si>
  <si>
    <t>门禁开关电源（双门）</t>
  </si>
  <si>
    <t>磁力锁（双门）</t>
  </si>
  <si>
    <t>把</t>
  </si>
  <si>
    <t>磁力锁配件（双门）</t>
  </si>
  <si>
    <t>2.1.2</t>
  </si>
  <si>
    <t>周界防护电子围栏</t>
  </si>
  <si>
    <t>双防区脉冲主机</t>
  </si>
  <si>
    <t>电子围栏室外设备箱</t>
  </si>
  <si>
    <t>报警软件（含主机+键盘）</t>
  </si>
  <si>
    <t>轻智能警戒网络摄像机</t>
  </si>
  <si>
    <t>周界相机</t>
  </si>
  <si>
    <t>支架</t>
  </si>
  <si>
    <t>周界相机支架</t>
  </si>
  <si>
    <t>辅材、立杆等</t>
  </si>
  <si>
    <t>日常智能巡检设备</t>
  </si>
  <si>
    <t>2.2.1</t>
  </si>
  <si>
    <t>升压站智能巡检</t>
  </si>
  <si>
    <t>2.2.1.1</t>
  </si>
  <si>
    <t>可见光巡视子系统</t>
  </si>
  <si>
    <t>PTZ小球</t>
  </si>
  <si>
    <t>PTZ小球（吊装）</t>
  </si>
  <si>
    <t>电源适配器系列</t>
  </si>
  <si>
    <t>2.2.1.2</t>
  </si>
  <si>
    <t>热成像巡视子系统</t>
  </si>
  <si>
    <t>双光谱测温MINI云台</t>
  </si>
  <si>
    <t>双光谱测温5寸球机</t>
  </si>
  <si>
    <t>2.2.1.3</t>
  </si>
  <si>
    <t>生活区视频摄像子系统</t>
  </si>
  <si>
    <t>视频监控工作站</t>
  </si>
  <si>
    <t>嵌入式硬盘录像机</t>
  </si>
  <si>
    <t>光纤环网交换机</t>
  </si>
  <si>
    <t>网络交换机</t>
  </si>
  <si>
    <t>屏柜</t>
  </si>
  <si>
    <t>升压站进门车牌识别系统</t>
  </si>
  <si>
    <t>2.2.1.4</t>
  </si>
  <si>
    <t>动环辅控管理子系统</t>
  </si>
  <si>
    <t>温湿度传感器</t>
  </si>
  <si>
    <t>动环物联网关</t>
  </si>
  <si>
    <t>2.2.2</t>
  </si>
  <si>
    <t>风机智能巡检</t>
  </si>
  <si>
    <t>2.2.2.1</t>
  </si>
  <si>
    <t>双目热成像测温半球</t>
  </si>
  <si>
    <t>智能消防子系统</t>
  </si>
  <si>
    <t>用户信息传输装置</t>
  </si>
  <si>
    <t>通讯卡及配件</t>
  </si>
  <si>
    <t>无人机巡检系统（集电线路/叶片智能巡检）</t>
  </si>
  <si>
    <t>无人机巡检硬件</t>
  </si>
  <si>
    <t>含无人机机库套装、保险、存储卡、读卡器、交换机、手持故障追踪仪、机柜及辅材</t>
  </si>
  <si>
    <t>无人机系统及部署调试服务</t>
  </si>
  <si>
    <t>无人机软件系统安装、部署调试、设备故障巡检验证</t>
  </si>
  <si>
    <t>场站和智能化装备公共设备</t>
  </si>
  <si>
    <t>双路通用服务器</t>
  </si>
  <si>
    <t>intel双路通用服务器</t>
  </si>
  <si>
    <t>表计巡检超脑</t>
  </si>
  <si>
    <t>AI融合巡检超脑</t>
  </si>
  <si>
    <t>AI盘</t>
  </si>
  <si>
    <t>块</t>
  </si>
  <si>
    <t>集中存储设备</t>
  </si>
  <si>
    <t>包含32块硬盘（价格：5050）（12TB容量，3.5英寸，SATA3.0接口，7200RPM
空气盘， CMR传统磁记录
传输速率267 MB/s，256MB高速缓存，流畅存储视频有效防止丢帧
MTBF可达2,000,000小时
支持5年有限质保服务
适用海拔高度范围-305m至3050m
接口类型：SATA
尺寸：147mm(L)×101.6mm(W)×26.1mm(H)
转速：7200RPM
平均读写功率（W）：10.4W
缓存：256MB
刻录技术：CMR
接口传输速率（最大值）：6.0Gb/s
MTBF：2,000,000 ）</t>
  </si>
  <si>
    <t>基础包</t>
  </si>
  <si>
    <t>视频监控【含信息总览驾驶舱】</t>
  </si>
  <si>
    <t>路</t>
  </si>
  <si>
    <t>视频联网</t>
  </si>
  <si>
    <t>门禁管理</t>
  </si>
  <si>
    <t>门</t>
  </si>
  <si>
    <t>出入口车辆放行管理</t>
  </si>
  <si>
    <t>车道</t>
  </si>
  <si>
    <t>园区人员布控</t>
  </si>
  <si>
    <t>园区人车智能搜索</t>
  </si>
  <si>
    <t>事件处置</t>
  </si>
  <si>
    <t>设备网络管理</t>
  </si>
  <si>
    <t>视频质量诊断</t>
  </si>
  <si>
    <t>巡更管理</t>
  </si>
  <si>
    <t>消防工作台</t>
  </si>
  <si>
    <t>消防设备网管</t>
  </si>
  <si>
    <t>火灾报警监测</t>
  </si>
  <si>
    <t>AR实景</t>
  </si>
  <si>
    <t>AR实景场景数</t>
  </si>
  <si>
    <t>个</t>
  </si>
  <si>
    <t>设备巡检【含隐患排查】</t>
  </si>
  <si>
    <t>智能分析接入数量【表计状态类】</t>
  </si>
  <si>
    <t>红外测温</t>
  </si>
  <si>
    <t>动环监控应用【含智能辅控驾驶舱】</t>
  </si>
  <si>
    <t>AI模型管理</t>
  </si>
  <si>
    <t>软件定制</t>
  </si>
  <si>
    <t>人天</t>
  </si>
  <si>
    <t>报警综合处置</t>
  </si>
  <si>
    <t>视频网络管理</t>
  </si>
  <si>
    <t>三</t>
  </si>
  <si>
    <t>安装调试</t>
  </si>
  <si>
    <t>工程费含增值税</t>
  </si>
  <si>
    <t>增值税</t>
  </si>
  <si>
    <t>工程费（不含增值税）</t>
  </si>
  <si>
    <t>备注：软件部分的功能描述也还需要再细化</t>
    <phoneticPr fontId="3" type="noConversion"/>
  </si>
  <si>
    <t>涉及第三方的系统数量不明确，可能会有接口费</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</si>
</sst>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8" formatCode="0.00_ "/>
    <numFmt numFmtId="179" formatCode="0.00_);[Red]\(0.00\)"/>
    <numFmt numFmtId="180" formatCode="0.0_);[Red]\(0.0\)"/>
    <numFmt numFmtId="181" formatCode="0.0000_);[Red]\(0.0000\)"/>
  </numFmts>
  <fonts count="6" x14ac:knownFonts="1">
    <font>
      <sz val="11"/>
      <color theme="1"/>
      <name val="宋体"/>
      <charset val="134"/>
      <scheme val="minor"/>
    </font>
    <font>
      <sz val="10"/>
      <color theme="1"/>
      <name val="宋体"/>
      <charset val="134"/>
      <scheme val="minor"/>
    </font>
    <font>
      <sz val="11"/>
      <color indexed="8"/>
      <name val="宋体"/>
      <charset val="134"/>
    </font>
    <font>
      <sz val="9"/>
      <name val="宋体"/>
      <charset val="134"/>
      <scheme val="minor"/>
    </font>
    <font>
      <sz val="10"/>
      <color theme="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2" fillId="0" borderId="0">
      <alignment vertical="center"/>
    </xf>
    <xf numFmtId="0" fontId="2" fillId="0" borderId="0">
      <alignment vertical="center"/>
    </xf>
  </cellStyleXfs>
  <cellXfs count="34">
    <xf numFmtId="0" fontId="0" fillId="0" borderId="0" xfId="0" applyAlignment="1">
      <alignment vertical="center"/>
    </xf>
    <xf numFmtId="0" fontId="1" fillId="0" borderId="0" xfId="0" applyFont="1" applyFill="1" applyAlignment="1">
      <alignment horizontal="center" vertical="center"/>
    </xf>
    <xf numFmtId="0" fontId="1" fillId="0" borderId="0" xfId="0" applyFont="1" applyFill="1" applyAlignment="1">
      <alignment horizontal="center"/>
    </xf>
    <xf numFmtId="0" fontId="1" fillId="0" borderId="0" xfId="0" applyFont="1" applyFill="1" applyAlignment="1">
      <alignment horizontal="left"/>
    </xf>
    <xf numFmtId="0" fontId="1" fillId="0" borderId="0" xfId="0" applyFont="1" applyFill="1" applyAlignment="1">
      <alignment horizontal="left" wrapText="1"/>
    </xf>
    <xf numFmtId="0" fontId="1" fillId="0" borderId="0" xfId="0" applyFont="1" applyFill="1" applyAlignment="1"/>
    <xf numFmtId="178" fontId="1" fillId="0" borderId="0" xfId="0" applyNumberFormat="1" applyFont="1" applyFill="1" applyAlignment="1">
      <alignment horizont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2" applyFont="1" applyFill="1" applyBorder="1" applyAlignment="1">
      <alignment horizontal="center" vertical="center" wrapText="1"/>
    </xf>
    <xf numFmtId="0" fontId="1" fillId="0" borderId="1" xfId="2" applyFont="1" applyFill="1" applyBorder="1" applyAlignment="1">
      <alignment vertical="center" wrapText="1"/>
    </xf>
    <xf numFmtId="38" fontId="1" fillId="0" borderId="1" xfId="2" applyNumberFormat="1" applyFont="1" applyFill="1" applyBorder="1" applyAlignment="1">
      <alignment horizontal="center" vertical="center" wrapText="1"/>
    </xf>
    <xf numFmtId="179" fontId="1" fillId="0" borderId="1" xfId="2" applyNumberFormat="1" applyFont="1" applyFill="1" applyBorder="1" applyAlignment="1">
      <alignment horizontal="center" vertical="center" wrapText="1"/>
    </xf>
    <xf numFmtId="0" fontId="1" fillId="0" borderId="1" xfId="1" applyFont="1" applyFill="1" applyBorder="1" applyAlignment="1">
      <alignment horizontal="left" vertical="center" wrapText="1"/>
    </xf>
    <xf numFmtId="178" fontId="1" fillId="0" borderId="1" xfId="0" applyNumberFormat="1" applyFont="1" applyFill="1" applyBorder="1" applyAlignment="1">
      <alignment horizontal="right" vertical="center" wrapText="1"/>
    </xf>
    <xf numFmtId="179" fontId="1" fillId="0" borderId="1" xfId="0" applyNumberFormat="1" applyFont="1" applyFill="1" applyBorder="1" applyAlignment="1">
      <alignment horizontal="right" vertical="center" wrapText="1"/>
    </xf>
    <xf numFmtId="180" fontId="1" fillId="0" borderId="1" xfId="0" applyNumberFormat="1" applyFont="1" applyFill="1" applyBorder="1" applyAlignment="1">
      <alignment horizontal="right" vertical="center" wrapText="1"/>
    </xf>
    <xf numFmtId="178" fontId="1" fillId="0" borderId="1" xfId="2" applyNumberFormat="1" applyFont="1" applyFill="1" applyBorder="1" applyAlignment="1">
      <alignment horizontal="right" vertical="center" wrapText="1"/>
    </xf>
    <xf numFmtId="179" fontId="1" fillId="0" borderId="1" xfId="2" applyNumberFormat="1" applyFont="1" applyFill="1" applyBorder="1" applyAlignment="1">
      <alignment horizontal="right" vertical="center" wrapText="1"/>
    </xf>
    <xf numFmtId="0" fontId="1" fillId="2" borderId="1" xfId="2"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178" fontId="1" fillId="2" borderId="1" xfId="0" applyNumberFormat="1" applyFont="1" applyFill="1" applyBorder="1" applyAlignment="1">
      <alignment horizontal="right" vertical="center" wrapText="1"/>
    </xf>
    <xf numFmtId="0" fontId="1" fillId="2" borderId="1" xfId="1" applyFont="1" applyFill="1" applyBorder="1" applyAlignment="1">
      <alignment horizontal="left" vertical="center" wrapText="1"/>
    </xf>
    <xf numFmtId="178" fontId="1" fillId="2" borderId="1" xfId="2" applyNumberFormat="1" applyFont="1" applyFill="1" applyBorder="1" applyAlignment="1">
      <alignment horizontal="center" vertical="center" wrapText="1"/>
    </xf>
    <xf numFmtId="181" fontId="1" fillId="0" borderId="1" xfId="2" applyNumberFormat="1" applyFont="1" applyFill="1" applyBorder="1" applyAlignment="1">
      <alignment horizontal="right" vertical="center" wrapText="1"/>
    </xf>
    <xf numFmtId="180" fontId="1" fillId="0" borderId="1" xfId="0" applyNumberFormat="1" applyFont="1" applyFill="1" applyBorder="1" applyAlignment="1">
      <alignment horizontal="left" vertical="center" wrapText="1"/>
    </xf>
    <xf numFmtId="0" fontId="1" fillId="0" borderId="1" xfId="0" applyFont="1" applyFill="1" applyBorder="1" applyAlignment="1">
      <alignment horizontal="right" wrapText="1"/>
    </xf>
    <xf numFmtId="0" fontId="1" fillId="0" borderId="1" xfId="0" applyFont="1" applyFill="1" applyBorder="1" applyAlignment="1">
      <alignment vertical="center" wrapText="1"/>
    </xf>
    <xf numFmtId="2" fontId="1" fillId="0" borderId="1" xfId="0" applyNumberFormat="1" applyFont="1" applyFill="1" applyBorder="1" applyAlignment="1">
      <alignment horizontal="righ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4" fillId="2" borderId="0" xfId="0" applyFont="1" applyFill="1" applyAlignment="1">
      <alignment horizontal="center"/>
    </xf>
    <xf numFmtId="0" fontId="1" fillId="2" borderId="0" xfId="0" applyFont="1" applyFill="1" applyAlignment="1">
      <alignment horizontal="center"/>
    </xf>
  </cellXfs>
  <cellStyles count="3">
    <cellStyle name="常规" xfId="0" builtinId="0"/>
    <cellStyle name="常规 3 2" xfId="1" xr:uid="{00000000-0005-0000-0000-000031000000}"/>
    <cellStyle name="常规 4 2"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tabSelected="1" workbookViewId="0">
      <selection activeCell="I80" sqref="I80"/>
    </sheetView>
  </sheetViews>
  <sheetFormatPr defaultColWidth="9" defaultRowHeight="12" x14ac:dyDescent="0.15"/>
  <cols>
    <col min="1" max="1" width="9.5" style="2" customWidth="1"/>
    <col min="2" max="2" width="31.5" style="3" customWidth="1"/>
    <col min="3" max="3" width="49.75" style="3" customWidth="1"/>
    <col min="4" max="4" width="8.625" style="4" customWidth="1"/>
    <col min="5" max="5" width="8.625" style="5" customWidth="1"/>
    <col min="6" max="7" width="10.75" style="5" customWidth="1"/>
    <col min="8" max="8" width="12.5" style="6" customWidth="1"/>
    <col min="9" max="9" width="72" style="6" customWidth="1"/>
    <col min="10" max="13" width="8.625" style="6" customWidth="1"/>
    <col min="14" max="14" width="8.625" style="3" customWidth="1"/>
    <col min="15" max="16" width="8.625" style="5" customWidth="1"/>
    <col min="17" max="17" width="17.125" style="5" customWidth="1"/>
    <col min="18" max="16384" width="9" style="5"/>
  </cols>
  <sheetData>
    <row r="1" spans="1:17" x14ac:dyDescent="0.15">
      <c r="A1" s="30" t="s">
        <v>0</v>
      </c>
      <c r="B1" s="30" t="s">
        <v>1</v>
      </c>
      <c r="C1" s="30" t="s">
        <v>2</v>
      </c>
      <c r="D1" s="30" t="s">
        <v>3</v>
      </c>
      <c r="E1" s="30" t="s">
        <v>4</v>
      </c>
      <c r="F1" s="7"/>
      <c r="G1" s="7"/>
      <c r="H1" s="30" t="s">
        <v>5</v>
      </c>
      <c r="I1" s="30"/>
      <c r="J1" s="30"/>
      <c r="K1" s="30"/>
      <c r="L1" s="30" t="s">
        <v>6</v>
      </c>
      <c r="M1" s="30"/>
      <c r="N1" s="30"/>
      <c r="O1" s="30"/>
      <c r="P1" s="30" t="s">
        <v>7</v>
      </c>
      <c r="Q1" s="31" t="s">
        <v>8</v>
      </c>
    </row>
    <row r="2" spans="1:17" ht="24" x14ac:dyDescent="0.15">
      <c r="A2" s="30"/>
      <c r="B2" s="30"/>
      <c r="C2" s="30"/>
      <c r="D2" s="30"/>
      <c r="E2" s="30"/>
      <c r="F2" s="7" t="s">
        <v>9</v>
      </c>
      <c r="G2" s="7" t="s">
        <v>10</v>
      </c>
      <c r="H2" s="7" t="s">
        <v>11</v>
      </c>
      <c r="I2" s="7" t="s">
        <v>12</v>
      </c>
      <c r="J2" s="7" t="s">
        <v>13</v>
      </c>
      <c r="K2" s="7" t="s">
        <v>14</v>
      </c>
      <c r="L2" s="7" t="s">
        <v>11</v>
      </c>
      <c r="M2" s="7" t="s">
        <v>12</v>
      </c>
      <c r="N2" s="7" t="s">
        <v>13</v>
      </c>
      <c r="O2" s="7" t="s">
        <v>14</v>
      </c>
      <c r="P2" s="30"/>
      <c r="Q2" s="31"/>
    </row>
    <row r="3" spans="1:17" s="1" customFormat="1" x14ac:dyDescent="0.15">
      <c r="A3" s="9" t="s">
        <v>15</v>
      </c>
      <c r="B3" s="10" t="s">
        <v>16</v>
      </c>
      <c r="C3" s="10"/>
      <c r="D3" s="9"/>
      <c r="E3" s="11"/>
      <c r="F3" s="11"/>
      <c r="G3" s="11"/>
      <c r="H3" s="12"/>
      <c r="I3" s="12"/>
      <c r="J3" s="12"/>
      <c r="K3" s="12"/>
      <c r="L3" s="12"/>
      <c r="M3" s="12"/>
      <c r="N3" s="12"/>
      <c r="O3" s="12"/>
      <c r="P3" s="12"/>
      <c r="Q3" s="7"/>
    </row>
    <row r="4" spans="1:17" s="1" customFormat="1" ht="24" x14ac:dyDescent="0.15">
      <c r="A4" s="9">
        <v>1</v>
      </c>
      <c r="B4" s="10" t="s">
        <v>17</v>
      </c>
      <c r="C4" s="10"/>
      <c r="D4" s="9"/>
      <c r="E4" s="11"/>
      <c r="F4" s="11"/>
      <c r="G4" s="11"/>
      <c r="H4" s="12"/>
      <c r="I4" s="12"/>
      <c r="J4" s="12"/>
      <c r="K4" s="12"/>
      <c r="L4" s="12"/>
      <c r="M4" s="12"/>
      <c r="N4" s="12"/>
      <c r="O4" s="12"/>
      <c r="P4" s="12"/>
      <c r="Q4" s="7"/>
    </row>
    <row r="5" spans="1:17" s="1" customFormat="1" ht="120" x14ac:dyDescent="0.15">
      <c r="A5" s="9">
        <v>1.1000000000000001</v>
      </c>
      <c r="B5" s="13" t="s">
        <v>18</v>
      </c>
      <c r="C5" s="13" t="s">
        <v>19</v>
      </c>
      <c r="D5" s="7" t="s">
        <v>20</v>
      </c>
      <c r="E5" s="14">
        <v>3</v>
      </c>
      <c r="F5" s="14">
        <v>87500</v>
      </c>
      <c r="G5" s="14">
        <f>E5*F5</f>
        <v>262500</v>
      </c>
      <c r="H5" s="15"/>
      <c r="I5" s="16"/>
      <c r="J5" s="16"/>
      <c r="K5" s="16"/>
      <c r="L5" s="15"/>
      <c r="M5" s="16"/>
      <c r="N5" s="16"/>
      <c r="O5" s="16"/>
      <c r="P5" s="15"/>
      <c r="Q5" s="7"/>
    </row>
    <row r="6" spans="1:17" s="1" customFormat="1" ht="24" x14ac:dyDescent="0.15">
      <c r="A6" s="9">
        <v>1.2</v>
      </c>
      <c r="B6" s="13" t="s">
        <v>21</v>
      </c>
      <c r="C6" s="13" t="s">
        <v>22</v>
      </c>
      <c r="D6" s="7" t="s">
        <v>20</v>
      </c>
      <c r="E6" s="14">
        <v>2</v>
      </c>
      <c r="F6" s="14">
        <v>8720</v>
      </c>
      <c r="G6" s="14">
        <f t="shared" ref="G6:G37" si="0">E6*F6</f>
        <v>17440</v>
      </c>
      <c r="H6" s="15"/>
      <c r="I6" s="16"/>
      <c r="J6" s="16"/>
      <c r="K6" s="16"/>
      <c r="L6" s="15"/>
      <c r="M6" s="16"/>
      <c r="N6" s="16"/>
      <c r="O6" s="16"/>
      <c r="P6" s="15"/>
      <c r="Q6" s="7"/>
    </row>
    <row r="7" spans="1:17" s="1" customFormat="1" ht="24" x14ac:dyDescent="0.15">
      <c r="A7" s="9">
        <v>1.3</v>
      </c>
      <c r="B7" s="13" t="s">
        <v>23</v>
      </c>
      <c r="C7" s="13" t="s">
        <v>24</v>
      </c>
      <c r="D7" s="7" t="s">
        <v>20</v>
      </c>
      <c r="E7" s="14">
        <v>2</v>
      </c>
      <c r="F7" s="14">
        <v>6125</v>
      </c>
      <c r="G7" s="14">
        <f t="shared" si="0"/>
        <v>12250</v>
      </c>
      <c r="H7" s="15"/>
      <c r="I7" s="16"/>
      <c r="J7" s="16"/>
      <c r="K7" s="16"/>
      <c r="L7" s="15"/>
      <c r="M7" s="16"/>
      <c r="N7" s="16"/>
      <c r="O7" s="16"/>
      <c r="P7" s="15"/>
      <c r="Q7" s="7"/>
    </row>
    <row r="8" spans="1:17" s="1" customFormat="1" x14ac:dyDescent="0.15">
      <c r="A8" s="9">
        <v>1.4</v>
      </c>
      <c r="B8" s="13" t="s">
        <v>25</v>
      </c>
      <c r="C8" s="13" t="s">
        <v>26</v>
      </c>
      <c r="D8" s="7" t="s">
        <v>20</v>
      </c>
      <c r="E8" s="14">
        <v>4</v>
      </c>
      <c r="F8" s="14">
        <v>16250</v>
      </c>
      <c r="G8" s="14">
        <f t="shared" si="0"/>
        <v>65000</v>
      </c>
      <c r="H8" s="15"/>
      <c r="I8" s="16"/>
      <c r="J8" s="16"/>
      <c r="K8" s="16"/>
      <c r="L8" s="15"/>
      <c r="M8" s="16"/>
      <c r="N8" s="16"/>
      <c r="O8" s="16"/>
      <c r="P8" s="15"/>
      <c r="Q8" s="7"/>
    </row>
    <row r="9" spans="1:17" s="1" customFormat="1" x14ac:dyDescent="0.15">
      <c r="A9" s="9">
        <v>2</v>
      </c>
      <c r="B9" s="10" t="s">
        <v>16</v>
      </c>
      <c r="C9" s="10"/>
      <c r="D9" s="9"/>
      <c r="E9" s="17"/>
      <c r="F9" s="17"/>
      <c r="G9" s="14"/>
      <c r="H9" s="15"/>
      <c r="I9" s="18"/>
      <c r="J9" s="18"/>
      <c r="K9" s="18"/>
      <c r="L9" s="18"/>
      <c r="M9" s="18"/>
      <c r="N9" s="18"/>
      <c r="O9" s="18"/>
      <c r="P9" s="18"/>
      <c r="Q9" s="7"/>
    </row>
    <row r="10" spans="1:17" s="1" customFormat="1" ht="168" x14ac:dyDescent="0.15">
      <c r="A10" s="19">
        <v>2.1</v>
      </c>
      <c r="B10" s="20" t="s">
        <v>27</v>
      </c>
      <c r="C10" s="20" t="s">
        <v>28</v>
      </c>
      <c r="D10" s="21" t="s">
        <v>29</v>
      </c>
      <c r="E10" s="22">
        <v>1</v>
      </c>
      <c r="F10" s="22">
        <v>200000</v>
      </c>
      <c r="G10" s="22">
        <f t="shared" si="0"/>
        <v>200000</v>
      </c>
      <c r="H10" s="15"/>
      <c r="I10" s="16"/>
      <c r="J10" s="16"/>
      <c r="K10" s="16"/>
      <c r="L10" s="15"/>
      <c r="M10" s="16"/>
      <c r="N10" s="16"/>
      <c r="O10" s="16"/>
      <c r="P10" s="15"/>
      <c r="Q10" s="7"/>
    </row>
    <row r="11" spans="1:17" s="1" customFormat="1" ht="180" x14ac:dyDescent="0.15">
      <c r="A11" s="19">
        <v>2.2000000000000002</v>
      </c>
      <c r="B11" s="20" t="s">
        <v>30</v>
      </c>
      <c r="C11" s="20" t="s">
        <v>31</v>
      </c>
      <c r="D11" s="21" t="s">
        <v>29</v>
      </c>
      <c r="E11" s="22">
        <v>1</v>
      </c>
      <c r="F11" s="22">
        <v>180000</v>
      </c>
      <c r="G11" s="22">
        <f t="shared" si="0"/>
        <v>180000</v>
      </c>
      <c r="H11" s="15"/>
      <c r="I11" s="16"/>
      <c r="J11" s="16"/>
      <c r="K11" s="16"/>
      <c r="L11" s="15"/>
      <c r="M11" s="16"/>
      <c r="N11" s="16"/>
      <c r="O11" s="16"/>
      <c r="P11" s="15"/>
      <c r="Q11" s="7"/>
    </row>
    <row r="12" spans="1:17" s="1" customFormat="1" ht="228" x14ac:dyDescent="0.15">
      <c r="A12" s="19">
        <v>2.2999999999999998</v>
      </c>
      <c r="B12" s="23" t="s">
        <v>32</v>
      </c>
      <c r="C12" s="20" t="s">
        <v>33</v>
      </c>
      <c r="D12" s="21" t="s">
        <v>29</v>
      </c>
      <c r="E12" s="22">
        <v>1</v>
      </c>
      <c r="F12" s="22">
        <v>150000</v>
      </c>
      <c r="G12" s="22">
        <f t="shared" si="0"/>
        <v>150000</v>
      </c>
      <c r="H12" s="15"/>
      <c r="I12" s="16"/>
      <c r="J12" s="16"/>
      <c r="K12" s="16"/>
      <c r="L12" s="15"/>
      <c r="M12" s="16"/>
      <c r="N12" s="16"/>
      <c r="O12" s="16"/>
      <c r="P12" s="15"/>
      <c r="Q12" s="7"/>
    </row>
    <row r="13" spans="1:17" s="1" customFormat="1" x14ac:dyDescent="0.15">
      <c r="A13" s="19">
        <v>2.4</v>
      </c>
      <c r="B13" s="23" t="s">
        <v>34</v>
      </c>
      <c r="C13" s="23" t="s">
        <v>35</v>
      </c>
      <c r="D13" s="21" t="s">
        <v>36</v>
      </c>
      <c r="E13" s="22">
        <v>1</v>
      </c>
      <c r="F13" s="22">
        <v>30000</v>
      </c>
      <c r="G13" s="22">
        <f t="shared" si="0"/>
        <v>30000</v>
      </c>
      <c r="H13" s="15"/>
      <c r="I13" s="16"/>
      <c r="J13" s="16"/>
      <c r="K13" s="16"/>
      <c r="L13" s="15"/>
      <c r="M13" s="16"/>
      <c r="N13" s="16"/>
      <c r="O13" s="16"/>
      <c r="P13" s="15"/>
      <c r="Q13" s="7"/>
    </row>
    <row r="14" spans="1:17" s="1" customFormat="1" x14ac:dyDescent="0.15">
      <c r="A14" s="19">
        <v>2.5</v>
      </c>
      <c r="B14" s="23" t="s">
        <v>37</v>
      </c>
      <c r="C14" s="23" t="s">
        <v>38</v>
      </c>
      <c r="D14" s="21" t="s">
        <v>36</v>
      </c>
      <c r="E14" s="22">
        <v>1</v>
      </c>
      <c r="F14" s="22">
        <v>30000</v>
      </c>
      <c r="G14" s="22">
        <f t="shared" si="0"/>
        <v>30000</v>
      </c>
      <c r="H14" s="15"/>
      <c r="I14" s="16"/>
      <c r="J14" s="16"/>
      <c r="K14" s="16"/>
      <c r="L14" s="15"/>
      <c r="M14" s="16"/>
      <c r="N14" s="16"/>
      <c r="O14" s="16"/>
      <c r="P14" s="15"/>
      <c r="Q14" s="7"/>
    </row>
    <row r="15" spans="1:17" s="1" customFormat="1" ht="84" x14ac:dyDescent="0.15">
      <c r="A15" s="19">
        <v>2.6</v>
      </c>
      <c r="B15" s="23" t="s">
        <v>39</v>
      </c>
      <c r="C15" s="23" t="s">
        <v>40</v>
      </c>
      <c r="D15" s="21" t="s">
        <v>29</v>
      </c>
      <c r="E15" s="22">
        <v>1</v>
      </c>
      <c r="F15" s="22">
        <v>50000</v>
      </c>
      <c r="G15" s="22">
        <f t="shared" si="0"/>
        <v>50000</v>
      </c>
      <c r="H15" s="15"/>
      <c r="I15" s="16"/>
      <c r="J15" s="16"/>
      <c r="K15" s="16"/>
      <c r="L15" s="15"/>
      <c r="M15" s="16"/>
      <c r="N15" s="16"/>
      <c r="O15" s="16"/>
      <c r="P15" s="15"/>
      <c r="Q15" s="7"/>
    </row>
    <row r="16" spans="1:17" s="1" customFormat="1" ht="36" x14ac:dyDescent="0.15">
      <c r="A16" s="19">
        <v>2.7</v>
      </c>
      <c r="B16" s="23" t="s">
        <v>41</v>
      </c>
      <c r="C16" s="23" t="s">
        <v>42</v>
      </c>
      <c r="D16" s="21" t="s">
        <v>29</v>
      </c>
      <c r="E16" s="22">
        <v>1</v>
      </c>
      <c r="F16" s="22">
        <v>50000</v>
      </c>
      <c r="G16" s="22">
        <f t="shared" si="0"/>
        <v>50000</v>
      </c>
      <c r="H16" s="15"/>
      <c r="I16" s="16"/>
      <c r="J16" s="16"/>
      <c r="K16" s="16"/>
      <c r="L16" s="15"/>
      <c r="M16" s="16"/>
      <c r="N16" s="16"/>
      <c r="O16" s="16"/>
      <c r="P16" s="15"/>
      <c r="Q16" s="7"/>
    </row>
    <row r="17" spans="1:17" s="1" customFormat="1" ht="144" x14ac:dyDescent="0.15">
      <c r="A17" s="19">
        <v>2.8</v>
      </c>
      <c r="B17" s="23" t="s">
        <v>43</v>
      </c>
      <c r="C17" s="23" t="s">
        <v>44</v>
      </c>
      <c r="D17" s="21" t="s">
        <v>29</v>
      </c>
      <c r="E17" s="22">
        <v>1</v>
      </c>
      <c r="F17" s="22">
        <v>60000</v>
      </c>
      <c r="G17" s="22">
        <f t="shared" si="0"/>
        <v>60000</v>
      </c>
      <c r="H17" s="15"/>
      <c r="I17" s="16"/>
      <c r="J17" s="16"/>
      <c r="K17" s="16"/>
      <c r="L17" s="15"/>
      <c r="M17" s="16"/>
      <c r="N17" s="16"/>
      <c r="O17" s="16"/>
      <c r="P17" s="15"/>
      <c r="Q17" s="7"/>
    </row>
    <row r="18" spans="1:17" s="1" customFormat="1" ht="72" x14ac:dyDescent="0.15">
      <c r="A18" s="19">
        <v>2.9</v>
      </c>
      <c r="B18" s="23" t="s">
        <v>45</v>
      </c>
      <c r="C18" s="23" t="s">
        <v>46</v>
      </c>
      <c r="D18" s="21" t="s">
        <v>29</v>
      </c>
      <c r="E18" s="22">
        <v>1</v>
      </c>
      <c r="F18" s="22">
        <v>30000</v>
      </c>
      <c r="G18" s="22">
        <f t="shared" si="0"/>
        <v>30000</v>
      </c>
      <c r="H18" s="15"/>
      <c r="I18" s="16"/>
      <c r="J18" s="16"/>
      <c r="K18" s="16"/>
      <c r="L18" s="15"/>
      <c r="M18" s="16"/>
      <c r="N18" s="16"/>
      <c r="O18" s="16"/>
      <c r="P18" s="15"/>
      <c r="Q18" s="7"/>
    </row>
    <row r="19" spans="1:17" s="1" customFormat="1" x14ac:dyDescent="0.15">
      <c r="A19" s="24">
        <v>2.1</v>
      </c>
      <c r="B19" s="23" t="s">
        <v>47</v>
      </c>
      <c r="C19" s="23" t="s">
        <v>48</v>
      </c>
      <c r="D19" s="21" t="s">
        <v>49</v>
      </c>
      <c r="E19" s="22">
        <v>1</v>
      </c>
      <c r="F19" s="22">
        <v>100000</v>
      </c>
      <c r="G19" s="22">
        <f t="shared" si="0"/>
        <v>100000</v>
      </c>
      <c r="H19" s="15"/>
      <c r="I19" s="16"/>
      <c r="J19" s="16"/>
      <c r="K19" s="16"/>
      <c r="L19" s="15"/>
      <c r="M19" s="16"/>
      <c r="N19" s="16"/>
      <c r="O19" s="16"/>
      <c r="P19" s="15"/>
      <c r="Q19" s="7"/>
    </row>
    <row r="20" spans="1:17" s="1" customFormat="1" x14ac:dyDescent="0.15">
      <c r="A20" s="19">
        <v>2.11</v>
      </c>
      <c r="B20" s="23" t="s">
        <v>50</v>
      </c>
      <c r="C20" s="23" t="s">
        <v>51</v>
      </c>
      <c r="D20" s="21" t="s">
        <v>49</v>
      </c>
      <c r="E20" s="22">
        <v>1</v>
      </c>
      <c r="F20" s="22">
        <v>30000</v>
      </c>
      <c r="G20" s="22">
        <f t="shared" si="0"/>
        <v>30000</v>
      </c>
      <c r="H20" s="15"/>
      <c r="I20" s="16"/>
      <c r="J20" s="16"/>
      <c r="K20" s="16"/>
      <c r="L20" s="15"/>
      <c r="M20" s="16"/>
      <c r="N20" s="16"/>
      <c r="O20" s="16"/>
      <c r="P20" s="15"/>
      <c r="Q20" s="7"/>
    </row>
    <row r="21" spans="1:17" s="1" customFormat="1" x14ac:dyDescent="0.15">
      <c r="A21" s="9" t="s">
        <v>52</v>
      </c>
      <c r="B21" s="10" t="s">
        <v>53</v>
      </c>
      <c r="C21" s="10"/>
      <c r="D21" s="9"/>
      <c r="E21" s="17"/>
      <c r="F21" s="17"/>
      <c r="G21" s="14"/>
      <c r="H21" s="15"/>
      <c r="I21" s="18"/>
      <c r="J21" s="18"/>
      <c r="K21" s="18"/>
      <c r="L21" s="15"/>
      <c r="M21" s="18"/>
      <c r="N21" s="18"/>
      <c r="O21" s="18"/>
      <c r="P21" s="18"/>
      <c r="Q21" s="7"/>
    </row>
    <row r="22" spans="1:17" s="1" customFormat="1" x14ac:dyDescent="0.15">
      <c r="A22" s="9">
        <v>1</v>
      </c>
      <c r="B22" s="10" t="s">
        <v>54</v>
      </c>
      <c r="C22" s="10"/>
      <c r="D22" s="9"/>
      <c r="E22" s="17"/>
      <c r="F22" s="17"/>
      <c r="G22" s="14"/>
      <c r="H22" s="15"/>
      <c r="I22" s="18"/>
      <c r="J22" s="18"/>
      <c r="K22" s="18"/>
      <c r="L22" s="18"/>
      <c r="M22" s="18"/>
      <c r="N22" s="18"/>
      <c r="O22" s="18"/>
      <c r="P22" s="18"/>
      <c r="Q22" s="7"/>
    </row>
    <row r="23" spans="1:17" s="1" customFormat="1" ht="84" x14ac:dyDescent="0.15">
      <c r="A23" s="9">
        <v>1.1000000000000001</v>
      </c>
      <c r="B23" s="13" t="s">
        <v>55</v>
      </c>
      <c r="C23" s="13" t="s">
        <v>56</v>
      </c>
      <c r="D23" s="7" t="s">
        <v>20</v>
      </c>
      <c r="E23" s="14">
        <v>4</v>
      </c>
      <c r="F23" s="14">
        <v>25000</v>
      </c>
      <c r="G23" s="14">
        <f t="shared" si="0"/>
        <v>100000</v>
      </c>
      <c r="H23" s="15"/>
      <c r="I23" s="16"/>
      <c r="J23" s="16"/>
      <c r="K23" s="16"/>
      <c r="L23" s="15"/>
      <c r="M23" s="16"/>
      <c r="N23" s="16"/>
      <c r="O23" s="16"/>
      <c r="P23" s="15"/>
      <c r="Q23" s="7"/>
    </row>
    <row r="24" spans="1:17" s="1" customFormat="1" x14ac:dyDescent="0.15">
      <c r="A24" s="9">
        <v>1.2</v>
      </c>
      <c r="B24" s="13" t="s">
        <v>57</v>
      </c>
      <c r="C24" s="13" t="s">
        <v>58</v>
      </c>
      <c r="D24" s="7" t="s">
        <v>29</v>
      </c>
      <c r="E24" s="14">
        <v>4</v>
      </c>
      <c r="F24" s="14">
        <v>6565</v>
      </c>
      <c r="G24" s="14">
        <f t="shared" si="0"/>
        <v>26260</v>
      </c>
      <c r="H24" s="15"/>
      <c r="I24" s="16"/>
      <c r="J24" s="16"/>
      <c r="K24" s="16"/>
      <c r="L24" s="15"/>
      <c r="M24" s="16"/>
      <c r="N24" s="16"/>
      <c r="O24" s="16"/>
      <c r="P24" s="15"/>
      <c r="Q24" s="7"/>
    </row>
    <row r="25" spans="1:17" s="1" customFormat="1" ht="24" x14ac:dyDescent="0.15">
      <c r="A25" s="9">
        <v>1.3</v>
      </c>
      <c r="B25" s="13" t="s">
        <v>23</v>
      </c>
      <c r="C25" s="13" t="s">
        <v>24</v>
      </c>
      <c r="D25" s="7" t="s">
        <v>20</v>
      </c>
      <c r="E25" s="14">
        <v>4</v>
      </c>
      <c r="F25" s="14">
        <v>6125</v>
      </c>
      <c r="G25" s="14">
        <f t="shared" si="0"/>
        <v>24500</v>
      </c>
      <c r="H25" s="15"/>
      <c r="I25" s="15"/>
      <c r="J25" s="15"/>
      <c r="K25" s="15"/>
      <c r="L25" s="15"/>
      <c r="M25" s="15"/>
      <c r="N25" s="15"/>
      <c r="O25" s="15"/>
      <c r="P25" s="15"/>
      <c r="Q25" s="7"/>
    </row>
    <row r="26" spans="1:17" s="1" customFormat="1" ht="24" x14ac:dyDescent="0.15">
      <c r="A26" s="9">
        <v>1.4</v>
      </c>
      <c r="B26" s="13" t="s">
        <v>59</v>
      </c>
      <c r="C26" s="13" t="s">
        <v>60</v>
      </c>
      <c r="D26" s="7" t="s">
        <v>20</v>
      </c>
      <c r="E26" s="14">
        <v>1</v>
      </c>
      <c r="F26" s="14">
        <v>31375</v>
      </c>
      <c r="G26" s="14">
        <f t="shared" si="0"/>
        <v>31375</v>
      </c>
      <c r="H26" s="15"/>
      <c r="I26" s="16"/>
      <c r="J26" s="16"/>
      <c r="K26" s="16"/>
      <c r="L26" s="15"/>
      <c r="M26" s="16"/>
      <c r="N26" s="16"/>
      <c r="O26" s="16"/>
      <c r="P26" s="15"/>
      <c r="Q26" s="7"/>
    </row>
    <row r="27" spans="1:17" s="1" customFormat="1" x14ac:dyDescent="0.15">
      <c r="A27" s="9">
        <v>1.5</v>
      </c>
      <c r="B27" s="8" t="s">
        <v>61</v>
      </c>
      <c r="C27" s="8" t="s">
        <v>62</v>
      </c>
      <c r="D27" s="7" t="s">
        <v>20</v>
      </c>
      <c r="E27" s="14">
        <v>1</v>
      </c>
      <c r="F27" s="14">
        <v>18750</v>
      </c>
      <c r="G27" s="14">
        <f t="shared" si="0"/>
        <v>18750</v>
      </c>
      <c r="H27" s="15"/>
      <c r="I27" s="16"/>
      <c r="J27" s="16"/>
      <c r="K27" s="16"/>
      <c r="L27" s="15"/>
      <c r="M27" s="16"/>
      <c r="N27" s="16"/>
      <c r="O27" s="16"/>
      <c r="P27" s="15"/>
      <c r="Q27" s="7"/>
    </row>
    <row r="28" spans="1:17" s="1" customFormat="1" x14ac:dyDescent="0.15">
      <c r="A28" s="9">
        <v>1.6</v>
      </c>
      <c r="B28" s="13" t="s">
        <v>63</v>
      </c>
      <c r="C28" s="13" t="s">
        <v>64</v>
      </c>
      <c r="D28" s="7" t="s">
        <v>65</v>
      </c>
      <c r="E28" s="14">
        <v>1</v>
      </c>
      <c r="F28" s="14">
        <v>8125</v>
      </c>
      <c r="G28" s="14">
        <f t="shared" si="0"/>
        <v>8125</v>
      </c>
      <c r="H28" s="15"/>
      <c r="I28" s="15"/>
      <c r="J28" s="15"/>
      <c r="K28" s="15"/>
      <c r="L28" s="15"/>
      <c r="M28" s="15"/>
      <c r="N28" s="15"/>
      <c r="O28" s="15"/>
      <c r="P28" s="15"/>
      <c r="Q28" s="7"/>
    </row>
    <row r="29" spans="1:17" s="1" customFormat="1" x14ac:dyDescent="0.15">
      <c r="A29" s="19">
        <v>1.7</v>
      </c>
      <c r="B29" s="23" t="s">
        <v>66</v>
      </c>
      <c r="C29" s="23" t="s">
        <v>67</v>
      </c>
      <c r="D29" s="21" t="s">
        <v>36</v>
      </c>
      <c r="E29" s="22">
        <v>1</v>
      </c>
      <c r="F29" s="22">
        <v>100000</v>
      </c>
      <c r="G29" s="22">
        <f t="shared" si="0"/>
        <v>100000</v>
      </c>
      <c r="H29" s="15"/>
      <c r="I29" s="16"/>
      <c r="J29" s="16"/>
      <c r="K29" s="16"/>
      <c r="L29" s="15"/>
      <c r="M29" s="16"/>
      <c r="N29" s="16"/>
      <c r="O29" s="16"/>
      <c r="P29" s="15"/>
      <c r="Q29" s="7"/>
    </row>
    <row r="30" spans="1:17" s="1" customFormat="1" x14ac:dyDescent="0.15">
      <c r="A30" s="19">
        <v>1.8</v>
      </c>
      <c r="B30" s="23" t="s">
        <v>68</v>
      </c>
      <c r="C30" s="23" t="s">
        <v>69</v>
      </c>
      <c r="D30" s="21" t="s">
        <v>36</v>
      </c>
      <c r="E30" s="22">
        <v>1</v>
      </c>
      <c r="F30" s="22">
        <v>50000</v>
      </c>
      <c r="G30" s="22">
        <f t="shared" si="0"/>
        <v>50000</v>
      </c>
      <c r="H30" s="15"/>
      <c r="I30" s="16"/>
      <c r="J30" s="16"/>
      <c r="K30" s="16"/>
      <c r="L30" s="15"/>
      <c r="M30" s="16"/>
      <c r="N30" s="16"/>
      <c r="O30" s="16"/>
      <c r="P30" s="15"/>
      <c r="Q30" s="7"/>
    </row>
    <row r="31" spans="1:17" s="1" customFormat="1" x14ac:dyDescent="0.15">
      <c r="A31" s="19">
        <v>1.9</v>
      </c>
      <c r="B31" s="23" t="s">
        <v>70</v>
      </c>
      <c r="C31" s="23" t="s">
        <v>71</v>
      </c>
      <c r="D31" s="21" t="s">
        <v>36</v>
      </c>
      <c r="E31" s="22">
        <v>1</v>
      </c>
      <c r="F31" s="22">
        <v>50000</v>
      </c>
      <c r="G31" s="22">
        <f t="shared" si="0"/>
        <v>50000</v>
      </c>
      <c r="H31" s="15"/>
      <c r="I31" s="16"/>
      <c r="J31" s="16"/>
      <c r="K31" s="16"/>
      <c r="L31" s="15"/>
      <c r="M31" s="16"/>
      <c r="N31" s="16"/>
      <c r="O31" s="16"/>
      <c r="P31" s="15"/>
      <c r="Q31" s="7"/>
    </row>
    <row r="32" spans="1:17" s="1" customFormat="1" ht="24" x14ac:dyDescent="0.15">
      <c r="A32" s="24">
        <v>1.1000000000000001</v>
      </c>
      <c r="B32" s="23" t="s">
        <v>72</v>
      </c>
      <c r="C32" s="23" t="s">
        <v>73</v>
      </c>
      <c r="D32" s="21" t="s">
        <v>36</v>
      </c>
      <c r="E32" s="22">
        <v>1</v>
      </c>
      <c r="F32" s="22">
        <v>50000</v>
      </c>
      <c r="G32" s="22">
        <f t="shared" si="0"/>
        <v>50000</v>
      </c>
      <c r="H32" s="15"/>
      <c r="I32" s="16"/>
      <c r="J32" s="16"/>
      <c r="K32" s="16"/>
      <c r="L32" s="15"/>
      <c r="M32" s="16"/>
      <c r="N32" s="16"/>
      <c r="O32" s="16"/>
      <c r="P32" s="15"/>
      <c r="Q32" s="7"/>
    </row>
    <row r="33" spans="1:17" s="1" customFormat="1" ht="24" x14ac:dyDescent="0.15">
      <c r="A33" s="19">
        <v>1.1100000000000001</v>
      </c>
      <c r="B33" s="23" t="s">
        <v>74</v>
      </c>
      <c r="C33" s="23" t="s">
        <v>75</v>
      </c>
      <c r="D33" s="21" t="s">
        <v>76</v>
      </c>
      <c r="E33" s="22">
        <v>6</v>
      </c>
      <c r="F33" s="22">
        <v>50000</v>
      </c>
      <c r="G33" s="22">
        <f t="shared" si="0"/>
        <v>300000</v>
      </c>
      <c r="H33" s="15"/>
      <c r="I33" s="16"/>
      <c r="J33" s="16"/>
      <c r="K33" s="16"/>
      <c r="L33" s="15"/>
      <c r="M33" s="16"/>
      <c r="N33" s="16"/>
      <c r="O33" s="16"/>
      <c r="P33" s="15"/>
      <c r="Q33" s="7"/>
    </row>
    <row r="34" spans="1:17" s="1" customFormat="1" x14ac:dyDescent="0.15">
      <c r="A34" s="9">
        <v>2</v>
      </c>
      <c r="B34" s="10" t="s">
        <v>77</v>
      </c>
      <c r="C34" s="10"/>
      <c r="D34" s="9"/>
      <c r="E34" s="17"/>
      <c r="F34" s="17"/>
      <c r="G34" s="14"/>
      <c r="H34" s="15"/>
      <c r="I34" s="18"/>
      <c r="J34" s="18"/>
      <c r="K34" s="18"/>
      <c r="L34" s="18"/>
      <c r="M34" s="18"/>
      <c r="N34" s="18"/>
      <c r="O34" s="18"/>
      <c r="P34" s="18"/>
      <c r="Q34" s="7"/>
    </row>
    <row r="35" spans="1:17" s="1" customFormat="1" x14ac:dyDescent="0.15">
      <c r="A35" s="9">
        <v>2.1</v>
      </c>
      <c r="B35" s="10" t="s">
        <v>78</v>
      </c>
      <c r="C35" s="10"/>
      <c r="D35" s="9"/>
      <c r="E35" s="17"/>
      <c r="F35" s="17"/>
      <c r="G35" s="14"/>
      <c r="H35" s="15"/>
      <c r="I35" s="18"/>
      <c r="J35" s="18"/>
      <c r="K35" s="18"/>
      <c r="L35" s="18"/>
      <c r="M35" s="18"/>
      <c r="N35" s="18"/>
      <c r="O35" s="18"/>
      <c r="P35" s="18"/>
      <c r="Q35" s="7"/>
    </row>
    <row r="36" spans="1:17" s="1" customFormat="1" x14ac:dyDescent="0.15">
      <c r="A36" s="9" t="s">
        <v>79</v>
      </c>
      <c r="B36" s="10" t="s">
        <v>80</v>
      </c>
      <c r="C36" s="10"/>
      <c r="D36" s="9"/>
      <c r="E36" s="17"/>
      <c r="F36" s="17"/>
      <c r="G36" s="14"/>
      <c r="H36" s="15"/>
      <c r="I36" s="18"/>
      <c r="J36" s="18"/>
      <c r="K36" s="18"/>
      <c r="L36" s="18"/>
      <c r="M36" s="18"/>
      <c r="N36" s="18"/>
      <c r="O36" s="18"/>
      <c r="P36" s="18"/>
      <c r="Q36" s="7"/>
    </row>
    <row r="37" spans="1:17" s="1" customFormat="1" x14ac:dyDescent="0.15">
      <c r="A37" s="9"/>
      <c r="B37" s="13" t="s">
        <v>81</v>
      </c>
      <c r="C37" s="13"/>
      <c r="D37" s="7" t="s">
        <v>20</v>
      </c>
      <c r="E37" s="14">
        <v>1</v>
      </c>
      <c r="F37" s="14">
        <v>1910</v>
      </c>
      <c r="G37" s="14">
        <f t="shared" si="0"/>
        <v>1910</v>
      </c>
      <c r="H37" s="15"/>
      <c r="I37" s="16"/>
      <c r="J37" s="16"/>
      <c r="K37" s="16"/>
      <c r="L37" s="15"/>
      <c r="M37" s="16"/>
      <c r="N37" s="16"/>
      <c r="O37" s="16"/>
      <c r="P37" s="15"/>
      <c r="Q37" s="7"/>
    </row>
    <row r="38" spans="1:17" s="1" customFormat="1" x14ac:dyDescent="0.15">
      <c r="A38" s="9"/>
      <c r="B38" s="13" t="s">
        <v>82</v>
      </c>
      <c r="C38" s="13"/>
      <c r="D38" s="7" t="s">
        <v>20</v>
      </c>
      <c r="E38" s="14">
        <v>9</v>
      </c>
      <c r="F38" s="14">
        <v>1545</v>
      </c>
      <c r="G38" s="14">
        <f t="shared" ref="G38:G69" si="1">E38*F38</f>
        <v>13905</v>
      </c>
      <c r="H38" s="15"/>
      <c r="I38" s="16"/>
      <c r="J38" s="16"/>
      <c r="K38" s="16"/>
      <c r="L38" s="15"/>
      <c r="M38" s="16"/>
      <c r="N38" s="16"/>
      <c r="O38" s="16"/>
      <c r="P38" s="15"/>
      <c r="Q38" s="7"/>
    </row>
    <row r="39" spans="1:17" s="1" customFormat="1" x14ac:dyDescent="0.15">
      <c r="A39" s="9"/>
      <c r="B39" s="13" t="s">
        <v>83</v>
      </c>
      <c r="C39" s="13"/>
      <c r="D39" s="7" t="s">
        <v>84</v>
      </c>
      <c r="E39" s="14">
        <v>9</v>
      </c>
      <c r="F39" s="14">
        <v>17</v>
      </c>
      <c r="G39" s="14">
        <f t="shared" si="1"/>
        <v>153</v>
      </c>
      <c r="H39" s="15"/>
      <c r="I39" s="16"/>
      <c r="J39" s="16"/>
      <c r="K39" s="16"/>
      <c r="L39" s="15"/>
      <c r="M39" s="16"/>
      <c r="N39" s="16"/>
      <c r="O39" s="16"/>
      <c r="P39" s="15"/>
      <c r="Q39" s="7"/>
    </row>
    <row r="40" spans="1:17" s="1" customFormat="1" x14ac:dyDescent="0.15">
      <c r="A40" s="9"/>
      <c r="B40" s="13" t="s">
        <v>85</v>
      </c>
      <c r="C40" s="13"/>
      <c r="D40" s="7" t="s">
        <v>20</v>
      </c>
      <c r="E40" s="14">
        <v>9</v>
      </c>
      <c r="F40" s="14">
        <v>22</v>
      </c>
      <c r="G40" s="14">
        <f t="shared" si="1"/>
        <v>198</v>
      </c>
      <c r="H40" s="15"/>
      <c r="I40" s="16"/>
      <c r="J40" s="16"/>
      <c r="K40" s="16"/>
      <c r="L40" s="15"/>
      <c r="M40" s="16"/>
      <c r="N40" s="16"/>
      <c r="O40" s="16"/>
      <c r="P40" s="15"/>
      <c r="Q40" s="7"/>
    </row>
    <row r="41" spans="1:17" s="1" customFormat="1" x14ac:dyDescent="0.15">
      <c r="A41" s="9"/>
      <c r="B41" s="13" t="s">
        <v>86</v>
      </c>
      <c r="C41" s="13"/>
      <c r="D41" s="7" t="s">
        <v>20</v>
      </c>
      <c r="E41" s="14">
        <v>9</v>
      </c>
      <c r="F41" s="14">
        <v>119</v>
      </c>
      <c r="G41" s="14">
        <f t="shared" si="1"/>
        <v>1071</v>
      </c>
      <c r="H41" s="15"/>
      <c r="I41" s="16"/>
      <c r="J41" s="16"/>
      <c r="K41" s="16"/>
      <c r="L41" s="15"/>
      <c r="M41" s="16"/>
      <c r="N41" s="16"/>
      <c r="O41" s="16"/>
      <c r="P41" s="15"/>
      <c r="Q41" s="7"/>
    </row>
    <row r="42" spans="1:17" s="1" customFormat="1" x14ac:dyDescent="0.15">
      <c r="A42" s="9"/>
      <c r="B42" s="13" t="s">
        <v>87</v>
      </c>
      <c r="C42" s="13"/>
      <c r="D42" s="7" t="s">
        <v>88</v>
      </c>
      <c r="E42" s="14">
        <v>9</v>
      </c>
      <c r="F42" s="14">
        <v>425</v>
      </c>
      <c r="G42" s="14">
        <f t="shared" si="1"/>
        <v>3825</v>
      </c>
      <c r="H42" s="15"/>
      <c r="I42" s="16"/>
      <c r="J42" s="16"/>
      <c r="K42" s="16"/>
      <c r="L42" s="15"/>
      <c r="M42" s="16"/>
      <c r="N42" s="16"/>
      <c r="O42" s="16"/>
      <c r="P42" s="15"/>
      <c r="Q42" s="7"/>
    </row>
    <row r="43" spans="1:17" s="1" customFormat="1" x14ac:dyDescent="0.15">
      <c r="A43" s="9"/>
      <c r="B43" s="13" t="s">
        <v>89</v>
      </c>
      <c r="C43" s="13"/>
      <c r="D43" s="7" t="s">
        <v>84</v>
      </c>
      <c r="E43" s="14">
        <v>9</v>
      </c>
      <c r="F43" s="14">
        <v>155</v>
      </c>
      <c r="G43" s="14">
        <f t="shared" si="1"/>
        <v>1395</v>
      </c>
      <c r="H43" s="15"/>
      <c r="I43" s="16"/>
      <c r="J43" s="16"/>
      <c r="K43" s="16"/>
      <c r="L43" s="15"/>
      <c r="M43" s="16"/>
      <c r="N43" s="16"/>
      <c r="O43" s="16"/>
      <c r="P43" s="15"/>
      <c r="Q43" s="7"/>
    </row>
    <row r="44" spans="1:17" s="1" customFormat="1" x14ac:dyDescent="0.15">
      <c r="A44" s="9" t="s">
        <v>90</v>
      </c>
      <c r="B44" s="10" t="s">
        <v>91</v>
      </c>
      <c r="C44" s="10"/>
      <c r="D44" s="9"/>
      <c r="E44" s="17"/>
      <c r="F44" s="17"/>
      <c r="G44" s="14"/>
      <c r="H44" s="15"/>
      <c r="I44" s="18"/>
      <c r="J44" s="18"/>
      <c r="K44" s="18"/>
      <c r="L44" s="18"/>
      <c r="M44" s="18"/>
      <c r="N44" s="18"/>
      <c r="O44" s="18"/>
      <c r="P44" s="18"/>
      <c r="Q44" s="7"/>
    </row>
    <row r="45" spans="1:17" s="1" customFormat="1" x14ac:dyDescent="0.15">
      <c r="A45" s="9"/>
      <c r="B45" s="13" t="s">
        <v>92</v>
      </c>
      <c r="C45" s="13"/>
      <c r="D45" s="7" t="s">
        <v>20</v>
      </c>
      <c r="E45" s="14">
        <v>2</v>
      </c>
      <c r="F45" s="14">
        <v>3815</v>
      </c>
      <c r="G45" s="14">
        <f t="shared" si="1"/>
        <v>7630</v>
      </c>
      <c r="H45" s="15"/>
      <c r="I45" s="16"/>
      <c r="J45" s="16"/>
      <c r="K45" s="16"/>
      <c r="L45" s="15"/>
      <c r="M45" s="16"/>
      <c r="N45" s="16"/>
      <c r="O45" s="16"/>
      <c r="P45" s="15"/>
      <c r="Q45" s="7"/>
    </row>
    <row r="46" spans="1:17" s="1" customFormat="1" x14ac:dyDescent="0.15">
      <c r="A46" s="9"/>
      <c r="B46" s="13" t="s">
        <v>93</v>
      </c>
      <c r="C46" s="13"/>
      <c r="D46" s="7" t="s">
        <v>20</v>
      </c>
      <c r="E46" s="14">
        <v>2</v>
      </c>
      <c r="F46" s="14">
        <v>1690</v>
      </c>
      <c r="G46" s="14">
        <f t="shared" si="1"/>
        <v>3380</v>
      </c>
      <c r="H46" s="15"/>
      <c r="I46" s="16"/>
      <c r="J46" s="16"/>
      <c r="K46" s="16"/>
      <c r="L46" s="15"/>
      <c r="M46" s="16"/>
      <c r="N46" s="16"/>
      <c r="O46" s="16"/>
      <c r="P46" s="15"/>
      <c r="Q46" s="7"/>
    </row>
    <row r="47" spans="1:17" s="1" customFormat="1" x14ac:dyDescent="0.15">
      <c r="A47" s="9"/>
      <c r="B47" s="13" t="s">
        <v>94</v>
      </c>
      <c r="C47" s="13"/>
      <c r="D47" s="7" t="s">
        <v>49</v>
      </c>
      <c r="E47" s="14">
        <v>1</v>
      </c>
      <c r="F47" s="14">
        <v>2415</v>
      </c>
      <c r="G47" s="14">
        <f t="shared" si="1"/>
        <v>2415</v>
      </c>
      <c r="H47" s="15"/>
      <c r="I47" s="16"/>
      <c r="J47" s="16"/>
      <c r="K47" s="16"/>
      <c r="L47" s="15"/>
      <c r="M47" s="16"/>
      <c r="N47" s="16"/>
      <c r="O47" s="16"/>
      <c r="P47" s="15"/>
      <c r="Q47" s="7"/>
    </row>
    <row r="48" spans="1:17" s="1" customFormat="1" x14ac:dyDescent="0.15">
      <c r="A48" s="9"/>
      <c r="B48" s="13" t="s">
        <v>95</v>
      </c>
      <c r="C48" s="13" t="s">
        <v>96</v>
      </c>
      <c r="D48" s="7" t="s">
        <v>20</v>
      </c>
      <c r="E48" s="14">
        <v>16</v>
      </c>
      <c r="F48" s="14">
        <v>640</v>
      </c>
      <c r="G48" s="14">
        <f t="shared" si="1"/>
        <v>10240</v>
      </c>
      <c r="H48" s="15"/>
      <c r="I48" s="16"/>
      <c r="J48" s="16"/>
      <c r="K48" s="16"/>
      <c r="L48" s="15"/>
      <c r="M48" s="16"/>
      <c r="N48" s="16"/>
      <c r="O48" s="16"/>
      <c r="P48" s="15"/>
      <c r="Q48" s="7"/>
    </row>
    <row r="49" spans="1:17" s="1" customFormat="1" x14ac:dyDescent="0.15">
      <c r="A49" s="9"/>
      <c r="B49" s="13" t="s">
        <v>97</v>
      </c>
      <c r="C49" s="13" t="s">
        <v>98</v>
      </c>
      <c r="D49" s="7" t="s">
        <v>29</v>
      </c>
      <c r="E49" s="14">
        <v>16</v>
      </c>
      <c r="F49" s="14">
        <v>13</v>
      </c>
      <c r="G49" s="14">
        <f t="shared" si="1"/>
        <v>208</v>
      </c>
      <c r="H49" s="15"/>
      <c r="I49" s="16"/>
      <c r="J49" s="16"/>
      <c r="K49" s="16"/>
      <c r="L49" s="15"/>
      <c r="M49" s="16"/>
      <c r="N49" s="16"/>
      <c r="O49" s="16"/>
      <c r="P49" s="15"/>
      <c r="Q49" s="7"/>
    </row>
    <row r="50" spans="1:17" s="1" customFormat="1" x14ac:dyDescent="0.15">
      <c r="A50" s="9"/>
      <c r="B50" s="13" t="s">
        <v>99</v>
      </c>
      <c r="C50" s="13"/>
      <c r="D50" s="7" t="s">
        <v>49</v>
      </c>
      <c r="E50" s="14">
        <v>1</v>
      </c>
      <c r="F50" s="14">
        <v>6250</v>
      </c>
      <c r="G50" s="14">
        <f t="shared" si="1"/>
        <v>6250</v>
      </c>
      <c r="H50" s="15"/>
      <c r="I50" s="16"/>
      <c r="J50" s="16"/>
      <c r="K50" s="16"/>
      <c r="L50" s="15"/>
      <c r="M50" s="16"/>
      <c r="N50" s="16"/>
      <c r="O50" s="16"/>
      <c r="P50" s="15"/>
      <c r="Q50" s="7"/>
    </row>
    <row r="51" spans="1:17" s="1" customFormat="1" x14ac:dyDescent="0.15">
      <c r="A51" s="9">
        <v>2.2000000000000002</v>
      </c>
      <c r="B51" s="10" t="s">
        <v>100</v>
      </c>
      <c r="C51" s="10"/>
      <c r="D51" s="9"/>
      <c r="E51" s="17"/>
      <c r="F51" s="17"/>
      <c r="G51" s="14"/>
      <c r="H51" s="15"/>
      <c r="I51" s="18"/>
      <c r="J51" s="18"/>
      <c r="K51" s="18"/>
      <c r="L51" s="18"/>
      <c r="M51" s="18"/>
      <c r="N51" s="18"/>
      <c r="O51" s="18"/>
      <c r="P51" s="18"/>
      <c r="Q51" s="7"/>
    </row>
    <row r="52" spans="1:17" s="1" customFormat="1" x14ac:dyDescent="0.15">
      <c r="A52" s="9" t="s">
        <v>101</v>
      </c>
      <c r="B52" s="10" t="s">
        <v>102</v>
      </c>
      <c r="C52" s="10"/>
      <c r="D52" s="9"/>
      <c r="E52" s="17"/>
      <c r="F52" s="17"/>
      <c r="G52" s="14"/>
      <c r="H52" s="15"/>
      <c r="I52" s="18"/>
      <c r="J52" s="18"/>
      <c r="K52" s="18"/>
      <c r="L52" s="18"/>
      <c r="M52" s="18"/>
      <c r="N52" s="18"/>
      <c r="O52" s="18"/>
      <c r="P52" s="18"/>
      <c r="Q52" s="7"/>
    </row>
    <row r="53" spans="1:17" s="1" customFormat="1" x14ac:dyDescent="0.15">
      <c r="A53" s="9" t="s">
        <v>103</v>
      </c>
      <c r="B53" s="10" t="s">
        <v>104</v>
      </c>
      <c r="C53" s="10"/>
      <c r="D53" s="9"/>
      <c r="E53" s="17"/>
      <c r="F53" s="17"/>
      <c r="G53" s="14"/>
      <c r="H53" s="15"/>
      <c r="I53" s="18"/>
      <c r="J53" s="18"/>
      <c r="K53" s="18"/>
      <c r="L53" s="18"/>
      <c r="M53" s="18"/>
      <c r="N53" s="18"/>
      <c r="O53" s="18"/>
      <c r="P53" s="18"/>
      <c r="Q53" s="7"/>
    </row>
    <row r="54" spans="1:17" s="1" customFormat="1" x14ac:dyDescent="0.15">
      <c r="A54" s="9"/>
      <c r="B54" s="13" t="s">
        <v>105</v>
      </c>
      <c r="C54" s="13"/>
      <c r="D54" s="7" t="s">
        <v>20</v>
      </c>
      <c r="E54" s="14">
        <v>7</v>
      </c>
      <c r="F54" s="14">
        <v>1088</v>
      </c>
      <c r="G54" s="14">
        <f t="shared" si="1"/>
        <v>7616</v>
      </c>
      <c r="H54" s="15"/>
      <c r="I54" s="16"/>
      <c r="J54" s="16"/>
      <c r="K54" s="16"/>
      <c r="L54" s="15"/>
      <c r="M54" s="16"/>
      <c r="N54" s="16"/>
      <c r="O54" s="16"/>
      <c r="P54" s="15"/>
      <c r="Q54" s="7"/>
    </row>
    <row r="55" spans="1:17" s="1" customFormat="1" x14ac:dyDescent="0.15">
      <c r="A55" s="9"/>
      <c r="B55" s="13" t="s">
        <v>106</v>
      </c>
      <c r="C55" s="13"/>
      <c r="D55" s="7" t="s">
        <v>20</v>
      </c>
      <c r="E55" s="14">
        <v>4</v>
      </c>
      <c r="F55" s="14">
        <v>1088</v>
      </c>
      <c r="G55" s="14">
        <f t="shared" si="1"/>
        <v>4352</v>
      </c>
      <c r="H55" s="15"/>
      <c r="I55" s="16"/>
      <c r="J55" s="16"/>
      <c r="K55" s="16"/>
      <c r="L55" s="15"/>
      <c r="M55" s="16"/>
      <c r="N55" s="16"/>
      <c r="O55" s="16"/>
      <c r="P55" s="15"/>
      <c r="Q55" s="7"/>
    </row>
    <row r="56" spans="1:17" s="1" customFormat="1" x14ac:dyDescent="0.15">
      <c r="A56" s="9"/>
      <c r="B56" s="13" t="s">
        <v>97</v>
      </c>
      <c r="C56" s="13"/>
      <c r="D56" s="7" t="s">
        <v>20</v>
      </c>
      <c r="E56" s="14">
        <v>8</v>
      </c>
      <c r="F56" s="14">
        <v>13</v>
      </c>
      <c r="G56" s="14">
        <f t="shared" si="1"/>
        <v>104</v>
      </c>
      <c r="H56" s="15"/>
      <c r="I56" s="16"/>
      <c r="J56" s="16"/>
      <c r="K56" s="16"/>
      <c r="L56" s="15"/>
      <c r="M56" s="16"/>
      <c r="N56" s="16"/>
      <c r="O56" s="16"/>
      <c r="P56" s="15"/>
      <c r="Q56" s="7"/>
    </row>
    <row r="57" spans="1:17" s="1" customFormat="1" x14ac:dyDescent="0.15">
      <c r="A57" s="9"/>
      <c r="B57" s="13" t="s">
        <v>107</v>
      </c>
      <c r="C57" s="13"/>
      <c r="D57" s="7" t="s">
        <v>20</v>
      </c>
      <c r="E57" s="14">
        <v>11</v>
      </c>
      <c r="F57" s="14">
        <v>32</v>
      </c>
      <c r="G57" s="14">
        <f t="shared" si="1"/>
        <v>352</v>
      </c>
      <c r="H57" s="15"/>
      <c r="I57" s="16"/>
      <c r="J57" s="16"/>
      <c r="K57" s="16"/>
      <c r="L57" s="15"/>
      <c r="M57" s="16"/>
      <c r="N57" s="16"/>
      <c r="O57" s="16"/>
      <c r="P57" s="15"/>
      <c r="Q57" s="7"/>
    </row>
    <row r="58" spans="1:17" s="1" customFormat="1" x14ac:dyDescent="0.15">
      <c r="A58" s="7" t="s">
        <v>108</v>
      </c>
      <c r="B58" s="10" t="s">
        <v>109</v>
      </c>
      <c r="C58" s="10"/>
      <c r="D58" s="9"/>
      <c r="E58" s="17"/>
      <c r="F58" s="17"/>
      <c r="G58" s="14"/>
      <c r="H58" s="15"/>
      <c r="I58" s="18"/>
      <c r="J58" s="18"/>
      <c r="K58" s="18"/>
      <c r="L58" s="18"/>
      <c r="M58" s="18"/>
      <c r="N58" s="18"/>
      <c r="O58" s="18"/>
      <c r="P58" s="18"/>
      <c r="Q58" s="7"/>
    </row>
    <row r="59" spans="1:17" s="1" customFormat="1" x14ac:dyDescent="0.15">
      <c r="A59" s="9"/>
      <c r="B59" s="13" t="s">
        <v>110</v>
      </c>
      <c r="C59" s="13"/>
      <c r="D59" s="7" t="s">
        <v>20</v>
      </c>
      <c r="E59" s="14">
        <v>4</v>
      </c>
      <c r="F59" s="14">
        <v>19500</v>
      </c>
      <c r="G59" s="14">
        <f t="shared" si="1"/>
        <v>78000</v>
      </c>
      <c r="H59" s="15"/>
      <c r="I59" s="16"/>
      <c r="J59" s="16"/>
      <c r="K59" s="16"/>
      <c r="L59" s="15"/>
      <c r="M59" s="16"/>
      <c r="N59" s="16"/>
      <c r="O59" s="16"/>
      <c r="P59" s="15"/>
      <c r="Q59" s="7"/>
    </row>
    <row r="60" spans="1:17" s="1" customFormat="1" x14ac:dyDescent="0.15">
      <c r="A60" s="9"/>
      <c r="B60" s="13" t="s">
        <v>111</v>
      </c>
      <c r="C60" s="13"/>
      <c r="D60" s="7" t="s">
        <v>20</v>
      </c>
      <c r="E60" s="14">
        <v>2</v>
      </c>
      <c r="F60" s="14">
        <v>7725</v>
      </c>
      <c r="G60" s="14">
        <f t="shared" si="1"/>
        <v>15450</v>
      </c>
      <c r="H60" s="15"/>
      <c r="I60" s="16"/>
      <c r="J60" s="16"/>
      <c r="K60" s="16"/>
      <c r="L60" s="15"/>
      <c r="M60" s="16"/>
      <c r="N60" s="16"/>
      <c r="O60" s="16"/>
      <c r="P60" s="15"/>
      <c r="Q60" s="7"/>
    </row>
    <row r="61" spans="1:17" s="1" customFormat="1" x14ac:dyDescent="0.15">
      <c r="A61" s="7" t="s">
        <v>112</v>
      </c>
      <c r="B61" s="13" t="s">
        <v>113</v>
      </c>
      <c r="C61" s="13"/>
      <c r="D61" s="7"/>
      <c r="E61" s="14"/>
      <c r="F61" s="14"/>
      <c r="G61" s="14"/>
      <c r="H61" s="15"/>
      <c r="I61" s="16"/>
      <c r="J61" s="16"/>
      <c r="K61" s="16"/>
      <c r="L61" s="15"/>
      <c r="M61" s="16"/>
      <c r="N61" s="16"/>
      <c r="O61" s="16"/>
      <c r="P61" s="15"/>
      <c r="Q61" s="7"/>
    </row>
    <row r="62" spans="1:17" s="1" customFormat="1" x14ac:dyDescent="0.15">
      <c r="A62" s="9"/>
      <c r="B62" s="13" t="s">
        <v>105</v>
      </c>
      <c r="C62" s="13"/>
      <c r="D62" s="7" t="s">
        <v>20</v>
      </c>
      <c r="E62" s="14">
        <v>5</v>
      </c>
      <c r="F62" s="14">
        <v>390</v>
      </c>
      <c r="G62" s="14">
        <f t="shared" si="1"/>
        <v>1950</v>
      </c>
      <c r="H62" s="15"/>
      <c r="I62" s="16"/>
      <c r="J62" s="16"/>
      <c r="K62" s="16"/>
      <c r="L62" s="15"/>
      <c r="M62" s="16"/>
      <c r="N62" s="16"/>
      <c r="O62" s="16"/>
      <c r="P62" s="15"/>
      <c r="Q62" s="7"/>
    </row>
    <row r="63" spans="1:17" s="1" customFormat="1" x14ac:dyDescent="0.15">
      <c r="A63" s="9"/>
      <c r="B63" s="13" t="s">
        <v>105</v>
      </c>
      <c r="C63" s="13"/>
      <c r="D63" s="7" t="s">
        <v>20</v>
      </c>
      <c r="E63" s="14">
        <v>16</v>
      </c>
      <c r="F63" s="14">
        <v>390</v>
      </c>
      <c r="G63" s="14">
        <f t="shared" si="1"/>
        <v>6240</v>
      </c>
      <c r="H63" s="15"/>
      <c r="I63" s="16"/>
      <c r="J63" s="16"/>
      <c r="K63" s="16"/>
      <c r="L63" s="15"/>
      <c r="M63" s="16"/>
      <c r="N63" s="16"/>
      <c r="O63" s="16"/>
      <c r="P63" s="15"/>
      <c r="Q63" s="7"/>
    </row>
    <row r="64" spans="1:17" s="1" customFormat="1" x14ac:dyDescent="0.15">
      <c r="A64" s="9"/>
      <c r="B64" s="13" t="s">
        <v>105</v>
      </c>
      <c r="C64" s="13"/>
      <c r="D64" s="7" t="s">
        <v>20</v>
      </c>
      <c r="E64" s="14">
        <v>4</v>
      </c>
      <c r="F64" s="14">
        <v>390</v>
      </c>
      <c r="G64" s="14">
        <f t="shared" si="1"/>
        <v>1560</v>
      </c>
      <c r="H64" s="15"/>
      <c r="I64" s="16"/>
      <c r="J64" s="16"/>
      <c r="K64" s="16"/>
      <c r="L64" s="15"/>
      <c r="M64" s="16"/>
      <c r="N64" s="16"/>
      <c r="O64" s="16"/>
      <c r="P64" s="15"/>
      <c r="Q64" s="7"/>
    </row>
    <row r="65" spans="1:17" s="1" customFormat="1" x14ac:dyDescent="0.15">
      <c r="A65" s="9"/>
      <c r="B65" s="13" t="s">
        <v>114</v>
      </c>
      <c r="C65" s="13"/>
      <c r="D65" s="7" t="s">
        <v>20</v>
      </c>
      <c r="E65" s="14">
        <v>1</v>
      </c>
      <c r="F65" s="14">
        <v>5740</v>
      </c>
      <c r="G65" s="14">
        <f t="shared" si="1"/>
        <v>5740</v>
      </c>
      <c r="H65" s="15"/>
      <c r="I65" s="16"/>
      <c r="J65" s="16"/>
      <c r="K65" s="16"/>
      <c r="L65" s="15"/>
      <c r="M65" s="16"/>
      <c r="N65" s="16"/>
      <c r="O65" s="16"/>
      <c r="P65" s="15"/>
      <c r="Q65" s="7"/>
    </row>
    <row r="66" spans="1:17" s="1" customFormat="1" x14ac:dyDescent="0.15">
      <c r="A66" s="9"/>
      <c r="B66" s="13" t="s">
        <v>115</v>
      </c>
      <c r="C66" s="13"/>
      <c r="D66" s="7" t="s">
        <v>20</v>
      </c>
      <c r="E66" s="14">
        <v>1</v>
      </c>
      <c r="F66" s="14">
        <v>2438</v>
      </c>
      <c r="G66" s="14">
        <f t="shared" si="1"/>
        <v>2438</v>
      </c>
      <c r="H66" s="15"/>
      <c r="I66" s="16"/>
      <c r="J66" s="16"/>
      <c r="K66" s="16"/>
      <c r="L66" s="15"/>
      <c r="M66" s="16"/>
      <c r="N66" s="16"/>
      <c r="O66" s="16"/>
      <c r="P66" s="15"/>
      <c r="Q66" s="7"/>
    </row>
    <row r="67" spans="1:17" s="1" customFormat="1" x14ac:dyDescent="0.15">
      <c r="A67" s="9"/>
      <c r="B67" s="13" t="s">
        <v>116</v>
      </c>
      <c r="C67" s="13"/>
      <c r="D67" s="7" t="s">
        <v>20</v>
      </c>
      <c r="E67" s="14">
        <v>5</v>
      </c>
      <c r="F67" s="14">
        <v>6000</v>
      </c>
      <c r="G67" s="14">
        <f t="shared" si="1"/>
        <v>30000</v>
      </c>
      <c r="H67" s="15"/>
      <c r="I67" s="16"/>
      <c r="J67" s="16"/>
      <c r="K67" s="16"/>
      <c r="L67" s="15"/>
      <c r="M67" s="16"/>
      <c r="N67" s="16"/>
      <c r="O67" s="16"/>
      <c r="P67" s="15"/>
      <c r="Q67" s="7"/>
    </row>
    <row r="68" spans="1:17" s="1" customFormat="1" x14ac:dyDescent="0.15">
      <c r="A68" s="9"/>
      <c r="B68" s="13" t="s">
        <v>117</v>
      </c>
      <c r="C68" s="13"/>
      <c r="D68" s="7" t="s">
        <v>20</v>
      </c>
      <c r="E68" s="14">
        <v>2</v>
      </c>
      <c r="F68" s="14">
        <v>1125</v>
      </c>
      <c r="G68" s="14">
        <f t="shared" si="1"/>
        <v>2250</v>
      </c>
      <c r="H68" s="15"/>
      <c r="I68" s="16"/>
      <c r="J68" s="16"/>
      <c r="K68" s="16"/>
      <c r="L68" s="15"/>
      <c r="M68" s="16"/>
      <c r="N68" s="16"/>
      <c r="O68" s="16"/>
      <c r="P68" s="15"/>
      <c r="Q68" s="7"/>
    </row>
    <row r="69" spans="1:17" s="1" customFormat="1" x14ac:dyDescent="0.15">
      <c r="A69" s="9"/>
      <c r="B69" s="13" t="s">
        <v>118</v>
      </c>
      <c r="C69" s="13"/>
      <c r="D69" s="7" t="s">
        <v>65</v>
      </c>
      <c r="E69" s="14">
        <v>1</v>
      </c>
      <c r="F69" s="14">
        <v>8125</v>
      </c>
      <c r="G69" s="14">
        <f t="shared" si="1"/>
        <v>8125</v>
      </c>
      <c r="H69" s="15"/>
      <c r="I69" s="15"/>
      <c r="J69" s="15"/>
      <c r="K69" s="15"/>
      <c r="L69" s="15"/>
      <c r="M69" s="15"/>
      <c r="N69" s="15"/>
      <c r="O69" s="15"/>
      <c r="P69" s="15"/>
      <c r="Q69" s="7"/>
    </row>
    <row r="70" spans="1:17" s="1" customFormat="1" x14ac:dyDescent="0.15">
      <c r="A70" s="9"/>
      <c r="B70" s="13" t="s">
        <v>119</v>
      </c>
      <c r="C70" s="13"/>
      <c r="D70" s="7" t="s">
        <v>29</v>
      </c>
      <c r="E70" s="14">
        <v>1</v>
      </c>
      <c r="F70" s="14">
        <v>16000</v>
      </c>
      <c r="G70" s="14">
        <f t="shared" ref="G70:G86" si="2">E70*F70</f>
        <v>16000</v>
      </c>
      <c r="H70" s="15"/>
      <c r="I70" s="16"/>
      <c r="J70" s="16"/>
      <c r="K70" s="16"/>
      <c r="L70" s="15"/>
      <c r="M70" s="15"/>
      <c r="N70" s="15"/>
      <c r="O70" s="15"/>
      <c r="P70" s="15"/>
      <c r="Q70" s="7"/>
    </row>
    <row r="71" spans="1:17" s="1" customFormat="1" x14ac:dyDescent="0.15">
      <c r="A71" s="7" t="s">
        <v>120</v>
      </c>
      <c r="B71" s="10" t="s">
        <v>121</v>
      </c>
      <c r="C71" s="10"/>
      <c r="D71" s="9"/>
      <c r="E71" s="17"/>
      <c r="F71" s="17"/>
      <c r="G71" s="14"/>
      <c r="H71" s="15"/>
      <c r="I71" s="25"/>
      <c r="J71" s="25"/>
      <c r="K71" s="25"/>
      <c r="L71" s="18"/>
      <c r="M71" s="25"/>
      <c r="N71" s="25"/>
      <c r="O71" s="25"/>
      <c r="P71" s="18"/>
      <c r="Q71" s="7"/>
    </row>
    <row r="72" spans="1:17" s="1" customFormat="1" x14ac:dyDescent="0.15">
      <c r="A72" s="9"/>
      <c r="B72" s="13" t="s">
        <v>122</v>
      </c>
      <c r="C72" s="13"/>
      <c r="D72" s="7" t="s">
        <v>20</v>
      </c>
      <c r="E72" s="14">
        <v>9</v>
      </c>
      <c r="F72" s="14">
        <v>338</v>
      </c>
      <c r="G72" s="14">
        <f t="shared" si="2"/>
        <v>3042</v>
      </c>
      <c r="H72" s="15"/>
      <c r="I72" s="16"/>
      <c r="J72" s="16"/>
      <c r="K72" s="16"/>
      <c r="L72" s="15"/>
      <c r="M72" s="16"/>
      <c r="N72" s="16"/>
      <c r="O72" s="16"/>
      <c r="P72" s="15"/>
      <c r="Q72" s="7"/>
    </row>
    <row r="73" spans="1:17" s="1" customFormat="1" x14ac:dyDescent="0.15">
      <c r="A73" s="9"/>
      <c r="B73" s="13" t="s">
        <v>123</v>
      </c>
      <c r="C73" s="13"/>
      <c r="D73" s="7" t="s">
        <v>20</v>
      </c>
      <c r="E73" s="14">
        <v>1</v>
      </c>
      <c r="F73" s="14">
        <v>825</v>
      </c>
      <c r="G73" s="14">
        <f t="shared" si="2"/>
        <v>825</v>
      </c>
      <c r="H73" s="15"/>
      <c r="I73" s="16"/>
      <c r="J73" s="16"/>
      <c r="K73" s="16"/>
      <c r="L73" s="15"/>
      <c r="M73" s="16"/>
      <c r="N73" s="16"/>
      <c r="O73" s="16"/>
      <c r="P73" s="15"/>
      <c r="Q73" s="7"/>
    </row>
    <row r="74" spans="1:17" s="1" customFormat="1" x14ac:dyDescent="0.15">
      <c r="A74" s="9" t="s">
        <v>124</v>
      </c>
      <c r="B74" s="10" t="s">
        <v>125</v>
      </c>
      <c r="C74" s="10"/>
      <c r="D74" s="9"/>
      <c r="E74" s="17"/>
      <c r="F74" s="17"/>
      <c r="G74" s="14"/>
      <c r="H74" s="15"/>
      <c r="I74" s="18"/>
      <c r="J74" s="18"/>
      <c r="K74" s="18"/>
      <c r="L74" s="18"/>
      <c r="M74" s="18"/>
      <c r="N74" s="18"/>
      <c r="O74" s="18"/>
      <c r="P74" s="18"/>
      <c r="Q74" s="7"/>
    </row>
    <row r="75" spans="1:17" s="1" customFormat="1" x14ac:dyDescent="0.15">
      <c r="A75" s="9" t="s">
        <v>126</v>
      </c>
      <c r="B75" s="13" t="s">
        <v>127</v>
      </c>
      <c r="C75" s="13"/>
      <c r="D75" s="7" t="s">
        <v>20</v>
      </c>
      <c r="E75" s="14">
        <v>16</v>
      </c>
      <c r="F75" s="14">
        <v>3075</v>
      </c>
      <c r="G75" s="14">
        <f t="shared" si="2"/>
        <v>49200</v>
      </c>
      <c r="H75" s="15"/>
      <c r="I75" s="16"/>
      <c r="J75" s="16"/>
      <c r="K75" s="16"/>
      <c r="L75" s="15"/>
      <c r="M75" s="16"/>
      <c r="N75" s="16"/>
      <c r="O75" s="16"/>
      <c r="P75" s="15"/>
      <c r="Q75" s="7"/>
    </row>
    <row r="76" spans="1:17" s="1" customFormat="1" x14ac:dyDescent="0.15">
      <c r="A76" s="9">
        <v>2.2999999999999998</v>
      </c>
      <c r="B76" s="10" t="s">
        <v>128</v>
      </c>
      <c r="C76" s="10"/>
      <c r="D76" s="9"/>
      <c r="E76" s="17"/>
      <c r="F76" s="17"/>
      <c r="G76" s="14"/>
      <c r="H76" s="15"/>
      <c r="I76" s="18"/>
      <c r="J76" s="18"/>
      <c r="K76" s="18"/>
      <c r="L76" s="18"/>
      <c r="M76" s="18"/>
      <c r="N76" s="18"/>
      <c r="O76" s="18"/>
      <c r="P76" s="18"/>
      <c r="Q76" s="7"/>
    </row>
    <row r="77" spans="1:17" s="1" customFormat="1" x14ac:dyDescent="0.15">
      <c r="A77" s="9"/>
      <c r="B77" s="13" t="s">
        <v>129</v>
      </c>
      <c r="C77" s="13"/>
      <c r="D77" s="7" t="s">
        <v>20</v>
      </c>
      <c r="E77" s="14">
        <v>1</v>
      </c>
      <c r="F77" s="14">
        <v>1650</v>
      </c>
      <c r="G77" s="14">
        <f t="shared" si="2"/>
        <v>1650</v>
      </c>
      <c r="H77" s="15"/>
      <c r="I77" s="16"/>
      <c r="J77" s="16"/>
      <c r="K77" s="16"/>
      <c r="L77" s="15"/>
      <c r="M77" s="16"/>
      <c r="N77" s="16"/>
      <c r="O77" s="16"/>
      <c r="P77" s="15"/>
      <c r="Q77" s="7"/>
    </row>
    <row r="78" spans="1:17" s="1" customFormat="1" x14ac:dyDescent="0.15">
      <c r="A78" s="9"/>
      <c r="B78" s="13" t="s">
        <v>130</v>
      </c>
      <c r="C78" s="13"/>
      <c r="D78" s="7" t="s">
        <v>29</v>
      </c>
      <c r="E78" s="14">
        <v>1</v>
      </c>
      <c r="F78" s="14">
        <v>225</v>
      </c>
      <c r="G78" s="14">
        <f t="shared" si="2"/>
        <v>225</v>
      </c>
      <c r="H78" s="15"/>
      <c r="I78" s="16"/>
      <c r="J78" s="16"/>
      <c r="K78" s="16"/>
      <c r="L78" s="15"/>
      <c r="M78" s="16"/>
      <c r="N78" s="16"/>
      <c r="O78" s="16"/>
      <c r="P78" s="15"/>
      <c r="Q78" s="7"/>
    </row>
    <row r="79" spans="1:17" s="1" customFormat="1" ht="24" x14ac:dyDescent="0.15">
      <c r="A79" s="9">
        <v>2.4</v>
      </c>
      <c r="B79" s="10" t="s">
        <v>131</v>
      </c>
      <c r="C79" s="10"/>
      <c r="D79" s="9"/>
      <c r="E79" s="17"/>
      <c r="F79" s="17"/>
      <c r="G79" s="14"/>
      <c r="H79" s="15"/>
      <c r="I79" s="18"/>
      <c r="J79" s="18"/>
      <c r="K79" s="18"/>
      <c r="L79" s="18"/>
      <c r="M79" s="18"/>
      <c r="N79" s="18"/>
      <c r="O79" s="18"/>
      <c r="P79" s="18"/>
      <c r="Q79" s="7"/>
    </row>
    <row r="80" spans="1:17" s="1" customFormat="1" ht="24" x14ac:dyDescent="0.15">
      <c r="A80" s="9"/>
      <c r="B80" s="8" t="s">
        <v>132</v>
      </c>
      <c r="C80" s="8" t="s">
        <v>133</v>
      </c>
      <c r="D80" s="7" t="s">
        <v>20</v>
      </c>
      <c r="E80" s="14">
        <v>1</v>
      </c>
      <c r="F80" s="14">
        <v>232500</v>
      </c>
      <c r="G80" s="14">
        <f t="shared" si="2"/>
        <v>232500</v>
      </c>
      <c r="H80" s="15"/>
      <c r="I80" s="16"/>
      <c r="J80" s="16"/>
      <c r="K80" s="16"/>
      <c r="L80" s="15"/>
      <c r="M80" s="16"/>
      <c r="N80" s="16"/>
      <c r="O80" s="16"/>
      <c r="P80" s="15"/>
      <c r="Q80" s="7"/>
    </row>
    <row r="81" spans="1:17" s="1" customFormat="1" x14ac:dyDescent="0.15">
      <c r="A81" s="9"/>
      <c r="B81" s="8" t="s">
        <v>134</v>
      </c>
      <c r="C81" s="8" t="s">
        <v>135</v>
      </c>
      <c r="D81" s="7" t="s">
        <v>29</v>
      </c>
      <c r="E81" s="14">
        <v>1</v>
      </c>
      <c r="F81" s="14">
        <v>130000</v>
      </c>
      <c r="G81" s="14">
        <f t="shared" si="2"/>
        <v>130000</v>
      </c>
      <c r="H81" s="15"/>
      <c r="I81" s="16"/>
      <c r="J81" s="16"/>
      <c r="K81" s="16"/>
      <c r="L81" s="15"/>
      <c r="M81" s="16"/>
      <c r="N81" s="16"/>
      <c r="O81" s="16"/>
      <c r="P81" s="15"/>
      <c r="Q81" s="7"/>
    </row>
    <row r="82" spans="1:17" s="1" customFormat="1" x14ac:dyDescent="0.15">
      <c r="A82" s="9">
        <v>2.5</v>
      </c>
      <c r="B82" s="10" t="s">
        <v>136</v>
      </c>
      <c r="C82" s="10"/>
      <c r="D82" s="9"/>
      <c r="E82" s="17"/>
      <c r="F82" s="17"/>
      <c r="G82" s="14"/>
      <c r="H82" s="15"/>
      <c r="I82" s="18"/>
      <c r="J82" s="18"/>
      <c r="K82" s="18"/>
      <c r="L82" s="18"/>
      <c r="M82" s="18"/>
      <c r="N82" s="18"/>
      <c r="O82" s="18"/>
      <c r="P82" s="18"/>
      <c r="Q82" s="7"/>
    </row>
    <row r="83" spans="1:17" s="1" customFormat="1" x14ac:dyDescent="0.15">
      <c r="A83" s="9"/>
      <c r="B83" s="8" t="s">
        <v>137</v>
      </c>
      <c r="C83" s="8" t="s">
        <v>138</v>
      </c>
      <c r="D83" s="7" t="s">
        <v>20</v>
      </c>
      <c r="E83" s="14">
        <v>1</v>
      </c>
      <c r="F83" s="14">
        <v>35000</v>
      </c>
      <c r="G83" s="14">
        <f t="shared" si="2"/>
        <v>35000</v>
      </c>
      <c r="H83" s="15"/>
      <c r="I83" s="16"/>
      <c r="J83" s="16"/>
      <c r="K83" s="16"/>
      <c r="L83" s="15"/>
      <c r="M83" s="16"/>
      <c r="N83" s="16"/>
      <c r="O83" s="16"/>
      <c r="P83" s="15"/>
      <c r="Q83" s="7"/>
    </row>
    <row r="84" spans="1:17" s="1" customFormat="1" x14ac:dyDescent="0.15">
      <c r="A84" s="9"/>
      <c r="B84" s="8" t="s">
        <v>139</v>
      </c>
      <c r="C84" s="8"/>
      <c r="D84" s="7" t="s">
        <v>20</v>
      </c>
      <c r="E84" s="14">
        <v>1</v>
      </c>
      <c r="F84" s="14">
        <v>67500</v>
      </c>
      <c r="G84" s="14">
        <f t="shared" si="2"/>
        <v>67500</v>
      </c>
      <c r="H84" s="15"/>
      <c r="I84" s="16"/>
      <c r="J84" s="16"/>
      <c r="K84" s="16"/>
      <c r="L84" s="15"/>
      <c r="M84" s="16"/>
      <c r="N84" s="16"/>
      <c r="O84" s="16"/>
      <c r="P84" s="15"/>
      <c r="Q84" s="7"/>
    </row>
    <row r="85" spans="1:17" s="1" customFormat="1" x14ac:dyDescent="0.15">
      <c r="A85" s="9"/>
      <c r="B85" s="8" t="s">
        <v>140</v>
      </c>
      <c r="C85" s="8"/>
      <c r="D85" s="7" t="s">
        <v>20</v>
      </c>
      <c r="E85" s="14">
        <v>1</v>
      </c>
      <c r="F85" s="14">
        <v>41250</v>
      </c>
      <c r="G85" s="14">
        <f t="shared" si="2"/>
        <v>41250</v>
      </c>
      <c r="H85" s="15"/>
      <c r="I85" s="16"/>
      <c r="J85" s="16"/>
      <c r="K85" s="16"/>
      <c r="L85" s="15"/>
      <c r="M85" s="16"/>
      <c r="N85" s="16"/>
      <c r="O85" s="16"/>
      <c r="P85" s="15"/>
      <c r="Q85" s="7"/>
    </row>
    <row r="86" spans="1:17" s="1" customFormat="1" x14ac:dyDescent="0.15">
      <c r="A86" s="9"/>
      <c r="B86" s="8" t="s">
        <v>141</v>
      </c>
      <c r="C86" s="8"/>
      <c r="D86" s="7" t="s">
        <v>142</v>
      </c>
      <c r="E86" s="14">
        <v>1</v>
      </c>
      <c r="F86" s="14">
        <v>3000</v>
      </c>
      <c r="G86" s="14">
        <f t="shared" si="2"/>
        <v>3000</v>
      </c>
      <c r="H86" s="15"/>
      <c r="I86" s="16"/>
      <c r="J86" s="16"/>
      <c r="K86" s="16"/>
      <c r="L86" s="15"/>
      <c r="M86" s="16"/>
      <c r="N86" s="16"/>
      <c r="O86" s="16"/>
      <c r="P86" s="15"/>
      <c r="Q86" s="7"/>
    </row>
    <row r="87" spans="1:17" s="1" customFormat="1" ht="168" x14ac:dyDescent="0.15">
      <c r="A87" s="9"/>
      <c r="B87" s="8" t="s">
        <v>143</v>
      </c>
      <c r="C87" s="8"/>
      <c r="D87" s="7" t="s">
        <v>20</v>
      </c>
      <c r="E87" s="14">
        <v>2</v>
      </c>
      <c r="F87" s="14">
        <v>195000</v>
      </c>
      <c r="G87" s="14">
        <f>E87*F87</f>
        <v>390000</v>
      </c>
      <c r="H87" s="15"/>
      <c r="I87" s="26" t="s">
        <v>144</v>
      </c>
      <c r="J87" s="16"/>
      <c r="K87" s="16"/>
      <c r="L87" s="15"/>
      <c r="M87" s="16"/>
      <c r="N87" s="16"/>
      <c r="O87" s="16"/>
      <c r="P87" s="15"/>
      <c r="Q87" s="7"/>
    </row>
    <row r="88" spans="1:17" s="1" customFormat="1" x14ac:dyDescent="0.15">
      <c r="A88" s="9"/>
      <c r="B88" s="8" t="s">
        <v>145</v>
      </c>
      <c r="C88" s="8"/>
      <c r="D88" s="7" t="s">
        <v>29</v>
      </c>
      <c r="E88" s="14">
        <v>1</v>
      </c>
      <c r="F88" s="14">
        <v>1625</v>
      </c>
      <c r="G88" s="14">
        <f>E88*F88</f>
        <v>1625</v>
      </c>
      <c r="H88" s="15"/>
      <c r="I88" s="16"/>
      <c r="J88" s="16"/>
      <c r="K88" s="16"/>
      <c r="L88" s="15"/>
      <c r="M88" s="16"/>
      <c r="N88" s="16"/>
      <c r="O88" s="16"/>
      <c r="P88" s="15"/>
      <c r="Q88" s="7"/>
    </row>
    <row r="89" spans="1:17" s="1" customFormat="1" x14ac:dyDescent="0.15">
      <c r="A89" s="9"/>
      <c r="B89" s="8" t="s">
        <v>146</v>
      </c>
      <c r="C89" s="8"/>
      <c r="D89" s="7" t="s">
        <v>147</v>
      </c>
      <c r="E89" s="14">
        <v>150</v>
      </c>
      <c r="F89" s="14">
        <v>75</v>
      </c>
      <c r="G89" s="14">
        <f t="shared" ref="G89:G113" si="3">E89*F89</f>
        <v>11250</v>
      </c>
      <c r="H89" s="15"/>
      <c r="I89" s="16">
        <f>16*1.25</f>
        <v>20</v>
      </c>
      <c r="J89" s="16"/>
      <c r="K89" s="16"/>
      <c r="L89" s="15"/>
      <c r="M89" s="16"/>
      <c r="N89" s="16"/>
      <c r="O89" s="16"/>
      <c r="P89" s="15"/>
      <c r="Q89" s="7"/>
    </row>
    <row r="90" spans="1:17" s="1" customFormat="1" x14ac:dyDescent="0.15">
      <c r="A90" s="9"/>
      <c r="B90" s="8" t="s">
        <v>148</v>
      </c>
      <c r="C90" s="8"/>
      <c r="D90" s="7" t="s">
        <v>29</v>
      </c>
      <c r="E90" s="14">
        <v>1</v>
      </c>
      <c r="F90" s="14">
        <v>4375</v>
      </c>
      <c r="G90" s="14">
        <f t="shared" si="3"/>
        <v>4375</v>
      </c>
      <c r="H90" s="15"/>
      <c r="I90" s="16"/>
      <c r="J90" s="16"/>
      <c r="K90" s="16"/>
      <c r="L90" s="15"/>
      <c r="M90" s="16"/>
      <c r="N90" s="16"/>
      <c r="O90" s="16"/>
      <c r="P90" s="15"/>
      <c r="Q90" s="7"/>
    </row>
    <row r="91" spans="1:17" s="1" customFormat="1" x14ac:dyDescent="0.15">
      <c r="A91" s="9"/>
      <c r="B91" s="8" t="s">
        <v>149</v>
      </c>
      <c r="C91" s="8"/>
      <c r="D91" s="7" t="s">
        <v>150</v>
      </c>
      <c r="E91" s="14">
        <v>50</v>
      </c>
      <c r="F91" s="14">
        <v>125</v>
      </c>
      <c r="G91" s="14">
        <f t="shared" si="3"/>
        <v>6250</v>
      </c>
      <c r="H91" s="15"/>
      <c r="I91" s="16"/>
      <c r="J91" s="16"/>
      <c r="K91" s="16"/>
      <c r="L91" s="15"/>
      <c r="M91" s="16"/>
      <c r="N91" s="16"/>
      <c r="O91" s="16"/>
      <c r="P91" s="15"/>
      <c r="Q91" s="7"/>
    </row>
    <row r="92" spans="1:17" s="1" customFormat="1" x14ac:dyDescent="0.15">
      <c r="A92" s="9"/>
      <c r="B92" s="8" t="s">
        <v>151</v>
      </c>
      <c r="C92" s="8"/>
      <c r="D92" s="7" t="s">
        <v>152</v>
      </c>
      <c r="E92" s="14">
        <v>4</v>
      </c>
      <c r="F92" s="14">
        <v>500</v>
      </c>
      <c r="G92" s="14">
        <f t="shared" si="3"/>
        <v>2000</v>
      </c>
      <c r="H92" s="15"/>
      <c r="I92" s="16"/>
      <c r="J92" s="16"/>
      <c r="K92" s="16"/>
      <c r="L92" s="15"/>
      <c r="M92" s="16"/>
      <c r="N92" s="16"/>
      <c r="O92" s="16"/>
      <c r="P92" s="15"/>
      <c r="Q92" s="7"/>
    </row>
    <row r="93" spans="1:17" s="1" customFormat="1" x14ac:dyDescent="0.15">
      <c r="A93" s="9"/>
      <c r="B93" s="8" t="s">
        <v>153</v>
      </c>
      <c r="C93" s="8"/>
      <c r="D93" s="7" t="s">
        <v>29</v>
      </c>
      <c r="E93" s="14">
        <v>1</v>
      </c>
      <c r="F93" s="14">
        <v>5000</v>
      </c>
      <c r="G93" s="14">
        <f t="shared" si="3"/>
        <v>5000</v>
      </c>
      <c r="H93" s="15"/>
      <c r="I93" s="16"/>
      <c r="J93" s="16"/>
      <c r="K93" s="16"/>
      <c r="L93" s="15"/>
      <c r="M93" s="16"/>
      <c r="N93" s="16"/>
      <c r="O93" s="16"/>
      <c r="P93" s="15"/>
      <c r="Q93" s="7"/>
    </row>
    <row r="94" spans="1:17" s="1" customFormat="1" x14ac:dyDescent="0.15">
      <c r="A94" s="9"/>
      <c r="B94" s="8" t="s">
        <v>154</v>
      </c>
      <c r="C94" s="8"/>
      <c r="D94" s="7" t="s">
        <v>29</v>
      </c>
      <c r="E94" s="14">
        <v>1</v>
      </c>
      <c r="F94" s="14">
        <v>2500</v>
      </c>
      <c r="G94" s="14">
        <f t="shared" si="3"/>
        <v>2500</v>
      </c>
      <c r="H94" s="15"/>
      <c r="I94" s="16"/>
      <c r="J94" s="16"/>
      <c r="K94" s="16"/>
      <c r="L94" s="15"/>
      <c r="M94" s="16"/>
      <c r="N94" s="16"/>
      <c r="O94" s="16"/>
      <c r="P94" s="15"/>
      <c r="Q94" s="7"/>
    </row>
    <row r="95" spans="1:17" s="1" customFormat="1" x14ac:dyDescent="0.15">
      <c r="A95" s="9"/>
      <c r="B95" s="8" t="s">
        <v>155</v>
      </c>
      <c r="C95" s="8"/>
      <c r="D95" s="7" t="s">
        <v>29</v>
      </c>
      <c r="E95" s="14">
        <v>1</v>
      </c>
      <c r="F95" s="14">
        <v>2125</v>
      </c>
      <c r="G95" s="14">
        <f t="shared" si="3"/>
        <v>2125</v>
      </c>
      <c r="H95" s="15"/>
      <c r="I95" s="16"/>
      <c r="J95" s="16"/>
      <c r="K95" s="16"/>
      <c r="L95" s="15"/>
      <c r="M95" s="16"/>
      <c r="N95" s="16"/>
      <c r="O95" s="16"/>
      <c r="P95" s="15"/>
      <c r="Q95" s="7"/>
    </row>
    <row r="96" spans="1:17" s="1" customFormat="1" x14ac:dyDescent="0.15">
      <c r="A96" s="9"/>
      <c r="B96" s="8" t="s">
        <v>156</v>
      </c>
      <c r="C96" s="8"/>
      <c r="D96" s="7" t="s">
        <v>147</v>
      </c>
      <c r="E96" s="14">
        <v>300</v>
      </c>
      <c r="F96" s="14">
        <v>4</v>
      </c>
      <c r="G96" s="14">
        <f t="shared" si="3"/>
        <v>1200</v>
      </c>
      <c r="H96" s="15"/>
      <c r="I96" s="16"/>
      <c r="J96" s="16"/>
      <c r="K96" s="16"/>
      <c r="L96" s="15"/>
      <c r="M96" s="16"/>
      <c r="N96" s="16"/>
      <c r="O96" s="16"/>
      <c r="P96" s="15"/>
      <c r="Q96" s="7"/>
    </row>
    <row r="97" spans="1:17" s="1" customFormat="1" x14ac:dyDescent="0.15">
      <c r="A97" s="9"/>
      <c r="B97" s="8" t="s">
        <v>157</v>
      </c>
      <c r="C97" s="8"/>
      <c r="D97" s="7" t="s">
        <v>147</v>
      </c>
      <c r="E97" s="14">
        <v>150</v>
      </c>
      <c r="F97" s="14">
        <v>10</v>
      </c>
      <c r="G97" s="14">
        <f t="shared" si="3"/>
        <v>1500</v>
      </c>
      <c r="H97" s="15"/>
      <c r="I97" s="16"/>
      <c r="J97" s="16"/>
      <c r="K97" s="16"/>
      <c r="L97" s="15"/>
      <c r="M97" s="16"/>
      <c r="N97" s="16"/>
      <c r="O97" s="16"/>
      <c r="P97" s="15"/>
      <c r="Q97" s="7"/>
    </row>
    <row r="98" spans="1:17" s="1" customFormat="1" x14ac:dyDescent="0.15">
      <c r="A98" s="9"/>
      <c r="B98" s="8" t="s">
        <v>158</v>
      </c>
      <c r="C98" s="8"/>
      <c r="D98" s="7" t="s">
        <v>29</v>
      </c>
      <c r="E98" s="14">
        <v>1</v>
      </c>
      <c r="F98" s="14">
        <v>5000</v>
      </c>
      <c r="G98" s="14">
        <f t="shared" si="3"/>
        <v>5000</v>
      </c>
      <c r="H98" s="15"/>
      <c r="I98" s="16"/>
      <c r="J98" s="16"/>
      <c r="K98" s="16"/>
      <c r="L98" s="15"/>
      <c r="M98" s="16"/>
      <c r="N98" s="16"/>
      <c r="O98" s="16"/>
      <c r="P98" s="15"/>
      <c r="Q98" s="7"/>
    </row>
    <row r="99" spans="1:17" s="1" customFormat="1" x14ac:dyDescent="0.15">
      <c r="A99" s="9"/>
      <c r="B99" s="8" t="s">
        <v>159</v>
      </c>
      <c r="C99" s="8"/>
      <c r="D99" s="7" t="s">
        <v>29</v>
      </c>
      <c r="E99" s="14">
        <v>1</v>
      </c>
      <c r="F99" s="14">
        <v>3750</v>
      </c>
      <c r="G99" s="14">
        <f t="shared" si="3"/>
        <v>3750</v>
      </c>
      <c r="H99" s="15"/>
      <c r="I99" s="16"/>
      <c r="J99" s="16"/>
      <c r="K99" s="16"/>
      <c r="L99" s="15"/>
      <c r="M99" s="16"/>
      <c r="N99" s="16"/>
      <c r="O99" s="16"/>
      <c r="P99" s="15"/>
      <c r="Q99" s="7"/>
    </row>
    <row r="100" spans="1:17" s="1" customFormat="1" x14ac:dyDescent="0.15">
      <c r="A100" s="9"/>
      <c r="B100" s="8" t="s">
        <v>160</v>
      </c>
      <c r="C100" s="8"/>
      <c r="D100" s="7" t="s">
        <v>29</v>
      </c>
      <c r="E100" s="14">
        <v>1</v>
      </c>
      <c r="F100" s="14">
        <v>12500</v>
      </c>
      <c r="G100" s="14">
        <f t="shared" si="3"/>
        <v>12500</v>
      </c>
      <c r="H100" s="15"/>
      <c r="I100" s="16"/>
      <c r="J100" s="16"/>
      <c r="K100" s="16"/>
      <c r="L100" s="15"/>
      <c r="M100" s="16"/>
      <c r="N100" s="16"/>
      <c r="O100" s="16"/>
      <c r="P100" s="15"/>
      <c r="Q100" s="7"/>
    </row>
    <row r="101" spans="1:17" s="1" customFormat="1" x14ac:dyDescent="0.15">
      <c r="A101" s="9"/>
      <c r="B101" s="8" t="s">
        <v>161</v>
      </c>
      <c r="C101" s="8"/>
      <c r="D101" s="7" t="s">
        <v>29</v>
      </c>
      <c r="E101" s="14">
        <v>1</v>
      </c>
      <c r="F101" s="14">
        <v>3750</v>
      </c>
      <c r="G101" s="14">
        <f t="shared" si="3"/>
        <v>3750</v>
      </c>
      <c r="H101" s="15"/>
      <c r="I101" s="16"/>
      <c r="J101" s="16"/>
      <c r="K101" s="16"/>
      <c r="L101" s="15"/>
      <c r="M101" s="16"/>
      <c r="N101" s="16"/>
      <c r="O101" s="16"/>
      <c r="P101" s="15"/>
      <c r="Q101" s="7"/>
    </row>
    <row r="102" spans="1:17" s="1" customFormat="1" x14ac:dyDescent="0.15">
      <c r="A102" s="9"/>
      <c r="B102" s="8" t="s">
        <v>162</v>
      </c>
      <c r="C102" s="8"/>
      <c r="D102" s="7" t="s">
        <v>29</v>
      </c>
      <c r="E102" s="14">
        <v>1</v>
      </c>
      <c r="F102" s="14">
        <v>40000</v>
      </c>
      <c r="G102" s="14">
        <f t="shared" si="3"/>
        <v>40000</v>
      </c>
      <c r="H102" s="15"/>
      <c r="I102" s="16"/>
      <c r="J102" s="16"/>
      <c r="K102" s="16"/>
      <c r="L102" s="15"/>
      <c r="M102" s="16"/>
      <c r="N102" s="16"/>
      <c r="O102" s="16"/>
      <c r="P102" s="15"/>
      <c r="Q102" s="7"/>
    </row>
    <row r="103" spans="1:17" s="1" customFormat="1" x14ac:dyDescent="0.15">
      <c r="A103" s="9"/>
      <c r="B103" s="8" t="s">
        <v>163</v>
      </c>
      <c r="C103" s="8"/>
      <c r="D103" s="7" t="s">
        <v>164</v>
      </c>
      <c r="E103" s="14">
        <v>1</v>
      </c>
      <c r="F103" s="14">
        <v>8750</v>
      </c>
      <c r="G103" s="14">
        <f t="shared" si="3"/>
        <v>8750</v>
      </c>
      <c r="H103" s="15"/>
      <c r="I103" s="16"/>
      <c r="J103" s="16"/>
      <c r="K103" s="16"/>
      <c r="L103" s="15"/>
      <c r="M103" s="16"/>
      <c r="N103" s="16"/>
      <c r="O103" s="16"/>
      <c r="P103" s="15"/>
      <c r="Q103" s="7"/>
    </row>
    <row r="104" spans="1:17" s="1" customFormat="1" x14ac:dyDescent="0.15">
      <c r="A104" s="9"/>
      <c r="B104" s="8" t="s">
        <v>165</v>
      </c>
      <c r="C104" s="8"/>
      <c r="D104" s="7" t="s">
        <v>29</v>
      </c>
      <c r="E104" s="14">
        <v>1</v>
      </c>
      <c r="F104" s="14">
        <v>77500</v>
      </c>
      <c r="G104" s="14">
        <f t="shared" si="3"/>
        <v>77500</v>
      </c>
      <c r="H104" s="15"/>
      <c r="I104" s="16"/>
      <c r="J104" s="16"/>
      <c r="K104" s="16"/>
      <c r="L104" s="15"/>
      <c r="M104" s="16"/>
      <c r="N104" s="16"/>
      <c r="O104" s="16"/>
      <c r="P104" s="15"/>
      <c r="Q104" s="7"/>
    </row>
    <row r="105" spans="1:17" s="1" customFormat="1" x14ac:dyDescent="0.15">
      <c r="A105" s="9"/>
      <c r="B105" s="8" t="s">
        <v>166</v>
      </c>
      <c r="C105" s="8"/>
      <c r="D105" s="7" t="s">
        <v>20</v>
      </c>
      <c r="E105" s="14">
        <v>1</v>
      </c>
      <c r="F105" s="14">
        <v>31250</v>
      </c>
      <c r="G105" s="14">
        <f t="shared" si="3"/>
        <v>31250</v>
      </c>
      <c r="H105" s="15"/>
      <c r="I105" s="16"/>
      <c r="J105" s="16"/>
      <c r="K105" s="16"/>
      <c r="L105" s="15"/>
      <c r="M105" s="16"/>
      <c r="N105" s="16"/>
      <c r="O105" s="16"/>
      <c r="P105" s="15"/>
      <c r="Q105" s="7"/>
    </row>
    <row r="106" spans="1:17" s="1" customFormat="1" x14ac:dyDescent="0.15">
      <c r="A106" s="9"/>
      <c r="B106" s="8" t="s">
        <v>167</v>
      </c>
      <c r="C106" s="8"/>
      <c r="D106" s="7" t="s">
        <v>29</v>
      </c>
      <c r="E106" s="14">
        <v>1</v>
      </c>
      <c r="F106" s="14">
        <v>15000</v>
      </c>
      <c r="G106" s="14">
        <f t="shared" si="3"/>
        <v>15000</v>
      </c>
      <c r="H106" s="15"/>
      <c r="I106" s="16"/>
      <c r="J106" s="16"/>
      <c r="K106" s="16"/>
      <c r="L106" s="15"/>
      <c r="M106" s="16"/>
      <c r="N106" s="16"/>
      <c r="O106" s="16"/>
      <c r="P106" s="15"/>
      <c r="Q106" s="7"/>
    </row>
    <row r="107" spans="1:17" s="1" customFormat="1" x14ac:dyDescent="0.15">
      <c r="A107" s="9"/>
      <c r="B107" s="8" t="s">
        <v>168</v>
      </c>
      <c r="C107" s="8"/>
      <c r="D107" s="7" t="s">
        <v>29</v>
      </c>
      <c r="E107" s="14">
        <v>1</v>
      </c>
      <c r="F107" s="14">
        <v>3375</v>
      </c>
      <c r="G107" s="14">
        <f t="shared" si="3"/>
        <v>3375</v>
      </c>
      <c r="H107" s="15"/>
      <c r="I107" s="16"/>
      <c r="J107" s="16"/>
      <c r="K107" s="16"/>
      <c r="L107" s="15"/>
      <c r="M107" s="16"/>
      <c r="N107" s="16"/>
      <c r="O107" s="16"/>
      <c r="P107" s="15"/>
      <c r="Q107" s="7"/>
    </row>
    <row r="108" spans="1:17" s="1" customFormat="1" x14ac:dyDescent="0.15">
      <c r="A108" s="9"/>
      <c r="B108" s="8" t="s">
        <v>169</v>
      </c>
      <c r="C108" s="8"/>
      <c r="D108" s="7" t="s">
        <v>29</v>
      </c>
      <c r="E108" s="14">
        <v>1</v>
      </c>
      <c r="F108" s="14">
        <v>11875</v>
      </c>
      <c r="G108" s="14">
        <f t="shared" si="3"/>
        <v>11875</v>
      </c>
      <c r="H108" s="15"/>
      <c r="I108" s="16"/>
      <c r="J108" s="16"/>
      <c r="K108" s="16"/>
      <c r="L108" s="15"/>
      <c r="M108" s="16"/>
      <c r="N108" s="16"/>
      <c r="O108" s="16"/>
      <c r="P108" s="15"/>
      <c r="Q108" s="7"/>
    </row>
    <row r="109" spans="1:17" s="1" customFormat="1" x14ac:dyDescent="0.15">
      <c r="A109" s="9"/>
      <c r="B109" s="8" t="s">
        <v>170</v>
      </c>
      <c r="C109" s="8"/>
      <c r="D109" s="7" t="s">
        <v>171</v>
      </c>
      <c r="E109" s="14">
        <v>1</v>
      </c>
      <c r="F109" s="14">
        <v>31250</v>
      </c>
      <c r="G109" s="14">
        <f t="shared" si="3"/>
        <v>31250</v>
      </c>
      <c r="H109" s="15"/>
      <c r="I109" s="16"/>
      <c r="J109" s="16"/>
      <c r="K109" s="16"/>
      <c r="L109" s="15"/>
      <c r="M109" s="16"/>
      <c r="N109" s="16"/>
      <c r="O109" s="16"/>
      <c r="P109" s="15"/>
      <c r="Q109" s="7"/>
    </row>
    <row r="110" spans="1:17" s="1" customFormat="1" x14ac:dyDescent="0.15">
      <c r="A110" s="9"/>
      <c r="B110" s="8" t="s">
        <v>145</v>
      </c>
      <c r="C110" s="8"/>
      <c r="D110" s="7" t="s">
        <v>29</v>
      </c>
      <c r="E110" s="14">
        <v>1</v>
      </c>
      <c r="F110" s="14">
        <v>1625</v>
      </c>
      <c r="G110" s="14">
        <f t="shared" si="3"/>
        <v>1625</v>
      </c>
      <c r="H110" s="15"/>
      <c r="I110" s="16"/>
      <c r="J110" s="16"/>
      <c r="K110" s="16"/>
      <c r="L110" s="15"/>
      <c r="M110" s="16"/>
      <c r="N110" s="16"/>
      <c r="O110" s="16"/>
      <c r="P110" s="15"/>
      <c r="Q110" s="7"/>
    </row>
    <row r="111" spans="1:17" s="1" customFormat="1" x14ac:dyDescent="0.15">
      <c r="A111" s="9"/>
      <c r="B111" s="8" t="s">
        <v>172</v>
      </c>
      <c r="C111" s="8"/>
      <c r="D111" s="7" t="s">
        <v>29</v>
      </c>
      <c r="E111" s="14">
        <v>1</v>
      </c>
      <c r="F111" s="14">
        <v>12500</v>
      </c>
      <c r="G111" s="14">
        <f t="shared" si="3"/>
        <v>12500</v>
      </c>
      <c r="H111" s="15"/>
      <c r="I111" s="16"/>
      <c r="J111" s="16"/>
      <c r="K111" s="16"/>
      <c r="L111" s="15"/>
      <c r="M111" s="16"/>
      <c r="N111" s="16"/>
      <c r="O111" s="16"/>
      <c r="P111" s="15"/>
      <c r="Q111" s="7"/>
    </row>
    <row r="112" spans="1:17" s="1" customFormat="1" x14ac:dyDescent="0.15">
      <c r="A112" s="9"/>
      <c r="B112" s="8" t="s">
        <v>173</v>
      </c>
      <c r="C112" s="8"/>
      <c r="D112" s="7" t="s">
        <v>147</v>
      </c>
      <c r="E112" s="14">
        <v>10</v>
      </c>
      <c r="F112" s="14">
        <v>1250</v>
      </c>
      <c r="G112" s="14">
        <f t="shared" si="3"/>
        <v>12500</v>
      </c>
      <c r="H112" s="15"/>
      <c r="I112" s="16"/>
      <c r="J112" s="16"/>
      <c r="K112" s="16"/>
      <c r="L112" s="15"/>
      <c r="M112" s="16"/>
      <c r="N112" s="16"/>
      <c r="O112" s="16"/>
      <c r="P112" s="15"/>
      <c r="Q112" s="7"/>
    </row>
    <row r="113" spans="1:17" s="1" customFormat="1" x14ac:dyDescent="0.15">
      <c r="A113" s="9" t="s">
        <v>174</v>
      </c>
      <c r="B113" s="31" t="s">
        <v>175</v>
      </c>
      <c r="C113" s="31"/>
      <c r="D113" s="7" t="s">
        <v>49</v>
      </c>
      <c r="E113" s="14">
        <v>1</v>
      </c>
      <c r="F113" s="14">
        <v>37500</v>
      </c>
      <c r="G113" s="14">
        <f t="shared" si="3"/>
        <v>37500</v>
      </c>
      <c r="H113" s="15"/>
      <c r="I113" s="16"/>
      <c r="J113" s="15"/>
      <c r="K113" s="16"/>
      <c r="L113" s="27"/>
      <c r="M113" s="16"/>
      <c r="N113" s="15"/>
      <c r="O113" s="16"/>
      <c r="P113" s="15"/>
      <c r="Q113" s="7"/>
    </row>
    <row r="115" spans="1:17" s="1" customFormat="1" x14ac:dyDescent="0.15">
      <c r="A115" s="7"/>
      <c r="B115" s="28" t="s">
        <v>176</v>
      </c>
      <c r="C115" s="28"/>
      <c r="D115" s="7"/>
      <c r="E115" s="28"/>
      <c r="F115" s="28"/>
      <c r="G115" s="28"/>
      <c r="H115" s="28"/>
      <c r="I115" s="28"/>
      <c r="J115" s="28"/>
      <c r="K115" s="28"/>
      <c r="L115" s="29"/>
      <c r="M115" s="29"/>
      <c r="N115" s="29"/>
      <c r="O115" s="29"/>
      <c r="P115" s="29"/>
      <c r="Q115" s="28"/>
    </row>
    <row r="116" spans="1:17" s="1" customFormat="1" x14ac:dyDescent="0.15">
      <c r="A116" s="7"/>
      <c r="B116" s="28" t="s">
        <v>177</v>
      </c>
      <c r="C116" s="28"/>
      <c r="D116" s="7"/>
      <c r="E116" s="28"/>
      <c r="F116" s="28"/>
      <c r="G116" s="28"/>
      <c r="H116" s="28"/>
      <c r="I116" s="28"/>
      <c r="J116" s="28"/>
      <c r="K116" s="28"/>
      <c r="L116" s="29"/>
      <c r="M116" s="29"/>
      <c r="N116" s="29"/>
      <c r="O116" s="29"/>
      <c r="P116" s="29"/>
      <c r="Q116" s="28"/>
    </row>
    <row r="117" spans="1:17" s="1" customFormat="1" x14ac:dyDescent="0.15">
      <c r="A117" s="7"/>
      <c r="B117" s="28" t="s">
        <v>178</v>
      </c>
      <c r="C117" s="28"/>
      <c r="D117" s="7"/>
      <c r="E117" s="28"/>
      <c r="F117" s="28"/>
      <c r="G117" s="28"/>
      <c r="H117" s="28"/>
      <c r="I117" s="28"/>
      <c r="J117" s="28"/>
      <c r="K117" s="28"/>
      <c r="L117" s="29"/>
      <c r="M117" s="29"/>
      <c r="N117" s="29"/>
      <c r="O117" s="29"/>
      <c r="P117" s="29"/>
      <c r="Q117" s="28"/>
    </row>
    <row r="119" spans="1:17" x14ac:dyDescent="0.15">
      <c r="G119" s="5">
        <f>SUM(G3:G113)</f>
        <v>3559099</v>
      </c>
    </row>
    <row r="122" spans="1:17" x14ac:dyDescent="0.15">
      <c r="B122" s="32" t="s">
        <v>179</v>
      </c>
      <c r="C122" s="32"/>
      <c r="D122" s="32"/>
      <c r="E122" s="32"/>
      <c r="F122" s="32"/>
      <c r="G122" s="32"/>
      <c r="H122" s="32"/>
    </row>
    <row r="123" spans="1:17" x14ac:dyDescent="0.15">
      <c r="B123" s="32" t="s">
        <v>180</v>
      </c>
      <c r="C123" s="33"/>
      <c r="D123" s="33"/>
      <c r="E123" s="33"/>
      <c r="F123" s="33"/>
      <c r="G123" s="33"/>
      <c r="H123" s="33"/>
    </row>
  </sheetData>
  <mergeCells count="12">
    <mergeCell ref="P1:P2"/>
    <mergeCell ref="Q1:Q2"/>
    <mergeCell ref="B122:H122"/>
    <mergeCell ref="B123:H123"/>
    <mergeCell ref="H1:K1"/>
    <mergeCell ref="L1:O1"/>
    <mergeCell ref="B113:C113"/>
    <mergeCell ref="A1:A2"/>
    <mergeCell ref="B1:B2"/>
    <mergeCell ref="C1:C2"/>
    <mergeCell ref="D1:D2"/>
    <mergeCell ref="E1:E2"/>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2023-05-12T19:15:00Z</dcterms:created>
  <dcterms:modified xsi:type="dcterms:W3CDTF">2026-06-11T09:31:36Z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FFB3C053B8AB4B95A99A72B9764E930E_13</vt:lpwstr>
  </property>
  <property fmtid="{D5CDD505-2E9C-101B-9397-08002B2CF9AE}" pid="4" name="CalculationRule">
    <vt:i4>0</vt:i4>
  </property>
</Properties>
</file>