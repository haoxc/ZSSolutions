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F:\报价\王鹏飞\"/>
    </mc:Choice>
  </mc:AlternateContent>
  <xr:revisionPtr revIDLastSave="0" documentId="13_ncr:1_{CD452D52-66D1-4951-8034-E029CFD8E25B}" xr6:coauthVersionLast="47" xr6:coauthVersionMax="47" xr10:uidLastSave="{00000000-0000-0000-0000-000000000000}"/>
  <bookViews>
    <workbookView xWindow="-108" yWindow="-108" windowWidth="23256" windowHeight="12456" tabRatio="686" xr2:uid="{00000000-000D-0000-FFFF-FFFF00000000}"/>
  </bookViews>
  <sheets>
    <sheet name="数字孪生平台开发版报价单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G19" i="1"/>
  <c r="G18" i="1"/>
  <c r="G17" i="1"/>
  <c r="G21" i="1" s="1"/>
  <c r="G22" i="1" s="1"/>
  <c r="G24" i="1" s="1"/>
  <c r="G16" i="1"/>
  <c r="G14" i="1"/>
  <c r="G13" i="1"/>
  <c r="G12" i="1"/>
  <c r="G11" i="1"/>
  <c r="G10" i="1"/>
  <c r="G7" i="1"/>
  <c r="G6" i="1"/>
  <c r="G5" i="1"/>
</calcChain>
</file>

<file path=xl/sharedStrings.xml><?xml version="1.0" encoding="utf-8"?>
<sst xmlns="http://schemas.openxmlformats.org/spreadsheetml/2006/main" count="40" uniqueCount="40">
  <si>
    <t>高低轨混合星座仿真数字孪生平台报价单</t>
  </si>
  <si>
    <t>序号</t>
  </si>
  <si>
    <t>产品模块</t>
  </si>
  <si>
    <t>详细说明</t>
  </si>
  <si>
    <t>数量</t>
  </si>
  <si>
    <t>单价</t>
  </si>
  <si>
    <t>总价</t>
  </si>
  <si>
    <t>产品</t>
  </si>
  <si>
    <t>数字孪生平台基础功能授权</t>
  </si>
  <si>
    <t>含数字孪生平台基础引擎、场景构建、模型管理、交互操作、漫游控制等三维功能。</t>
  </si>
  <si>
    <t>数字孪生平台集成接口服务</t>
  </si>
  <si>
    <t>集成中台数据的接口服务，与三维场景通过标准接口进行数据通讯。</t>
  </si>
  <si>
    <t>产品合计</t>
  </si>
  <si>
    <t>服务</t>
  </si>
  <si>
    <t>三维建模服务</t>
  </si>
  <si>
    <t>三维城市定制</t>
  </si>
  <si>
    <t>以主楼为中心，模拟周围的地理信息，包括主要的交通路网、河流、湖泊、植物、景观等。</t>
  </si>
  <si>
    <t>园区环境定制</t>
  </si>
  <si>
    <t>按需定制园区三维模型。利用图纸与照片数据，精准还原主区域地形、建筑及周边道路绿化等关键场景</t>
  </si>
  <si>
    <t>重点建筑定制</t>
  </si>
  <si>
    <t>提供建筑外立面高精度三维建模服务。依据图纸与影像，精细化还原主楼规则建筑结构</t>
  </si>
  <si>
    <t>室内结构定制</t>
  </si>
  <si>
    <t>提供建筑室内空间高精度三维建模服务。基于CAD图纸与现场照片，1：1数字化复刻楼层、房间布局，为空间管理、规划与分析提供精准三维底图。</t>
  </si>
  <si>
    <t>设备模型定制</t>
  </si>
  <si>
    <t>提供专业的设备三维建模服务，依据图纸与照片进行高精度还原，基于图纸/照片的设备三维建模定制。服务按模型类型计费，精准还原设备外观与结构。</t>
  </si>
  <si>
    <t>项目开发服务</t>
  </si>
  <si>
    <t>场景点位摆放</t>
  </si>
  <si>
    <t>根据图纸与照片，在三维场景中手工精确定位对象点位，并挂接相关业务数据，费用按实际标注的点位总数计算。</t>
  </si>
  <si>
    <t>功能场景开发</t>
  </si>
  <si>
    <t>数据对接开发</t>
  </si>
  <si>
    <t>对接客户中台数据，数据协议转换</t>
  </si>
  <si>
    <t>项目部署培训服务</t>
  </si>
  <si>
    <t>项目管理、部署实施、功能调试和用户培训等服务</t>
  </si>
  <si>
    <t>售后技术支持服务</t>
  </si>
  <si>
    <t>5*9远程支持、bug修复、软件补丁升级等，售后服务和技术支持。</t>
  </si>
  <si>
    <t>服务合计</t>
  </si>
  <si>
    <t>总计</t>
  </si>
  <si>
    <t>税率</t>
  </si>
  <si>
    <t>报价</t>
  </si>
  <si>
    <r>
      <t xml:space="preserve">1、场景规划设计与数据指标规划
2、UI界面设计与数据图表设计
3、功能场景描述参考：
</t>
    </r>
    <r>
      <rPr>
        <b/>
        <sz val="10"/>
        <color theme="1"/>
        <rFont val="微软雅黑"/>
        <family val="2"/>
        <charset val="134"/>
      </rPr>
      <t>(1)场站设备资产三维可视化管理：
1）</t>
    </r>
    <r>
      <rPr>
        <sz val="10"/>
        <color theme="1"/>
        <rFont val="微软雅黑"/>
        <family val="2"/>
        <charset val="134"/>
      </rPr>
      <t xml:space="preserve">三维地球基础场景
</t>
    </r>
    <r>
      <rPr>
        <b/>
        <sz val="10"/>
        <color theme="1"/>
        <rFont val="微软雅黑"/>
        <family val="2"/>
        <charset val="134"/>
      </rPr>
      <t>2）卫星三维可视化</t>
    </r>
    <r>
      <rPr>
        <sz val="10"/>
        <color theme="1"/>
        <rFont val="微软雅黑"/>
        <family val="2"/>
        <charset val="134"/>
      </rPr>
      <t xml:space="preserve">（● GEO 卫星（3 颗）：
○ 以简化卫星模型（GLTF 格式，文件大小不超过 500 KB）渲染，模型朝向随轨道姿态
更新。
○ 显示卫星标签（卫星编号/名称），标签随视角距离自动缩放，在全局视角下仍清晰可
见。
○ 以金色虚线渲染地球静止轨道圆弧（可切换显示/隐藏）。
● LEO 星座（200～300 颗）：
○ 以点状图元（Point Primitive）渲染，颜色区分任务状态（执行观测任务为亮蓝色，未
执行为灰色）。
○ 支持单颗卫星悬停（鼠标 Hover）弹出信息气泡（显示卫星 ID、轨道参数、当前任务
状态）。
○ 支持以轨道平面为单位批量开关卫星及其轨迹的显示（减少渲染压力）。
○ LEO 卫星轨迹以细线渲染，线段颜色区分 GEO/LEO，轨迹长度可配置（默认显示 1
个轨道周期）。
○ 当前执行观测任务的 LEO 卫星可切换至模型渲染（GLTF，文件大小不超过 200 KB/
颗），全局视角下自动切换为点状渲染。），飞行器三维可视化（模型朝向与速度矢量实
时对齐，历史航迹，预测航迹，飞行器状态信息浮标）
</t>
    </r>
    <r>
      <rPr>
        <b/>
        <sz val="10"/>
        <color theme="1"/>
        <rFont val="微软雅黑"/>
        <family val="2"/>
        <charset val="134"/>
      </rPr>
      <t>3）时间轴控制</t>
    </r>
    <r>
      <rPr>
        <sz val="10"/>
        <color theme="1"/>
        <rFont val="微软雅黑"/>
        <family val="2"/>
        <charset val="134"/>
      </rPr>
      <t>（提供推演控制面板，包含：播放（</t>
    </r>
    <r>
      <rPr>
        <sz val="10"/>
        <color theme="1"/>
        <rFont val="Segoe UI Symbol"/>
        <family val="1"/>
      </rPr>
      <t>▶</t>
    </r>
    <r>
      <rPr>
        <sz val="10"/>
        <color theme="1"/>
        <rFont val="微软雅黑"/>
        <family val="2"/>
        <charset val="134"/>
      </rPr>
      <t>）、暂停（</t>
    </r>
    <r>
      <rPr>
        <sz val="10"/>
        <color theme="1"/>
        <rFont val="Segoe UI Symbol"/>
        <family val="2"/>
      </rPr>
      <t>⏸</t>
    </r>
    <r>
      <rPr>
        <sz val="10"/>
        <color theme="1"/>
        <rFont val="微软雅黑"/>
        <family val="2"/>
        <charset val="134"/>
      </rPr>
      <t xml:space="preserve">）、快进（×2/×5/×10/×50 倍速）、慢放
（×0.5）、回退（跳转至任意历史时刻）功能按钮。
● 时间轴进度条：支持拖拽跳转至任意时刻，显示仿真当前时间（UTC 格式）与总进度百分
比。
● 关键事件标记：在时间轴上以彩色竖线标注关键事件（GEO 发现目标：金色；LEO 接替跟
踪：蓝色；跟踪中断：红色；任务交接：绿色）。
● 时间轴底部显示按时隙划分的跟踪效果热力条（绿色=连续跟踪，红色=跟踪中断，黄色=部
分覆盖）。）
</t>
    </r>
    <r>
      <rPr>
        <b/>
        <sz val="10"/>
        <color theme="1"/>
        <rFont val="微软雅黑"/>
        <family val="2"/>
        <charset val="134"/>
      </rPr>
      <t>4）载荷视场与覆盖区域渲染</t>
    </r>
    <r>
      <rPr>
        <sz val="10"/>
        <color theme="1"/>
        <rFont val="微软雅黑"/>
        <family val="2"/>
        <charset val="134"/>
      </rPr>
      <t xml:space="preserve">（为每颗执行观测任务的卫星渲染视场锥体（从卫星到目标网格中心的圆锥体），锥体颜色
与观测链路颜色统一，透明度 50%。
● 当前时隙各卫星观测的目标 HEX-GRID：以实线六边形框+半透明填充渲染（颜色区分不同
卫星）。
</t>
    </r>
    <r>
      <rPr>
        <b/>
        <sz val="10"/>
        <color theme="1"/>
        <rFont val="微软雅黑"/>
        <family val="2"/>
        <charset val="134"/>
      </rPr>
      <t xml:space="preserve">5）GEO 卫星覆盖范围显示
</t>
    </r>
    <r>
      <rPr>
        <sz val="10"/>
        <color theme="1"/>
        <rFont val="微软雅黑"/>
        <family val="2"/>
        <charset val="134"/>
      </rPr>
      <t xml:space="preserve">● 在 60km 球面上渲染每颗 GEO 卫星的全球覆盖范围边界（大圆弧线），以金色半透明覆盖
区域填充。
● GEO 卫星发现目标事件发生时，在场景中触发高亮闪烁动画（持续 3 秒），同时弹出事件
注释浮标（注明发现时间、目标坐标）。
</t>
    </r>
    <r>
      <rPr>
        <b/>
        <sz val="10"/>
        <color theme="1"/>
        <rFont val="微软雅黑"/>
        <family val="2"/>
        <charset val="134"/>
      </rPr>
      <t xml:space="preserve">6）多视角切换
</t>
    </r>
    <r>
      <rPr>
        <sz val="10"/>
        <color theme="1"/>
        <rFont val="微软雅黑"/>
        <family val="2"/>
        <charset val="134"/>
      </rPr>
      <t xml:space="preserve">全局视角，卫星跟随视角，目标跟随视角，地面站视角，（视角切换应实现平滑过渡动画（过渡时间 1.0～1.5 秒）。）
</t>
    </r>
    <r>
      <rPr>
        <b/>
        <sz val="10"/>
        <color theme="1"/>
        <rFont val="微软雅黑"/>
        <family val="2"/>
        <charset val="134"/>
      </rPr>
      <t xml:space="preserve">7）空间量测工具
</t>
    </r>
    <r>
      <rPr>
        <sz val="10"/>
        <color theme="1"/>
        <rFont val="微软雅黑"/>
        <family val="2"/>
        <charset val="134"/>
      </rPr>
      <t>点坐标查询：鼠标单击三维场景中任意位置，弹出坐标信息（经度、纬度、高度）。
● 两点距离量测：工具模式下依次点击两点，显示两点间球面弧长（公里）。
● 网格面积显示：悬停任意 HEX-GRID 单元时，信息气泡显示该单元的球面面积（平方公
里）</t>
    </r>
    <r>
      <rPr>
        <b/>
        <sz val="10"/>
        <color theme="1"/>
        <rFont val="微软雅黑"/>
        <family val="2"/>
        <charset val="134"/>
      </rPr>
      <t xml:space="preserve">。
8）关键事件标注与态势回放
</t>
    </r>
    <r>
      <rPr>
        <sz val="10"/>
        <color theme="1"/>
        <rFont val="微软雅黑"/>
        <family val="2"/>
        <charset val="134"/>
      </rPr>
      <t xml:space="preserve">● 系统自动记录以下关键事件：GEO 卫星首次发现目标、LEO 星座接管跟踪（任务交接）、
跟踪中断（持续时间≥1 时隙）、跟踪恢复、仿真结束（跟踪统计汇总）。
● 所有关键事件以时间戳记录，在时间轴标记处可单击查看事件详情（弹窗显示事件类型、
发生时刻、相关卫星/目标信息）。
● 支持全流程仿真态势回放：仿真结束后可从任意关键事件时刻重新开始回放，回放速率可
调。
● 关键事件列表面板：在界面侧边栏以时间顺序列出所有关键事件，点击可定位至对应时刻
并高亮相关实体。
</t>
    </r>
    <r>
      <rPr>
        <b/>
        <sz val="10"/>
        <color theme="1"/>
        <rFont val="微软雅黑"/>
        <family val="2"/>
        <charset val="134"/>
      </rPr>
      <t xml:space="preserve">9）数据导出功能
</t>
    </r>
    <r>
      <rPr>
        <sz val="10"/>
        <color theme="1"/>
        <rFont val="微软雅黑"/>
        <family val="2"/>
        <charset val="134"/>
      </rPr>
      <t>● 支持导出仿真结果数据为 JSON 格式，包含：目标完整历史航迹（经纬高坐标序列）、各
时隙卫星观测调度方案、关键事件列表、连续跟踪统计数据。
● 支持导出 Cesium CZML 格式文件，可在标准 Cesium 沙箱中独立加载回放全部仿真场景
（含卫星、目标、网格、视场锥体等元素）。
● 支持对当前三维场景进行截图导出（PNG 格式，分辨率不低于当前屏幕分辨率）。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</si>
</sst>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8" formatCode="0&quot;个&quot;"/>
    <numFmt numFmtId="179" formatCode="\¥#,##0;\¥\-#,##0"/>
    <numFmt numFmtId="180" formatCode="0&quot;平方公里&quot;"/>
    <numFmt numFmtId="181" formatCode="0&quot;个园区&quot;"/>
    <numFmt numFmtId="182" formatCode="0&quot;栋建筑&quot;"/>
    <numFmt numFmtId="183" formatCode="0&quot;层&quot;"/>
    <numFmt numFmtId="184" formatCode="0&quot;类设备&quot;"/>
    <numFmt numFmtId="185" formatCode="0&quot;个主题场景&quot;"/>
    <numFmt numFmtId="186" formatCode="0&quot;个&quot;&quot;接&quot;&quot;口&quot;"/>
    <numFmt numFmtId="187" formatCode="0&quot;年&quot;"/>
    <numFmt numFmtId="188" formatCode="&quot;￥&quot;#,##0;[Red]&quot;￥&quot;#,##0"/>
  </numFmts>
  <fonts count="19" x14ac:knownFonts="1">
    <font>
      <sz val="11"/>
      <color theme="1"/>
      <name val="等线"/>
      <charset val="134"/>
      <scheme val="minor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3"/>
      <name val="微软雅黑"/>
      <family val="2"/>
      <charset val="134"/>
    </font>
    <font>
      <b/>
      <sz val="16"/>
      <color theme="4" tint="-0.499984740745262"/>
      <name val="微软雅黑"/>
      <family val="2"/>
      <charset val="134"/>
    </font>
    <font>
      <b/>
      <sz val="12"/>
      <name val="微软雅黑"/>
      <family val="2"/>
      <charset val="134"/>
    </font>
    <font>
      <b/>
      <sz val="10"/>
      <color indexed="10"/>
      <name val="微软雅黑"/>
      <family val="2"/>
      <charset val="134"/>
    </font>
    <font>
      <b/>
      <sz val="9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2"/>
      <name val="宋体"/>
      <family val="3"/>
      <charset val="134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Segoe UI Symbol"/>
      <family val="2"/>
    </font>
    <font>
      <sz val="10"/>
      <color theme="1"/>
      <name val="Segoe UI Symbol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/>
    <xf numFmtId="0" fontId="15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</cellStyleXfs>
  <cellXfs count="86">
    <xf numFmtId="0" fontId="0" fillId="0" borderId="0" xfId="0"/>
    <xf numFmtId="0" fontId="1" fillId="0" borderId="0" xfId="3" applyFont="1">
      <alignment vertical="center"/>
    </xf>
    <xf numFmtId="0" fontId="2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6" xfId="3" applyFont="1" applyBorder="1">
      <alignment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" fillId="3" borderId="1" xfId="3" applyFont="1" applyFill="1" applyBorder="1" applyAlignment="1">
      <alignment vertical="center" wrapText="1"/>
    </xf>
    <xf numFmtId="178" fontId="6" fillId="0" borderId="1" xfId="3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9" fontId="8" fillId="0" borderId="11" xfId="0" applyNumberFormat="1" applyFont="1" applyBorder="1" applyAlignment="1">
      <alignment horizontal="center" vertical="center"/>
    </xf>
    <xf numFmtId="0" fontId="2" fillId="2" borderId="14" xfId="3" applyFont="1" applyFill="1" applyBorder="1">
      <alignment vertical="center"/>
    </xf>
    <xf numFmtId="179" fontId="2" fillId="2" borderId="15" xfId="3" applyNumberFormat="1" applyFont="1" applyFill="1" applyBorder="1">
      <alignment vertical="center"/>
    </xf>
    <xf numFmtId="0" fontId="1" fillId="0" borderId="19" xfId="3" applyFont="1" applyBorder="1">
      <alignment vertical="center"/>
    </xf>
    <xf numFmtId="0" fontId="2" fillId="3" borderId="21" xfId="3" applyFont="1" applyFill="1" applyBorder="1" applyAlignment="1">
      <alignment horizontal="center" vertical="center"/>
    </xf>
    <xf numFmtId="0" fontId="9" fillId="0" borderId="3" xfId="3" applyFont="1" applyBorder="1" applyAlignment="1">
      <alignment horizontal="left" vertical="center" wrapText="1"/>
    </xf>
    <xf numFmtId="0" fontId="2" fillId="0" borderId="22" xfId="3" applyFont="1" applyBorder="1" applyAlignment="1">
      <alignment vertical="center" wrapText="1"/>
    </xf>
    <xf numFmtId="180" fontId="10" fillId="3" borderId="22" xfId="2" applyNumberFormat="1" applyFont="1" applyFill="1" applyBorder="1" applyAlignment="1">
      <alignment horizontal="center" vertical="center"/>
    </xf>
    <xf numFmtId="179" fontId="2" fillId="0" borderId="22" xfId="0" applyNumberFormat="1" applyFont="1" applyBorder="1" applyAlignment="1">
      <alignment horizontal="center" vertical="center"/>
    </xf>
    <xf numFmtId="179" fontId="8" fillId="0" borderId="23" xfId="0" applyNumberFormat="1" applyFont="1" applyBorder="1" applyAlignment="1">
      <alignment horizontal="center" vertical="center"/>
    </xf>
    <xf numFmtId="0" fontId="9" fillId="3" borderId="1" xfId="3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81" fontId="6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179" fontId="8" fillId="3" borderId="11" xfId="0" applyNumberFormat="1" applyFont="1" applyFill="1" applyBorder="1" applyAlignment="1">
      <alignment horizontal="center" vertical="center"/>
    </xf>
    <xf numFmtId="182" fontId="6" fillId="3" borderId="1" xfId="0" applyNumberFormat="1" applyFont="1" applyFill="1" applyBorder="1" applyAlignment="1">
      <alignment horizontal="center" vertical="center"/>
    </xf>
    <xf numFmtId="183" fontId="6" fillId="3" borderId="1" xfId="0" applyNumberFormat="1" applyFont="1" applyFill="1" applyBorder="1" applyAlignment="1">
      <alignment horizontal="center" vertical="center"/>
    </xf>
    <xf numFmtId="0" fontId="9" fillId="3" borderId="2" xfId="3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184" fontId="6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9" fontId="8" fillId="3" borderId="24" xfId="0" applyNumberFormat="1" applyFont="1" applyFill="1" applyBorder="1" applyAlignment="1">
      <alignment horizontal="center" vertical="center"/>
    </xf>
    <xf numFmtId="0" fontId="2" fillId="0" borderId="21" xfId="3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178" fontId="10" fillId="0" borderId="22" xfId="0" applyNumberFormat="1" applyFont="1" applyBorder="1" applyAlignment="1">
      <alignment horizontal="center" vertical="center"/>
    </xf>
    <xf numFmtId="179" fontId="8" fillId="0" borderId="25" xfId="0" applyNumberFormat="1" applyFont="1" applyBorder="1" applyAlignment="1">
      <alignment horizontal="center" vertical="center"/>
    </xf>
    <xf numFmtId="0" fontId="2" fillId="0" borderId="1" xfId="3" applyFont="1" applyBorder="1" applyAlignment="1">
      <alignment vertical="center" wrapText="1"/>
    </xf>
    <xf numFmtId="0" fontId="10" fillId="0" borderId="1" xfId="3" applyFont="1" applyBorder="1" applyAlignment="1">
      <alignment vertical="center" wrapText="1"/>
    </xf>
    <xf numFmtId="185" fontId="6" fillId="0" borderId="1" xfId="3" applyNumberFormat="1" applyFont="1" applyBorder="1" applyAlignment="1">
      <alignment horizontal="center" vertical="center"/>
    </xf>
    <xf numFmtId="179" fontId="2" fillId="0" borderId="1" xfId="3" applyNumberFormat="1" applyFont="1" applyBorder="1" applyAlignment="1">
      <alignment horizontal="center" vertical="center"/>
    </xf>
    <xf numFmtId="179" fontId="8" fillId="0" borderId="26" xfId="0" applyNumberFormat="1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86" fontId="10" fillId="3" borderId="1" xfId="0" applyNumberFormat="1" applyFont="1" applyFill="1" applyBorder="1" applyAlignment="1">
      <alignment horizontal="center" vertical="center"/>
    </xf>
    <xf numFmtId="179" fontId="2" fillId="0" borderId="1" xfId="1" applyNumberFormat="1" applyFont="1" applyBorder="1" applyAlignment="1">
      <alignment horizontal="center" vertical="center"/>
    </xf>
    <xf numFmtId="178" fontId="10" fillId="3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27" xfId="3" applyFont="1" applyBorder="1" applyAlignment="1">
      <alignment horizontal="center" vertical="center"/>
    </xf>
    <xf numFmtId="0" fontId="9" fillId="0" borderId="2" xfId="3" applyFont="1" applyBorder="1" applyAlignment="1">
      <alignment horizontal="left" vertical="center" wrapText="1"/>
    </xf>
    <xf numFmtId="0" fontId="2" fillId="0" borderId="2" xfId="3" applyFont="1" applyBorder="1" applyAlignment="1">
      <alignment vertical="center" wrapText="1"/>
    </xf>
    <xf numFmtId="187" fontId="10" fillId="0" borderId="2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8" fillId="0" borderId="28" xfId="0" applyNumberFormat="1" applyFont="1" applyBorder="1" applyAlignment="1">
      <alignment horizontal="center" vertical="center"/>
    </xf>
    <xf numFmtId="0" fontId="2" fillId="2" borderId="31" xfId="3" applyFont="1" applyFill="1" applyBorder="1">
      <alignment vertical="center"/>
    </xf>
    <xf numFmtId="179" fontId="2" fillId="2" borderId="32" xfId="3" applyNumberFormat="1" applyFont="1" applyFill="1" applyBorder="1">
      <alignment vertical="center"/>
    </xf>
    <xf numFmtId="179" fontId="12" fillId="4" borderId="35" xfId="1" applyNumberFormat="1" applyFont="1" applyFill="1" applyBorder="1">
      <alignment vertical="center"/>
    </xf>
    <xf numFmtId="9" fontId="12" fillId="4" borderId="39" xfId="3" applyNumberFormat="1" applyFont="1" applyFill="1" applyBorder="1" applyAlignment="1">
      <alignment horizontal="center" vertical="center"/>
    </xf>
    <xf numFmtId="188" fontId="12" fillId="4" borderId="41" xfId="3" applyNumberFormat="1" applyFont="1" applyFill="1" applyBorder="1" applyAlignment="1">
      <alignment horizontal="center" vertical="center"/>
    </xf>
    <xf numFmtId="0" fontId="1" fillId="0" borderId="34" xfId="3" applyFont="1" applyBorder="1">
      <alignment vertical="center"/>
    </xf>
    <xf numFmtId="0" fontId="3" fillId="0" borderId="0" xfId="3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3" borderId="10" xfId="3" applyFont="1" applyFill="1" applyBorder="1" applyAlignment="1">
      <alignment horizontal="left" vertical="center"/>
    </xf>
    <xf numFmtId="0" fontId="5" fillId="3" borderId="1" xfId="3" applyFont="1" applyFill="1" applyBorder="1" applyAlignment="1">
      <alignment horizontal="left" vertical="center"/>
    </xf>
    <xf numFmtId="0" fontId="5" fillId="3" borderId="11" xfId="3" applyFont="1" applyFill="1" applyBorder="1" applyAlignment="1">
      <alignment horizontal="left" vertical="center"/>
    </xf>
    <xf numFmtId="0" fontId="2" fillId="2" borderId="12" xfId="3" applyFont="1" applyFill="1" applyBorder="1" applyAlignment="1">
      <alignment horizontal="center" vertical="center"/>
    </xf>
    <xf numFmtId="0" fontId="2" fillId="2" borderId="13" xfId="3" applyFont="1" applyFill="1" applyBorder="1" applyAlignment="1">
      <alignment horizontal="center" vertical="center"/>
    </xf>
    <xf numFmtId="0" fontId="5" fillId="0" borderId="16" xfId="3" applyFont="1" applyBorder="1" applyAlignment="1">
      <alignment horizontal="left" vertical="center"/>
    </xf>
    <xf numFmtId="0" fontId="5" fillId="0" borderId="17" xfId="3" applyFont="1" applyBorder="1" applyAlignment="1">
      <alignment horizontal="left" vertical="center"/>
    </xf>
    <xf numFmtId="0" fontId="5" fillId="0" borderId="18" xfId="3" applyFont="1" applyBorder="1" applyAlignment="1">
      <alignment horizontal="left" vertical="center"/>
    </xf>
    <xf numFmtId="0" fontId="5" fillId="0" borderId="20" xfId="3" applyFont="1" applyBorder="1" applyAlignment="1">
      <alignment horizontal="center" vertical="center"/>
    </xf>
    <xf numFmtId="0" fontId="11" fillId="3" borderId="20" xfId="3" applyFont="1" applyFill="1" applyBorder="1" applyAlignment="1">
      <alignment horizontal="center" vertical="center"/>
    </xf>
    <xf numFmtId="0" fontId="11" fillId="2" borderId="29" xfId="3" applyFont="1" applyFill="1" applyBorder="1" applyAlignment="1">
      <alignment horizontal="center" vertical="center"/>
    </xf>
    <xf numFmtId="0" fontId="11" fillId="2" borderId="30" xfId="3" applyFont="1" applyFill="1" applyBorder="1" applyAlignment="1">
      <alignment horizontal="center" vertical="center"/>
    </xf>
    <xf numFmtId="0" fontId="12" fillId="4" borderId="33" xfId="1" applyFont="1" applyFill="1" applyBorder="1" applyAlignment="1">
      <alignment horizontal="right" vertical="center"/>
    </xf>
    <xf numFmtId="0" fontId="12" fillId="4" borderId="34" xfId="1" applyFont="1" applyFill="1" applyBorder="1" applyAlignment="1">
      <alignment horizontal="right" vertical="center"/>
    </xf>
    <xf numFmtId="0" fontId="12" fillId="4" borderId="36" xfId="1" applyFont="1" applyFill="1" applyBorder="1" applyAlignment="1">
      <alignment horizontal="right" vertical="center"/>
    </xf>
    <xf numFmtId="0" fontId="12" fillId="4" borderId="37" xfId="1" applyFont="1" applyFill="1" applyBorder="1" applyAlignment="1">
      <alignment horizontal="right" vertical="center"/>
    </xf>
    <xf numFmtId="0" fontId="12" fillId="4" borderId="38" xfId="1" applyFont="1" applyFill="1" applyBorder="1" applyAlignment="1">
      <alignment horizontal="right" vertical="center"/>
    </xf>
    <xf numFmtId="0" fontId="12" fillId="4" borderId="12" xfId="1" applyFont="1" applyFill="1" applyBorder="1" applyAlignment="1">
      <alignment horizontal="right" vertical="center"/>
    </xf>
    <xf numFmtId="0" fontId="12" fillId="4" borderId="40" xfId="1" applyFont="1" applyFill="1" applyBorder="1" applyAlignment="1">
      <alignment horizontal="right" vertical="center"/>
    </xf>
    <xf numFmtId="0" fontId="12" fillId="4" borderId="13" xfId="1" applyFont="1" applyFill="1" applyBorder="1" applyAlignment="1">
      <alignment horizontal="right" vertical="center"/>
    </xf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5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6" zoomScale="70" zoomScaleNormal="70" workbookViewId="0">
      <selection activeCell="D17" sqref="D17"/>
    </sheetView>
  </sheetViews>
  <sheetFormatPr defaultColWidth="9" defaultRowHeight="15.6" x14ac:dyDescent="0.25"/>
  <cols>
    <col min="1" max="1" width="4.6640625" style="1" customWidth="1"/>
    <col min="2" max="2" width="9.21875" style="2" customWidth="1"/>
    <col min="3" max="3" width="22" style="3" customWidth="1"/>
    <col min="4" max="4" width="76.21875" style="1" customWidth="1"/>
    <col min="5" max="5" width="14" style="3" customWidth="1"/>
    <col min="6" max="6" width="12.88671875" style="3" customWidth="1"/>
    <col min="7" max="7" width="14.33203125" style="3" customWidth="1"/>
    <col min="8" max="16384" width="9" style="1"/>
  </cols>
  <sheetData>
    <row r="1" spans="1:8" x14ac:dyDescent="0.25">
      <c r="C1" s="63"/>
      <c r="D1" s="63"/>
      <c r="E1" s="63"/>
      <c r="F1" s="63"/>
      <c r="G1" s="63"/>
    </row>
    <row r="2" spans="1:8" ht="23.4" x14ac:dyDescent="0.25">
      <c r="B2" s="64" t="s">
        <v>0</v>
      </c>
      <c r="C2" s="65"/>
      <c r="D2" s="65"/>
      <c r="E2" s="65"/>
      <c r="F2" s="65"/>
      <c r="G2" s="65"/>
      <c r="H2" s="4"/>
    </row>
    <row r="3" spans="1:8" ht="17.399999999999999" x14ac:dyDescent="0.25">
      <c r="B3" s="5" t="s">
        <v>1</v>
      </c>
      <c r="C3" s="6" t="s">
        <v>2</v>
      </c>
      <c r="D3" s="6" t="s">
        <v>3</v>
      </c>
      <c r="E3" s="6" t="s">
        <v>4</v>
      </c>
      <c r="F3" s="7" t="s">
        <v>5</v>
      </c>
      <c r="G3" s="8" t="s">
        <v>6</v>
      </c>
    </row>
    <row r="4" spans="1:8" ht="17.399999999999999" x14ac:dyDescent="0.25">
      <c r="B4" s="66" t="s">
        <v>7</v>
      </c>
      <c r="C4" s="67"/>
      <c r="D4" s="67"/>
      <c r="E4" s="67"/>
      <c r="F4" s="67"/>
      <c r="G4" s="68"/>
      <c r="H4" s="4"/>
    </row>
    <row r="5" spans="1:8" ht="31.2" x14ac:dyDescent="0.25">
      <c r="B5" s="9">
        <v>1</v>
      </c>
      <c r="C5" s="10" t="s">
        <v>8</v>
      </c>
      <c r="D5" s="10" t="s">
        <v>9</v>
      </c>
      <c r="E5" s="11">
        <v>1</v>
      </c>
      <c r="F5" s="12">
        <v>50000</v>
      </c>
      <c r="G5" s="13">
        <f t="shared" ref="G5:G6" si="0">F5*E5</f>
        <v>50000</v>
      </c>
      <c r="H5" s="4"/>
    </row>
    <row r="6" spans="1:8" ht="18" customHeight="1" x14ac:dyDescent="0.25">
      <c r="B6" s="9">
        <v>2</v>
      </c>
      <c r="C6" s="10" t="s">
        <v>10</v>
      </c>
      <c r="D6" s="10" t="s">
        <v>11</v>
      </c>
      <c r="E6" s="11">
        <v>1</v>
      </c>
      <c r="F6" s="12">
        <v>10000</v>
      </c>
      <c r="G6" s="13">
        <f t="shared" si="0"/>
        <v>10000</v>
      </c>
      <c r="H6" s="4"/>
    </row>
    <row r="7" spans="1:8" x14ac:dyDescent="0.25">
      <c r="B7" s="69" t="s">
        <v>12</v>
      </c>
      <c r="C7" s="70"/>
      <c r="D7" s="14"/>
      <c r="E7" s="14"/>
      <c r="F7" s="14"/>
      <c r="G7" s="15">
        <f>G5+G6</f>
        <v>60000</v>
      </c>
      <c r="H7" s="4"/>
    </row>
    <row r="8" spans="1:8" ht="17.399999999999999" x14ac:dyDescent="0.25">
      <c r="B8" s="71" t="s">
        <v>13</v>
      </c>
      <c r="C8" s="72"/>
      <c r="D8" s="72"/>
      <c r="E8" s="72"/>
      <c r="F8" s="72"/>
      <c r="G8" s="73"/>
      <c r="H8" s="4"/>
    </row>
    <row r="9" spans="1:8" ht="17.399999999999999" x14ac:dyDescent="0.25">
      <c r="A9" s="16"/>
      <c r="B9" s="74" t="s">
        <v>14</v>
      </c>
      <c r="C9" s="74"/>
      <c r="D9" s="74"/>
      <c r="E9" s="74"/>
      <c r="F9" s="74"/>
      <c r="G9" s="74"/>
      <c r="H9" s="4"/>
    </row>
    <row r="10" spans="1:8" ht="31.2" x14ac:dyDescent="0.25">
      <c r="B10" s="17">
        <v>1</v>
      </c>
      <c r="C10" s="18" t="s">
        <v>15</v>
      </c>
      <c r="D10" s="19" t="s">
        <v>16</v>
      </c>
      <c r="E10" s="20">
        <v>0</v>
      </c>
      <c r="F10" s="21">
        <v>15000</v>
      </c>
      <c r="G10" s="22">
        <f t="shared" ref="G10" si="1">F10*E10</f>
        <v>0</v>
      </c>
      <c r="H10" s="4"/>
    </row>
    <row r="11" spans="1:8" ht="31.2" x14ac:dyDescent="0.25">
      <c r="B11" s="17">
        <v>2</v>
      </c>
      <c r="C11" s="23" t="s">
        <v>17</v>
      </c>
      <c r="D11" s="24" t="s">
        <v>18</v>
      </c>
      <c r="E11" s="25">
        <v>1</v>
      </c>
      <c r="F11" s="26">
        <v>14000</v>
      </c>
      <c r="G11" s="27">
        <f t="shared" ref="G11:G19" si="2">F11*E11</f>
        <v>14000</v>
      </c>
      <c r="H11" s="4"/>
    </row>
    <row r="12" spans="1:8" x14ac:dyDescent="0.25">
      <c r="B12" s="17">
        <v>3</v>
      </c>
      <c r="C12" s="23" t="s">
        <v>19</v>
      </c>
      <c r="D12" s="24" t="s">
        <v>20</v>
      </c>
      <c r="E12" s="28">
        <v>0</v>
      </c>
      <c r="F12" s="26">
        <v>8000</v>
      </c>
      <c r="G12" s="27">
        <f t="shared" si="2"/>
        <v>0</v>
      </c>
      <c r="H12" s="4"/>
    </row>
    <row r="13" spans="1:8" ht="31.2" x14ac:dyDescent="0.25">
      <c r="B13" s="17">
        <v>4</v>
      </c>
      <c r="C13" s="23" t="s">
        <v>21</v>
      </c>
      <c r="D13" s="24" t="s">
        <v>22</v>
      </c>
      <c r="E13" s="29">
        <v>0</v>
      </c>
      <c r="F13" s="26">
        <v>3000</v>
      </c>
      <c r="G13" s="27">
        <f t="shared" si="2"/>
        <v>0</v>
      </c>
      <c r="H13" s="4"/>
    </row>
    <row r="14" spans="1:8" ht="31.2" x14ac:dyDescent="0.25">
      <c r="B14" s="17">
        <v>5</v>
      </c>
      <c r="C14" s="30" t="s">
        <v>23</v>
      </c>
      <c r="D14" s="31" t="s">
        <v>24</v>
      </c>
      <c r="E14" s="32">
        <v>5</v>
      </c>
      <c r="F14" s="33">
        <v>3000</v>
      </c>
      <c r="G14" s="34">
        <f t="shared" si="2"/>
        <v>15000</v>
      </c>
      <c r="H14" s="4"/>
    </row>
    <row r="15" spans="1:8" ht="16.2" x14ac:dyDescent="0.25">
      <c r="A15" s="16"/>
      <c r="B15" s="75" t="s">
        <v>25</v>
      </c>
      <c r="C15" s="75"/>
      <c r="D15" s="75"/>
      <c r="E15" s="75"/>
      <c r="F15" s="75"/>
      <c r="G15" s="75"/>
      <c r="H15" s="4"/>
    </row>
    <row r="16" spans="1:8" ht="31.2" x14ac:dyDescent="0.25">
      <c r="B16" s="35">
        <v>1</v>
      </c>
      <c r="C16" s="36" t="s">
        <v>26</v>
      </c>
      <c r="D16" s="37" t="s">
        <v>27</v>
      </c>
      <c r="E16" s="38">
        <v>400</v>
      </c>
      <c r="F16" s="21">
        <v>10</v>
      </c>
      <c r="G16" s="39">
        <f t="shared" si="2"/>
        <v>4000</v>
      </c>
    </row>
    <row r="17" spans="2:9" ht="409.2" customHeight="1" x14ac:dyDescent="0.25">
      <c r="B17" s="9">
        <v>2</v>
      </c>
      <c r="C17" s="40" t="s">
        <v>28</v>
      </c>
      <c r="D17" s="41" t="s">
        <v>39</v>
      </c>
      <c r="E17" s="42">
        <v>9</v>
      </c>
      <c r="F17" s="43">
        <v>25000</v>
      </c>
      <c r="G17" s="44">
        <f t="shared" si="2"/>
        <v>225000</v>
      </c>
    </row>
    <row r="18" spans="2:9" x14ac:dyDescent="0.25">
      <c r="B18" s="9">
        <v>3</v>
      </c>
      <c r="C18" s="45" t="s">
        <v>29</v>
      </c>
      <c r="D18" s="46" t="s">
        <v>30</v>
      </c>
      <c r="E18" s="47">
        <v>9</v>
      </c>
      <c r="F18" s="48">
        <v>3000</v>
      </c>
      <c r="G18" s="44">
        <f t="shared" si="2"/>
        <v>27000</v>
      </c>
      <c r="I18" s="62"/>
    </row>
    <row r="19" spans="2:9" x14ac:dyDescent="0.25">
      <c r="B19" s="9">
        <v>4</v>
      </c>
      <c r="C19" s="45" t="s">
        <v>31</v>
      </c>
      <c r="D19" s="40" t="s">
        <v>32</v>
      </c>
      <c r="E19" s="49">
        <v>1</v>
      </c>
      <c r="F19" s="50">
        <v>30000</v>
      </c>
      <c r="G19" s="44">
        <f t="shared" si="2"/>
        <v>30000</v>
      </c>
    </row>
    <row r="20" spans="2:9" x14ac:dyDescent="0.25">
      <c r="B20" s="51">
        <v>5</v>
      </c>
      <c r="C20" s="52" t="s">
        <v>33</v>
      </c>
      <c r="D20" s="53" t="s">
        <v>34</v>
      </c>
      <c r="E20" s="54">
        <v>1</v>
      </c>
      <c r="F20" s="55">
        <f>G7*0.15</f>
        <v>9000</v>
      </c>
      <c r="G20" s="56">
        <v>0</v>
      </c>
    </row>
    <row r="21" spans="2:9" ht="16.2" x14ac:dyDescent="0.25">
      <c r="B21" s="76" t="s">
        <v>35</v>
      </c>
      <c r="C21" s="77"/>
      <c r="D21" s="57"/>
      <c r="E21" s="57"/>
      <c r="F21" s="57"/>
      <c r="G21" s="58">
        <f>SUM(G10:G20)</f>
        <v>315000</v>
      </c>
    </row>
    <row r="22" spans="2:9" ht="20.399999999999999" x14ac:dyDescent="0.25">
      <c r="B22" s="78" t="s">
        <v>36</v>
      </c>
      <c r="C22" s="79"/>
      <c r="D22" s="79"/>
      <c r="E22" s="79"/>
      <c r="F22" s="79"/>
      <c r="G22" s="59">
        <f>G21+G7</f>
        <v>375000</v>
      </c>
    </row>
    <row r="23" spans="2:9" ht="20.399999999999999" x14ac:dyDescent="0.25">
      <c r="B23" s="80" t="s">
        <v>37</v>
      </c>
      <c r="C23" s="81"/>
      <c r="D23" s="81"/>
      <c r="E23" s="81"/>
      <c r="F23" s="82"/>
      <c r="G23" s="60">
        <v>0.06</v>
      </c>
    </row>
    <row r="24" spans="2:9" ht="20.399999999999999" x14ac:dyDescent="0.25">
      <c r="B24" s="83" t="s">
        <v>38</v>
      </c>
      <c r="C24" s="84"/>
      <c r="D24" s="84"/>
      <c r="E24" s="84"/>
      <c r="F24" s="85"/>
      <c r="G24" s="61">
        <f>G22/0.94</f>
        <v>398936.17021276598</v>
      </c>
      <c r="H24" s="4"/>
    </row>
  </sheetData>
  <mergeCells count="11">
    <mergeCell ref="B24:F24"/>
    <mergeCell ref="B9:G9"/>
    <mergeCell ref="B15:G15"/>
    <mergeCell ref="B21:C21"/>
    <mergeCell ref="B22:F22"/>
    <mergeCell ref="B23:F23"/>
    <mergeCell ref="C1:G1"/>
    <mergeCell ref="B2:G2"/>
    <mergeCell ref="B4:G4"/>
    <mergeCell ref="B7:C7"/>
    <mergeCell ref="B8:G8"/>
  </mergeCells>
  <phoneticPr fontId="1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数字孪生平台开发版报价单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ZZC</dc:creator>
  <cp:lastModifiedBy>jxt jxt</cp:lastModifiedBy>
  <dcterms:created xsi:type="dcterms:W3CDTF">2015-06-05T18:19:00Z</dcterms:created>
  <dcterms:modified xsi:type="dcterms:W3CDTF">2026-03-12T11:13:23Z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003ED5E109AC4AAF9EFBA2BD658CB9E2_12</vt:lpwstr>
  </property>
  <property fmtid="{D5CDD505-2E9C-101B-9397-08002B2CF9AE}" pid="3" name="KSOProductBuildVer">
    <vt:lpwstr>2052-12.1.0.20305</vt:lpwstr>
  </property>
</Properties>
</file>