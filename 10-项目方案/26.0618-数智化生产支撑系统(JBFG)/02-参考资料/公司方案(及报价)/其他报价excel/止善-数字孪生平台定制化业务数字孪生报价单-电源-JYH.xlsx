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F:\报价\王鹏飞\电源\"/>
    </mc:Choice>
  </mc:AlternateContent>
  <xr:revisionPtr revIDLastSave="0" documentId="13_ncr:1_{5FEC6758-65EE-464E-8194-301F915D5787}" xr6:coauthVersionLast="47" xr6:coauthVersionMax="47" xr10:uidLastSave="{00000000-0000-0000-0000-000000000000}"/>
  <bookViews>
    <workbookView xWindow="-108" yWindow="-108" windowWidth="23256" windowHeight="12456" tabRatio="686" xr2:uid="{00000000-000D-0000-FFFF-FFFF00000000}"/>
  </bookViews>
  <sheets>
    <sheet name="数字孪生平台开发版报价单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G19" i="1"/>
  <c r="G18" i="1"/>
  <c r="G17" i="1"/>
  <c r="G16" i="1"/>
  <c r="G14" i="1"/>
  <c r="G13" i="1"/>
  <c r="G12" i="1"/>
  <c r="G11" i="1"/>
  <c r="G10" i="1"/>
  <c r="G7" i="1"/>
  <c r="G6" i="1"/>
  <c r="G5" i="1"/>
  <c r="G21" i="1" l="1"/>
  <c r="G22" i="1" s="1"/>
  <c r="G24" i="1" s="1"/>
</calcChain>
</file>

<file path=xl/sharedStrings.xml><?xml version="1.0" encoding="utf-8"?>
<sst xmlns="http://schemas.openxmlformats.org/spreadsheetml/2006/main" count="40" uniqueCount="40">
  <si>
    <t>序号</t>
  </si>
  <si>
    <t>产品模块</t>
  </si>
  <si>
    <t>详细说明</t>
  </si>
  <si>
    <t>数量</t>
  </si>
  <si>
    <t>单价</t>
  </si>
  <si>
    <t>总价</t>
  </si>
  <si>
    <t>产品</t>
  </si>
  <si>
    <t>数字孪生平台基础功能授权</t>
  </si>
  <si>
    <t>含数字孪生平台基础引擎、场景构建、模型管理、交互操作、漫游控制等三维功能。</t>
  </si>
  <si>
    <t>数字孪生平台集成接口服务</t>
  </si>
  <si>
    <t>集成中台数据的接口服务，与三维场景通过标准接口进行数据通讯。</t>
  </si>
  <si>
    <t>产品合计</t>
  </si>
  <si>
    <t>服务</t>
  </si>
  <si>
    <t>三维建模服务</t>
  </si>
  <si>
    <t>三维城市定制</t>
  </si>
  <si>
    <t>以主楼为中心，模拟周围的地理信息，包括主要的交通路网、河流、湖泊、植物、景观等。</t>
  </si>
  <si>
    <t>园区环境定制</t>
  </si>
  <si>
    <t>按需定制园区三维模型。利用图纸与照片数据，精准还原主区域地形、建筑及周边道路绿化等关键场景</t>
  </si>
  <si>
    <t>重点建筑定制</t>
  </si>
  <si>
    <t>提供建筑外立面高精度三维建模服务。依据图纸与影像，精细化还原主楼规则建筑结构</t>
  </si>
  <si>
    <t>室内结构定制</t>
  </si>
  <si>
    <t>提供建筑室内空间高精度三维建模服务。基于CAD图纸与现场照片，1：1数字化复刻楼层、房间布局，为空间管理、规划与分析提供精准三维底图。</t>
  </si>
  <si>
    <t>设备模型定制</t>
  </si>
  <si>
    <t>项目开发服务</t>
  </si>
  <si>
    <t>场景点位摆放</t>
  </si>
  <si>
    <t>根据图纸与照片，在三维场景中手工精确定位对象点位，并挂接相关业务数据，费用按实际标注的点位总数计算。</t>
  </si>
  <si>
    <t>功能场景开发</t>
  </si>
  <si>
    <t>数据对接开发</t>
  </si>
  <si>
    <t>对接客户中台数据，数据协议转换</t>
  </si>
  <si>
    <t>项目部署培训服务</t>
  </si>
  <si>
    <t>项目管理、部署实施、功能调试和用户培训等服务</t>
  </si>
  <si>
    <t>售后技术支持服务</t>
  </si>
  <si>
    <t>5*9远程支持、bug修复、软件补丁升级等，售后服务和技术支持。</t>
  </si>
  <si>
    <t>服务合计</t>
  </si>
  <si>
    <t>总计</t>
  </si>
  <si>
    <t>税率</t>
  </si>
  <si>
    <t>报价</t>
  </si>
  <si>
    <t>电源数字孪生平台报价单</t>
    <phoneticPr fontId="15" type="noConversion"/>
  </si>
  <si>
    <t>1、场景规划设计与数据指标规划
2、UI界面设计与数据图表设计
3、建模范围：
1）电抗器：电容器组串联电抗器
2）电力电容器：集合式并联电容器成套装置、集合式电容器组（不含电抗器）、框架式电容器组（不含电抗器）
3）消弧线圈、接地变及成套装置：接地变压器、消弧线圈
4）小电阻接地成套装置：小电阻接地成套装置
5）变电站预制仓
6）穿墙套管
7）开关柜（箱）：环网柜、环网箱、配电箱
8）源系统：蓄电池组、一体化(智能)电源系统、一体化电源系统
9）智能变电站测控及在线监测系统：智能变电站辅助系统综合监控平台
10）智能变电站电源系统：智能一体化电源系统
11）复合材料横担、复合绝缘横担
12）电力设施安全防护防盗、消防系统：防雷设备</t>
    <phoneticPr fontId="15" type="noConversion"/>
  </si>
  <si>
    <t>提供专业的设备三维建模服务，依据图纸与照片进行高精度还原，基于图纸/照片的设备三维建模定制。服务按模型类型计费，精准还原设备外观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</si>
</sst>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&quot;个&quot;"/>
    <numFmt numFmtId="177" formatCode="\¥#,##0;\¥\-#,##0"/>
    <numFmt numFmtId="178" formatCode="0&quot;平方公里&quot;"/>
    <numFmt numFmtId="179" formatCode="0&quot;个园区&quot;"/>
    <numFmt numFmtId="180" formatCode="0&quot;栋建筑&quot;"/>
    <numFmt numFmtId="181" formatCode="0&quot;层&quot;"/>
    <numFmt numFmtId="182" formatCode="0&quot;类设备&quot;"/>
    <numFmt numFmtId="183" formatCode="0&quot;个主题场景&quot;"/>
    <numFmt numFmtId="184" formatCode="0&quot;个&quot;&quot;接&quot;&quot;口&quot;"/>
    <numFmt numFmtId="185" formatCode="0&quot;年&quot;"/>
    <numFmt numFmtId="186" formatCode="&quot;￥&quot;#,##0;[Red]&quot;￥&quot;#,##0"/>
  </numFmts>
  <fonts count="16" x14ac:knownFonts="1">
    <font>
      <sz val="11"/>
      <color theme="1"/>
      <name val="等线"/>
      <charset val="134"/>
      <scheme val="minor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theme="3"/>
      <name val="微软雅黑"/>
      <family val="2"/>
      <charset val="134"/>
    </font>
    <font>
      <b/>
      <sz val="16"/>
      <color theme="4" tint="-0.499984740745262"/>
      <name val="微软雅黑"/>
      <family val="2"/>
      <charset val="134"/>
    </font>
    <font>
      <b/>
      <sz val="12"/>
      <name val="微软雅黑"/>
      <family val="2"/>
      <charset val="134"/>
    </font>
    <font>
      <b/>
      <sz val="10"/>
      <color indexed="10"/>
      <name val="微软雅黑"/>
      <family val="2"/>
      <charset val="134"/>
    </font>
    <font>
      <b/>
      <sz val="9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1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sz val="12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</borders>
  <cellStyleXfs count="4">
    <xf numFmtId="0" fontId="0" fillId="0" borderId="0"/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</cellStyleXfs>
  <cellXfs count="86">
    <xf numFmtId="0" fontId="0" fillId="0" borderId="0" xfId="0"/>
    <xf numFmtId="0" fontId="1" fillId="0" borderId="0" xfId="3" applyFont="1">
      <alignment vertical="center"/>
    </xf>
    <xf numFmtId="0" fontId="2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1" fillId="0" borderId="6" xfId="3" applyFont="1" applyBorder="1">
      <alignment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2" fillId="0" borderId="10" xfId="3" applyFont="1" applyBorder="1" applyAlignment="1">
      <alignment horizontal="center" vertical="center"/>
    </xf>
    <xf numFmtId="0" fontId="2" fillId="3" borderId="1" xfId="3" applyFont="1" applyFill="1" applyBorder="1" applyAlignment="1">
      <alignment vertical="center" wrapText="1"/>
    </xf>
    <xf numFmtId="176" fontId="6" fillId="0" borderId="1" xfId="3" applyNumberFormat="1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177" fontId="8" fillId="0" borderId="11" xfId="0" applyNumberFormat="1" applyFont="1" applyBorder="1" applyAlignment="1">
      <alignment horizontal="center" vertical="center"/>
    </xf>
    <xf numFmtId="0" fontId="2" fillId="2" borderId="14" xfId="3" applyFont="1" applyFill="1" applyBorder="1">
      <alignment vertical="center"/>
    </xf>
    <xf numFmtId="177" fontId="2" fillId="2" borderId="15" xfId="3" applyNumberFormat="1" applyFont="1" applyFill="1" applyBorder="1">
      <alignment vertical="center"/>
    </xf>
    <xf numFmtId="0" fontId="1" fillId="0" borderId="19" xfId="3" applyFont="1" applyBorder="1">
      <alignment vertical="center"/>
    </xf>
    <xf numFmtId="0" fontId="2" fillId="3" borderId="21" xfId="3" applyFont="1" applyFill="1" applyBorder="1" applyAlignment="1">
      <alignment horizontal="center" vertical="center"/>
    </xf>
    <xf numFmtId="0" fontId="9" fillId="0" borderId="3" xfId="3" applyFont="1" applyBorder="1" applyAlignment="1">
      <alignment horizontal="left" vertical="center" wrapText="1"/>
    </xf>
    <xf numFmtId="0" fontId="2" fillId="0" borderId="22" xfId="3" applyFont="1" applyBorder="1" applyAlignment="1">
      <alignment vertical="center" wrapText="1"/>
    </xf>
    <xf numFmtId="178" fontId="10" fillId="3" borderId="22" xfId="2" applyNumberFormat="1" applyFont="1" applyFill="1" applyBorder="1" applyAlignment="1">
      <alignment horizontal="center" vertical="center"/>
    </xf>
    <xf numFmtId="177" fontId="2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9" fillId="3" borderId="1" xfId="3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79" fontId="6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7" fontId="8" fillId="3" borderId="11" xfId="0" applyNumberFormat="1" applyFont="1" applyFill="1" applyBorder="1" applyAlignment="1">
      <alignment horizontal="center" vertical="center"/>
    </xf>
    <xf numFmtId="180" fontId="6" fillId="3" borderId="1" xfId="0" applyNumberFormat="1" applyFont="1" applyFill="1" applyBorder="1" applyAlignment="1">
      <alignment horizontal="center" vertical="center"/>
    </xf>
    <xf numFmtId="181" fontId="6" fillId="3" borderId="1" xfId="0" applyNumberFormat="1" applyFont="1" applyFill="1" applyBorder="1" applyAlignment="1">
      <alignment horizontal="center" vertical="center"/>
    </xf>
    <xf numFmtId="0" fontId="9" fillId="3" borderId="2" xfId="3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182" fontId="6" fillId="3" borderId="2" xfId="0" applyNumberFormat="1" applyFont="1" applyFill="1" applyBorder="1" applyAlignment="1">
      <alignment horizontal="center" vertical="center"/>
    </xf>
    <xf numFmtId="177" fontId="2" fillId="3" borderId="2" xfId="0" applyNumberFormat="1" applyFont="1" applyFill="1" applyBorder="1" applyAlignment="1">
      <alignment horizontal="center" vertical="center"/>
    </xf>
    <xf numFmtId="177" fontId="8" fillId="3" borderId="24" xfId="0" applyNumberFormat="1" applyFont="1" applyFill="1" applyBorder="1" applyAlignment="1">
      <alignment horizontal="center" vertical="center"/>
    </xf>
    <xf numFmtId="0" fontId="2" fillId="0" borderId="21" xfId="3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176" fontId="10" fillId="0" borderId="22" xfId="0" applyNumberFormat="1" applyFont="1" applyBorder="1" applyAlignment="1">
      <alignment horizontal="center" vertical="center"/>
    </xf>
    <xf numFmtId="177" fontId="8" fillId="0" borderId="25" xfId="0" applyNumberFormat="1" applyFont="1" applyBorder="1" applyAlignment="1">
      <alignment horizontal="center" vertical="center"/>
    </xf>
    <xf numFmtId="0" fontId="2" fillId="0" borderId="1" xfId="3" applyFont="1" applyBorder="1" applyAlignment="1">
      <alignment vertical="center" wrapText="1"/>
    </xf>
    <xf numFmtId="0" fontId="10" fillId="0" borderId="1" xfId="3" applyFont="1" applyBorder="1" applyAlignment="1">
      <alignment vertical="center" wrapText="1"/>
    </xf>
    <xf numFmtId="183" fontId="6" fillId="0" borderId="1" xfId="3" applyNumberFormat="1" applyFont="1" applyBorder="1" applyAlignment="1">
      <alignment horizontal="center" vertical="center"/>
    </xf>
    <xf numFmtId="177" fontId="2" fillId="0" borderId="1" xfId="3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0" fontId="9" fillId="0" borderId="1" xfId="3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84" fontId="10" fillId="3" borderId="1" xfId="0" applyNumberFormat="1" applyFont="1" applyFill="1" applyBorder="1" applyAlignment="1">
      <alignment horizontal="center" vertical="center"/>
    </xf>
    <xf numFmtId="177" fontId="2" fillId="0" borderId="1" xfId="1" applyNumberFormat="1" applyFont="1" applyBorder="1" applyAlignment="1">
      <alignment horizontal="center" vertical="center"/>
    </xf>
    <xf numFmtId="176" fontId="10" fillId="3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27" xfId="3" applyFont="1" applyBorder="1" applyAlignment="1">
      <alignment horizontal="center" vertical="center"/>
    </xf>
    <xf numFmtId="0" fontId="9" fillId="0" borderId="2" xfId="3" applyFont="1" applyBorder="1" applyAlignment="1">
      <alignment horizontal="left" vertical="center" wrapText="1"/>
    </xf>
    <xf numFmtId="0" fontId="2" fillId="0" borderId="2" xfId="3" applyFont="1" applyBorder="1" applyAlignment="1">
      <alignment vertical="center" wrapText="1"/>
    </xf>
    <xf numFmtId="185" fontId="10" fillId="0" borderId="2" xfId="0" applyNumberFormat="1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0" fontId="2" fillId="2" borderId="31" xfId="3" applyFont="1" applyFill="1" applyBorder="1">
      <alignment vertical="center"/>
    </xf>
    <xf numFmtId="177" fontId="2" fillId="2" borderId="32" xfId="3" applyNumberFormat="1" applyFont="1" applyFill="1" applyBorder="1">
      <alignment vertical="center"/>
    </xf>
    <xf numFmtId="177" fontId="12" fillId="4" borderId="35" xfId="1" applyNumberFormat="1" applyFont="1" applyFill="1" applyBorder="1">
      <alignment vertical="center"/>
    </xf>
    <xf numFmtId="9" fontId="12" fillId="4" borderId="39" xfId="3" applyNumberFormat="1" applyFont="1" applyFill="1" applyBorder="1" applyAlignment="1">
      <alignment horizontal="center" vertical="center"/>
    </xf>
    <xf numFmtId="186" fontId="12" fillId="4" borderId="41" xfId="3" applyNumberFormat="1" applyFont="1" applyFill="1" applyBorder="1" applyAlignment="1">
      <alignment horizontal="center" vertical="center"/>
    </xf>
    <xf numFmtId="0" fontId="1" fillId="0" borderId="34" xfId="3" applyFont="1" applyBorder="1">
      <alignment vertical="center"/>
    </xf>
    <xf numFmtId="0" fontId="12" fillId="4" borderId="12" xfId="1" applyFont="1" applyFill="1" applyBorder="1" applyAlignment="1">
      <alignment horizontal="right" vertical="center"/>
    </xf>
    <xf numFmtId="0" fontId="12" fillId="4" borderId="40" xfId="1" applyFont="1" applyFill="1" applyBorder="1" applyAlignment="1">
      <alignment horizontal="right" vertical="center"/>
    </xf>
    <xf numFmtId="0" fontId="12" fillId="4" borderId="13" xfId="1" applyFont="1" applyFill="1" applyBorder="1" applyAlignment="1">
      <alignment horizontal="right" vertical="center"/>
    </xf>
    <xf numFmtId="0" fontId="5" fillId="0" borderId="20" xfId="3" applyFont="1" applyBorder="1" applyAlignment="1">
      <alignment horizontal="center" vertical="center"/>
    </xf>
    <xf numFmtId="0" fontId="11" fillId="3" borderId="20" xfId="3" applyFont="1" applyFill="1" applyBorder="1" applyAlignment="1">
      <alignment horizontal="center" vertical="center"/>
    </xf>
    <xf numFmtId="0" fontId="11" fillId="2" borderId="29" xfId="3" applyFont="1" applyFill="1" applyBorder="1" applyAlignment="1">
      <alignment horizontal="center" vertical="center"/>
    </xf>
    <xf numFmtId="0" fontId="11" fillId="2" borderId="30" xfId="3" applyFont="1" applyFill="1" applyBorder="1" applyAlignment="1">
      <alignment horizontal="center" vertical="center"/>
    </xf>
    <xf numFmtId="0" fontId="12" fillId="4" borderId="33" xfId="1" applyFont="1" applyFill="1" applyBorder="1" applyAlignment="1">
      <alignment horizontal="right" vertical="center"/>
    </xf>
    <xf numFmtId="0" fontId="12" fillId="4" borderId="34" xfId="1" applyFont="1" applyFill="1" applyBorder="1" applyAlignment="1">
      <alignment horizontal="right" vertical="center"/>
    </xf>
    <xf numFmtId="0" fontId="12" fillId="4" borderId="36" xfId="1" applyFont="1" applyFill="1" applyBorder="1" applyAlignment="1">
      <alignment horizontal="right" vertical="center"/>
    </xf>
    <xf numFmtId="0" fontId="12" fillId="4" borderId="37" xfId="1" applyFont="1" applyFill="1" applyBorder="1" applyAlignment="1">
      <alignment horizontal="right" vertical="center"/>
    </xf>
    <xf numFmtId="0" fontId="12" fillId="4" borderId="38" xfId="1" applyFont="1" applyFill="1" applyBorder="1" applyAlignment="1">
      <alignment horizontal="right" vertical="center"/>
    </xf>
    <xf numFmtId="0" fontId="3" fillId="0" borderId="0" xfId="3" applyFont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5" fillId="3" borderId="10" xfId="3" applyFont="1" applyFill="1" applyBorder="1" applyAlignment="1">
      <alignment horizontal="left" vertical="center"/>
    </xf>
    <xf numFmtId="0" fontId="5" fillId="3" borderId="1" xfId="3" applyFont="1" applyFill="1" applyBorder="1" applyAlignment="1">
      <alignment horizontal="left" vertical="center"/>
    </xf>
    <xf numFmtId="0" fontId="5" fillId="3" borderId="11" xfId="3" applyFont="1" applyFill="1" applyBorder="1" applyAlignment="1">
      <alignment horizontal="left" vertical="center"/>
    </xf>
    <xf numFmtId="0" fontId="2" fillId="2" borderId="12" xfId="3" applyFont="1" applyFill="1" applyBorder="1" applyAlignment="1">
      <alignment horizontal="center" vertical="center"/>
    </xf>
    <xf numFmtId="0" fontId="2" fillId="2" borderId="13" xfId="3" applyFont="1" applyFill="1" applyBorder="1" applyAlignment="1">
      <alignment horizontal="center" vertical="center"/>
    </xf>
    <xf numFmtId="0" fontId="5" fillId="0" borderId="16" xfId="3" applyFont="1" applyBorder="1" applyAlignment="1">
      <alignment horizontal="left" vertical="center"/>
    </xf>
    <xf numFmtId="0" fontId="5" fillId="0" borderId="17" xfId="3" applyFont="1" applyBorder="1" applyAlignment="1">
      <alignment horizontal="left" vertical="center"/>
    </xf>
    <xf numFmtId="0" fontId="5" fillId="0" borderId="18" xfId="3" applyFont="1" applyBorder="1" applyAlignment="1">
      <alignment horizontal="left" vertical="center"/>
    </xf>
  </cellXfs>
  <cellStyles count="4">
    <cellStyle name="常规" xfId="0" builtinId="0"/>
    <cellStyle name="常规 2" xfId="1" xr:uid="{00000000-0005-0000-0000-000031000000}"/>
    <cellStyle name="常规 3" xfId="2" xr:uid="{00000000-0005-0000-0000-000032000000}"/>
    <cellStyle name="常规 5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12" zoomScale="70" zoomScaleNormal="70" workbookViewId="0">
      <selection activeCell="D17" sqref="D17"/>
    </sheetView>
  </sheetViews>
  <sheetFormatPr defaultColWidth="9" defaultRowHeight="15.6" x14ac:dyDescent="0.25"/>
  <cols>
    <col min="1" max="1" width="4.6640625" style="1" customWidth="1"/>
    <col min="2" max="2" width="9.21875" style="2" customWidth="1"/>
    <col min="3" max="3" width="22" style="3" customWidth="1"/>
    <col min="4" max="4" width="76.21875" style="1" customWidth="1"/>
    <col min="5" max="5" width="14" style="3" customWidth="1"/>
    <col min="6" max="6" width="12.88671875" style="3" customWidth="1"/>
    <col min="7" max="7" width="14.33203125" style="3" customWidth="1"/>
    <col min="8" max="16384" width="9" style="1"/>
  </cols>
  <sheetData>
    <row r="1" spans="1:8" x14ac:dyDescent="0.25">
      <c r="C1" s="75"/>
      <c r="D1" s="75"/>
      <c r="E1" s="75"/>
      <c r="F1" s="75"/>
      <c r="G1" s="75"/>
    </row>
    <row r="2" spans="1:8" ht="23.4" x14ac:dyDescent="0.25">
      <c r="B2" s="76" t="s">
        <v>37</v>
      </c>
      <c r="C2" s="77"/>
      <c r="D2" s="77"/>
      <c r="E2" s="77"/>
      <c r="F2" s="77"/>
      <c r="G2" s="77"/>
      <c r="H2" s="4"/>
    </row>
    <row r="3" spans="1:8" ht="17.399999999999999" x14ac:dyDescent="0.25">
      <c r="B3" s="5" t="s">
        <v>0</v>
      </c>
      <c r="C3" s="6" t="s">
        <v>1</v>
      </c>
      <c r="D3" s="6" t="s">
        <v>2</v>
      </c>
      <c r="E3" s="6" t="s">
        <v>3</v>
      </c>
      <c r="F3" s="7" t="s">
        <v>4</v>
      </c>
      <c r="G3" s="8" t="s">
        <v>5</v>
      </c>
    </row>
    <row r="4" spans="1:8" ht="17.399999999999999" x14ac:dyDescent="0.25">
      <c r="B4" s="78" t="s">
        <v>6</v>
      </c>
      <c r="C4" s="79"/>
      <c r="D4" s="79"/>
      <c r="E4" s="79"/>
      <c r="F4" s="79"/>
      <c r="G4" s="80"/>
      <c r="H4" s="4"/>
    </row>
    <row r="5" spans="1:8" ht="31.2" x14ac:dyDescent="0.25">
      <c r="B5" s="9">
        <v>1</v>
      </c>
      <c r="C5" s="10" t="s">
        <v>7</v>
      </c>
      <c r="D5" s="10" t="s">
        <v>8</v>
      </c>
      <c r="E5" s="11">
        <v>1</v>
      </c>
      <c r="F5" s="12">
        <v>50000</v>
      </c>
      <c r="G5" s="13">
        <f t="shared" ref="G5:G6" si="0">F5*E5</f>
        <v>50000</v>
      </c>
      <c r="H5" s="4"/>
    </row>
    <row r="6" spans="1:8" ht="18" customHeight="1" x14ac:dyDescent="0.25">
      <c r="B6" s="9">
        <v>2</v>
      </c>
      <c r="C6" s="10" t="s">
        <v>9</v>
      </c>
      <c r="D6" s="10" t="s">
        <v>10</v>
      </c>
      <c r="E6" s="11">
        <v>1</v>
      </c>
      <c r="F6" s="12">
        <v>10000</v>
      </c>
      <c r="G6" s="13">
        <f t="shared" si="0"/>
        <v>10000</v>
      </c>
      <c r="H6" s="4"/>
    </row>
    <row r="7" spans="1:8" x14ac:dyDescent="0.25">
      <c r="B7" s="81" t="s">
        <v>11</v>
      </c>
      <c r="C7" s="82"/>
      <c r="D7" s="14"/>
      <c r="E7" s="14"/>
      <c r="F7" s="14"/>
      <c r="G7" s="15">
        <f>G5+G6</f>
        <v>60000</v>
      </c>
      <c r="H7" s="4"/>
    </row>
    <row r="8" spans="1:8" ht="17.399999999999999" x14ac:dyDescent="0.25">
      <c r="B8" s="83" t="s">
        <v>12</v>
      </c>
      <c r="C8" s="84"/>
      <c r="D8" s="84"/>
      <c r="E8" s="84"/>
      <c r="F8" s="84"/>
      <c r="G8" s="85"/>
      <c r="H8" s="4"/>
    </row>
    <row r="9" spans="1:8" ht="17.399999999999999" x14ac:dyDescent="0.25">
      <c r="A9" s="16"/>
      <c r="B9" s="66" t="s">
        <v>13</v>
      </c>
      <c r="C9" s="66"/>
      <c r="D9" s="66"/>
      <c r="E9" s="66"/>
      <c r="F9" s="66"/>
      <c r="G9" s="66"/>
      <c r="H9" s="4"/>
    </row>
    <row r="10" spans="1:8" ht="31.2" x14ac:dyDescent="0.25">
      <c r="B10" s="17">
        <v>1</v>
      </c>
      <c r="C10" s="18" t="s">
        <v>14</v>
      </c>
      <c r="D10" s="19" t="s">
        <v>15</v>
      </c>
      <c r="E10" s="20">
        <v>0</v>
      </c>
      <c r="F10" s="21">
        <v>15000</v>
      </c>
      <c r="G10" s="22">
        <f t="shared" ref="G10" si="1">F10*E10</f>
        <v>0</v>
      </c>
      <c r="H10" s="4"/>
    </row>
    <row r="11" spans="1:8" ht="31.2" x14ac:dyDescent="0.25">
      <c r="B11" s="17">
        <v>2</v>
      </c>
      <c r="C11" s="23" t="s">
        <v>16</v>
      </c>
      <c r="D11" s="24" t="s">
        <v>17</v>
      </c>
      <c r="E11" s="25">
        <v>1</v>
      </c>
      <c r="F11" s="26">
        <v>14000</v>
      </c>
      <c r="G11" s="27">
        <f t="shared" ref="G11:G19" si="2">F11*E11</f>
        <v>14000</v>
      </c>
      <c r="H11" s="4"/>
    </row>
    <row r="12" spans="1:8" x14ac:dyDescent="0.25">
      <c r="B12" s="17">
        <v>3</v>
      </c>
      <c r="C12" s="23" t="s">
        <v>18</v>
      </c>
      <c r="D12" s="24" t="s">
        <v>19</v>
      </c>
      <c r="E12" s="28">
        <v>0</v>
      </c>
      <c r="F12" s="26">
        <v>8000</v>
      </c>
      <c r="G12" s="27">
        <f t="shared" si="2"/>
        <v>0</v>
      </c>
      <c r="H12" s="4"/>
    </row>
    <row r="13" spans="1:8" ht="31.2" x14ac:dyDescent="0.25">
      <c r="B13" s="17">
        <v>4</v>
      </c>
      <c r="C13" s="23" t="s">
        <v>20</v>
      </c>
      <c r="D13" s="24" t="s">
        <v>21</v>
      </c>
      <c r="E13" s="29">
        <v>0</v>
      </c>
      <c r="F13" s="26">
        <v>3000</v>
      </c>
      <c r="G13" s="27">
        <f t="shared" si="2"/>
        <v>0</v>
      </c>
      <c r="H13" s="4"/>
    </row>
    <row r="14" spans="1:8" ht="31.2" x14ac:dyDescent="0.25">
      <c r="B14" s="17">
        <v>5</v>
      </c>
      <c r="C14" s="30" t="s">
        <v>22</v>
      </c>
      <c r="D14" s="31" t="s">
        <v>39</v>
      </c>
      <c r="E14" s="32">
        <v>36</v>
      </c>
      <c r="F14" s="33">
        <v>3000</v>
      </c>
      <c r="G14" s="34">
        <f t="shared" si="2"/>
        <v>108000</v>
      </c>
      <c r="H14" s="4"/>
    </row>
    <row r="15" spans="1:8" ht="16.2" x14ac:dyDescent="0.25">
      <c r="A15" s="16"/>
      <c r="B15" s="67" t="s">
        <v>23</v>
      </c>
      <c r="C15" s="67"/>
      <c r="D15" s="67"/>
      <c r="E15" s="67"/>
      <c r="F15" s="67"/>
      <c r="G15" s="67"/>
      <c r="H15" s="4"/>
    </row>
    <row r="16" spans="1:8" ht="31.2" x14ac:dyDescent="0.25">
      <c r="B16" s="35">
        <v>1</v>
      </c>
      <c r="C16" s="36" t="s">
        <v>24</v>
      </c>
      <c r="D16" s="37" t="s">
        <v>25</v>
      </c>
      <c r="E16" s="38">
        <v>500</v>
      </c>
      <c r="F16" s="21">
        <v>10</v>
      </c>
      <c r="G16" s="39">
        <f t="shared" si="2"/>
        <v>5000</v>
      </c>
    </row>
    <row r="17" spans="2:9" ht="409.2" customHeight="1" x14ac:dyDescent="0.25">
      <c r="B17" s="9">
        <v>2</v>
      </c>
      <c r="C17" s="40" t="s">
        <v>26</v>
      </c>
      <c r="D17" s="41" t="s">
        <v>38</v>
      </c>
      <c r="E17" s="42">
        <v>2</v>
      </c>
      <c r="F17" s="43">
        <v>20000</v>
      </c>
      <c r="G17" s="44">
        <f t="shared" si="2"/>
        <v>40000</v>
      </c>
    </row>
    <row r="18" spans="2:9" x14ac:dyDescent="0.25">
      <c r="B18" s="9">
        <v>3</v>
      </c>
      <c r="C18" s="45" t="s">
        <v>27</v>
      </c>
      <c r="D18" s="46" t="s">
        <v>28</v>
      </c>
      <c r="E18" s="47">
        <v>9</v>
      </c>
      <c r="F18" s="48">
        <v>3000</v>
      </c>
      <c r="G18" s="44">
        <f t="shared" si="2"/>
        <v>27000</v>
      </c>
      <c r="I18" s="62"/>
    </row>
    <row r="19" spans="2:9" x14ac:dyDescent="0.25">
      <c r="B19" s="9">
        <v>4</v>
      </c>
      <c r="C19" s="45" t="s">
        <v>29</v>
      </c>
      <c r="D19" s="40" t="s">
        <v>30</v>
      </c>
      <c r="E19" s="49">
        <v>1</v>
      </c>
      <c r="F19" s="50">
        <v>30000</v>
      </c>
      <c r="G19" s="44">
        <f t="shared" si="2"/>
        <v>30000</v>
      </c>
    </row>
    <row r="20" spans="2:9" x14ac:dyDescent="0.25">
      <c r="B20" s="51">
        <v>5</v>
      </c>
      <c r="C20" s="52" t="s">
        <v>31</v>
      </c>
      <c r="D20" s="53" t="s">
        <v>32</v>
      </c>
      <c r="E20" s="54">
        <v>1</v>
      </c>
      <c r="F20" s="55">
        <f>G7*0.15</f>
        <v>9000</v>
      </c>
      <c r="G20" s="56">
        <v>0</v>
      </c>
    </row>
    <row r="21" spans="2:9" ht="16.2" x14ac:dyDescent="0.25">
      <c r="B21" s="68" t="s">
        <v>33</v>
      </c>
      <c r="C21" s="69"/>
      <c r="D21" s="57"/>
      <c r="E21" s="57"/>
      <c r="F21" s="57"/>
      <c r="G21" s="58">
        <f>SUM(G10:G20)</f>
        <v>224000</v>
      </c>
    </row>
    <row r="22" spans="2:9" ht="20.399999999999999" x14ac:dyDescent="0.25">
      <c r="B22" s="70" t="s">
        <v>34</v>
      </c>
      <c r="C22" s="71"/>
      <c r="D22" s="71"/>
      <c r="E22" s="71"/>
      <c r="F22" s="71"/>
      <c r="G22" s="59">
        <f>G21+G7</f>
        <v>284000</v>
      </c>
    </row>
    <row r="23" spans="2:9" ht="20.399999999999999" x14ac:dyDescent="0.25">
      <c r="B23" s="72" t="s">
        <v>35</v>
      </c>
      <c r="C23" s="73"/>
      <c r="D23" s="73"/>
      <c r="E23" s="73"/>
      <c r="F23" s="74"/>
      <c r="G23" s="60">
        <v>0.06</v>
      </c>
    </row>
    <row r="24" spans="2:9" ht="20.399999999999999" x14ac:dyDescent="0.25">
      <c r="B24" s="63" t="s">
        <v>36</v>
      </c>
      <c r="C24" s="64"/>
      <c r="D24" s="64"/>
      <c r="E24" s="64"/>
      <c r="F24" s="65"/>
      <c r="G24" s="61">
        <f>G22/0.94</f>
        <v>302127.6595744681</v>
      </c>
      <c r="H24" s="4"/>
    </row>
  </sheetData>
  <mergeCells count="11">
    <mergeCell ref="C1:G1"/>
    <mergeCell ref="B2:G2"/>
    <mergeCell ref="B4:G4"/>
    <mergeCell ref="B7:C7"/>
    <mergeCell ref="B8:G8"/>
    <mergeCell ref="B24:F24"/>
    <mergeCell ref="B9:G9"/>
    <mergeCell ref="B15:G15"/>
    <mergeCell ref="B21:C21"/>
    <mergeCell ref="B22:F22"/>
    <mergeCell ref="B23:F23"/>
  </mergeCells>
  <phoneticPr fontId="1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数字孪生平台开发版报价单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ZZC</dc:creator>
  <cp:lastModifiedBy>jxt jxt</cp:lastModifiedBy>
  <dcterms:created xsi:type="dcterms:W3CDTF">2015-06-05T18:19:00Z</dcterms:created>
  <dcterms:modified xsi:type="dcterms:W3CDTF">2026-03-12T14:00:58Z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003ED5E109AC4AAF9EFBA2BD658CB9E2_12</vt:lpwstr>
  </property>
  <property fmtid="{D5CDD505-2E9C-101B-9397-08002B2CF9AE}" pid="3" name="KSOProductBuildVer">
    <vt:lpwstr>2052-12.1.0.20305</vt:lpwstr>
  </property>
</Properties>
</file>