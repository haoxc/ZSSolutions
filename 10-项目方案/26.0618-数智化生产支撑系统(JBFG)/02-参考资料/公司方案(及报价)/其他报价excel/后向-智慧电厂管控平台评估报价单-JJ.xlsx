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606F76C-FAAA-4241-A064-8E6880DC1C4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评估报价汇总" sheetId="1" r:id="rId1"/>
    <sheet name="详细报价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G63" i="2"/>
  <c r="G54" i="2"/>
  <c r="G50" i="2"/>
  <c r="G44" i="2"/>
  <c r="G34" i="2"/>
  <c r="G30" i="2"/>
  <c r="G21" i="2"/>
  <c r="G11" i="2"/>
  <c r="G6" i="2"/>
  <c r="D18" i="1"/>
  <c r="D17" i="1"/>
  <c r="D15" i="1"/>
  <c r="D14" i="1"/>
  <c r="D13" i="1"/>
  <c r="D12" i="1"/>
  <c r="D10" i="1"/>
  <c r="D9" i="1"/>
  <c r="D8" i="1"/>
  <c r="G67" i="2" l="1"/>
  <c r="D19" i="1"/>
</calcChain>
</file>

<file path=xl/sharedStrings.xml><?xml version="1.0" encoding="utf-8"?>
<sst xmlns="http://schemas.openxmlformats.org/spreadsheetml/2006/main" count="228" uniqueCount="177">
  <si>
    <t>软件功能评估报价单</t>
  </si>
  <si>
    <t>项目名称：</t>
  </si>
  <si>
    <t>大唐华银株洲2×1000MW扩能升级改造项目 — 智慧电厂管控平台</t>
  </si>
  <si>
    <t>评估日期：</t>
  </si>
  <si>
    <t>序号</t>
  </si>
  <si>
    <t>模块名称</t>
  </si>
  <si>
    <t>软件开发费
(万元)</t>
  </si>
  <si>
    <t>小计金额
(万元)</t>
  </si>
  <si>
    <t>备注</t>
  </si>
  <si>
    <t>一、业务系统</t>
  </si>
  <si>
    <t>1</t>
  </si>
  <si>
    <t>智慧安全管理</t>
  </si>
  <si>
    <t>智能安防一体化、风险四色图、电子围栏、车辆测速</t>
  </si>
  <si>
    <t>2</t>
  </si>
  <si>
    <t>智慧运行管理</t>
  </si>
  <si>
    <t>智能巡检（远程/移动/组合）、运行辅助决策系统</t>
  </si>
  <si>
    <t>3</t>
  </si>
  <si>
    <t>智慧设备管理</t>
  </si>
  <si>
    <t>设备多维编码、健康管理、三维振动监测、告警中心</t>
  </si>
  <si>
    <t>4</t>
  </si>
  <si>
    <t>智慧经营管理</t>
  </si>
  <si>
    <t>经营成本管理、预算执行管控、经营决策分析</t>
  </si>
  <si>
    <t>二、基础平台</t>
  </si>
  <si>
    <t>5</t>
  </si>
  <si>
    <t>数据中台</t>
  </si>
  <si>
    <t>大数据平台、NoSQL数据库、数据治理、AI平台、BI可视化</t>
  </si>
  <si>
    <t>6</t>
  </si>
  <si>
    <t>物联网平台</t>
  </si>
  <si>
    <t>设备模型、数据服务、设备接入（1000万点）、边缘网关</t>
  </si>
  <si>
    <t>7</t>
  </si>
  <si>
    <t>应用开发平台</t>
  </si>
  <si>
    <t>低代码开发平台（可视化设计器、组件库）</t>
  </si>
  <si>
    <t>8</t>
  </si>
  <si>
    <t>智能AI分析平台</t>
  </si>
  <si>
    <t>环境设备监测、人员安全分析、12+类智能算法</t>
  </si>
  <si>
    <t>三、系统集成与专题报告</t>
  </si>
  <si>
    <t>9</t>
  </si>
  <si>
    <t>系统集成（8大接口）</t>
  </si>
  <si>
    <t>集团统建系统、三维可视化、DCS/SIS等8大类接口</t>
  </si>
  <si>
    <t>10</t>
  </si>
  <si>
    <t>专题报告（4份）</t>
  </si>
  <si>
    <t>智慧设备/经营/数据中台/视频AI专题方案</t>
  </si>
  <si>
    <t>合  计</t>
  </si>
  <si>
    <t/>
  </si>
  <si>
    <t>说明：</t>
  </si>
  <si>
    <t>1. 以上报价为软件功能评估价格，含软件开发、实施部署、系统集成及接口开发费用。</t>
  </si>
  <si>
    <t>2. 软件开发费包含需求分析、系统设计、代码开发、测试、部署及相关文档。</t>
  </si>
  <si>
    <t>3. 实施服务费按软件开发费的30%估算，含现场实施、培训、系统联调、项目管理。</t>
  </si>
  <si>
    <t>4. 报价不含硬件设备采购费用（超融合服务器、网络设备等）。</t>
  </si>
  <si>
    <t>5. 报价不含等保2.0三级测评费用及商密应用安全评估费用。</t>
  </si>
  <si>
    <t>6. 最终价格以合同签订为准，可根据具体需求调整。</t>
  </si>
  <si>
    <t>智慧电厂管控平台详细报价清单</t>
  </si>
  <si>
    <t>模块/功能项</t>
  </si>
  <si>
    <t>功能描述</t>
  </si>
  <si>
    <t>单位</t>
  </si>
  <si>
    <t>数量</t>
  </si>
  <si>
    <t>单价(万元)</t>
  </si>
  <si>
    <t>小计(万元)</t>
  </si>
  <si>
    <t>一、智慧安全管理</t>
  </si>
  <si>
    <t>智能安防一体化平台</t>
  </si>
  <si>
    <t>联动报警、门禁事件联动、统计查询、动态电子地图、视频检测联动、消防报警联动</t>
  </si>
  <si>
    <t>套</t>
  </si>
  <si>
    <t>风险四色图系统</t>
  </si>
  <si>
    <t>风险辨识与预警、安全风险预警模型、安全风险智能分析、视频监控辅助监管</t>
  </si>
  <si>
    <t>脉冲电子围栏系统（软件部分）</t>
  </si>
  <si>
    <t>升压站周界全覆盖、防区管理、门禁联动撤防/布防</t>
  </si>
  <si>
    <t>车辆测速装置（软件部分）</t>
  </si>
  <si>
    <t>速度检测、图像记录、超速抓拍及数据接入安防一体化平台</t>
  </si>
  <si>
    <t>二、智慧运行管理</t>
  </si>
  <si>
    <t xml:space="preserve">  远程视频巡检</t>
  </si>
  <si>
    <t>视频解码数据清洗、智能监测分析、异常上报、视频追溯、AI算法训练调试</t>
  </si>
  <si>
    <t xml:space="preserve">  移动巡检（唐韵智联）</t>
  </si>
  <si>
    <t>二维码扫描、移动安检、移动设备监视、移动缺陷上报、移动预防性维护、拍照视频</t>
  </si>
  <si>
    <t xml:space="preserve">  组合巡检</t>
  </si>
  <si>
    <t>组态巡检、视频+数据巡检融合、自定义巡检路线及设备配置</t>
  </si>
  <si>
    <t xml:space="preserve">  巡检问题闭环管理</t>
  </si>
  <si>
    <t>问题复核、问题整改、问题审核、接口集成（缺陷联动）</t>
  </si>
  <si>
    <t xml:space="preserve">  数据采集与数据分析</t>
  </si>
  <si>
    <t>历史/实时数据采集、数据预处理、大数据分析建模（集团统一AI平台）</t>
  </si>
  <si>
    <t xml:space="preserve">  状态监测</t>
  </si>
  <si>
    <t>参数状态监测、系统/设备状态监测（机器学习模型、决策集规则引擎）</t>
  </si>
  <si>
    <t xml:space="preserve">  机组全过程监测</t>
  </si>
  <si>
    <t>启机/运行/停机全过程监测、趋势对比分析、关键能耗指标统计</t>
  </si>
  <si>
    <t xml:space="preserve">  状态预警系统</t>
  </si>
  <si>
    <t>参数预警（残差/超限/速率/标准差四级告警）、设备预警、预警展示推送</t>
  </si>
  <si>
    <t xml:space="preserve">  辅助决策报告</t>
  </si>
  <si>
    <t>定期智能运行辅助决策报告（月/日/值次），告警及故障事件汇总</t>
  </si>
  <si>
    <t>三、智慧设备管理</t>
  </si>
  <si>
    <t>设备多维编码系统</t>
  </si>
  <si>
    <t>KKS/设备/物资/固定资产四码联动、智能编码工具、设备二维码管理</t>
  </si>
  <si>
    <t xml:space="preserve">  三维可视化振动监测</t>
  </si>
  <si>
    <t>汽轮机/大型转机高精度三维模型、振动监测三维平台、全频谱分析（13类图谱）</t>
  </si>
  <si>
    <t xml:space="preserve">  多维度健康评估</t>
  </si>
  <si>
    <t>安全性/可靠性/经济性三维健康评价体系、多源数据融合</t>
  </si>
  <si>
    <t xml:space="preserve">  设备故障诊断</t>
  </si>
  <si>
    <t>故障诊断知识库、振动故障自动计算可信度、故障定位及趋势分析</t>
  </si>
  <si>
    <t xml:space="preserve">  故障处理指导</t>
  </si>
  <si>
    <t>启停建议、盘车分析、专家诊断报告（周/月/年）</t>
  </si>
  <si>
    <t xml:space="preserve">  检修建议（含DeepSeek大模型）</t>
  </si>
  <si>
    <t>可靠性预测、维修决策、智能驱动退役/异动/技改管理</t>
  </si>
  <si>
    <t>设备管理工作台</t>
  </si>
  <si>
    <t>关键运行指标展示、历史数据查询、待办事项集成、缺陷/检修/点检/工作票管理</t>
  </si>
  <si>
    <t>告警中心</t>
  </si>
  <si>
    <t>告警信息整合分类、多维度查询统计、用户自定义告警规则</t>
  </si>
  <si>
    <t>四、智慧经营管理</t>
  </si>
  <si>
    <t xml:space="preserve">  经营成本管理</t>
  </si>
  <si>
    <t>可变/固定成本模型、度电成本核算、生产成本动态监测及预测分析</t>
  </si>
  <si>
    <t xml:space="preserve">  预算执行管控</t>
  </si>
  <si>
    <t>预算动态分解、预算执行监督、偏差预警、利用小时对标分析</t>
  </si>
  <si>
    <t xml:space="preserve">  经营决策分析</t>
  </si>
  <si>
    <t>经营溯源分析、利润因素分析、电量营收分析、边际利润测算、盈亏平衡点测算、融资/债权分析</t>
  </si>
  <si>
    <t>五、数据中台</t>
  </si>
  <si>
    <t>大数据平台（3节点授权）</t>
  </si>
  <si>
    <t>湖仓一体、分布式计算/存储、多租户管理、ES搜索引擎、Flink实时计算、可靠性≥99.9%</t>
  </si>
  <si>
    <t>NoSQL数据库（3节点授权）</t>
  </si>
  <si>
    <t>半结构化/非结构化数据存储、列簇管理、文档型数据、百亿条精确查询≤100ms</t>
  </si>
  <si>
    <t xml:space="preserve">  数据接入集成</t>
  </si>
  <si>
    <t>30+数据源类型、图形化采集任务、批量/实时/增量同步、≥百万条/秒离线接入</t>
  </si>
  <si>
    <t xml:space="preserve">  数据开发管理</t>
  </si>
  <si>
    <t>图形化ETL编辑器、流批混合编排、丰富调度机制、作业端到端监控</t>
  </si>
  <si>
    <t xml:space="preserve">  数据质量管理</t>
  </si>
  <si>
    <t>质量规则配置、离线/实时质量稽核、质量报告、业务指标监控、问题工单</t>
  </si>
  <si>
    <t xml:space="preserve">  数据资产管理</t>
  </si>
  <si>
    <t>元数据采集/维护、数据资产目录、资产授权管理、血缘分析、百万级表管理</t>
  </si>
  <si>
    <t xml:space="preserve">  数据服务管理</t>
  </si>
  <si>
    <t>API流控策略、服务市场、可视化服务编排、API≥200次/秒并发</t>
  </si>
  <si>
    <t>人工智能平台</t>
  </si>
  <si>
    <t>Scikit-Learn/XGBoost/PyTorch/TensorFlow等框架、可视化建模、模型训练/评估/部署/运营、资源虚拟化</t>
  </si>
  <si>
    <t>数据可视化平台（BI工具）</t>
  </si>
  <si>
    <t>拖拽式报表设计、大屏开发、多维分析、50+图表类型、移动端自适应、GIS地图</t>
  </si>
  <si>
    <t>六、物联网平台</t>
  </si>
  <si>
    <t>物联网平台核心服务</t>
  </si>
  <si>
    <t>设备模型定义、数据服务、设备接入（MQTT/CoAP/MODBUS/IEC等）、1000万I/O总点、300万点/秒吞吐</t>
  </si>
  <si>
    <t>边缘网关部署</t>
  </si>
  <si>
    <t>跨正反向网闸代理、物联网平台镜像、边缘自治、数据环路订阅</t>
  </si>
  <si>
    <t>设备SDK及接入实施工具</t>
  </si>
  <si>
    <t>Java/C/Python/NodeJS SDK、批量实施工具、设备全生命周期管理</t>
  </si>
  <si>
    <t>七、应用开发平台（低代码）</t>
  </si>
  <si>
    <t>低代码应用开发平台</t>
  </si>
  <si>
    <t>表数据管理、数据模型管理、可视化设计器、组件库、自定义事件、表单管理、页面管理、菜单配置</t>
  </si>
  <si>
    <t>八、智能AI分析平台</t>
  </si>
  <si>
    <t>环境设备安全监测与状态分析</t>
  </si>
  <si>
    <t>设备状态识别（外观/温度/附件）、跑冒滴漏、仪表读数、指示灯、压板状态识别</t>
  </si>
  <si>
    <t>厂区人员安全状态识别与分析</t>
  </si>
  <si>
    <t>非法闯入、安全帽/工作服/安全带检测、吸烟/玩手机/翻越护栏、人员摔倒/聚集/静止</t>
  </si>
  <si>
    <t>智能分析算法包（12类+）</t>
  </si>
  <si>
    <t>安全帽/工作服/跑冒滴漏/明火/指示灯/压板/区域入侵/异常行为/仪表读数/电子围栏/安全带识别 + 定制算法</t>
  </si>
  <si>
    <t>九、系统集成</t>
  </si>
  <si>
    <t>大唐集团统建系统集成</t>
  </si>
  <si>
    <t>财务共享、业财一体化、法律事务、三重一大、生产调度、燃料调度中心（6个系统）</t>
  </si>
  <si>
    <t>项</t>
  </si>
  <si>
    <t>大唐集团数据湖对接</t>
  </si>
  <si>
    <t>数据标准与编码规范适配、工业互联网平台数据交互</t>
  </si>
  <si>
    <t>集团安全生产管控系统对接</t>
  </si>
  <si>
    <t>安全生产管控系统、计划统计系统数据对接与业务协同</t>
  </si>
  <si>
    <t>分公司安生系统对接</t>
  </si>
  <si>
    <t>业务交互与安生功能对接、过渡期业务、后续免费迁移</t>
  </si>
  <si>
    <t>电厂三维可视化平台集成</t>
  </si>
  <si>
    <t>智慧电厂数据在三维数字化平台集成展示</t>
  </si>
  <si>
    <t>智慧工地管理系统数据对接</t>
  </si>
  <si>
    <t>数据迁移、基建期与生产期资料无缝衔接</t>
  </si>
  <si>
    <t>其他系统集成（DCS/ICS/SIS等）</t>
  </si>
  <si>
    <t>DCS/ICS/SIS/辅控/智慧燃料/视频门禁系统数据入湖及统一集成</t>
  </si>
  <si>
    <t>智慧仓储管理系统对接</t>
  </si>
  <si>
    <t>数据对接与业务协同</t>
  </si>
  <si>
    <t>十、专题报告</t>
  </si>
  <si>
    <t>智慧设备管理专题报告</t>
  </si>
  <si>
    <t>围绕设备全生命周期健康管理、多维度健康评价方案</t>
  </si>
  <si>
    <t>份</t>
  </si>
  <si>
    <t>智慧经营管理专题报告</t>
  </si>
  <si>
    <t>经营指标体系、多维度经营分析、生产经营联动</t>
  </si>
  <si>
    <t>数据中台及数据治理专题报告</t>
  </si>
  <si>
    <t>数据分类分级、数据域划分、元数据管理、数据质量管理</t>
  </si>
  <si>
    <t>视频AI分析专题报告</t>
  </si>
  <si>
    <t>人员/设备/环境状态分析方案及实现效果</t>
  </si>
  <si>
    <t>项目：大唐华银株洲2×1000MW扩能升级改造项目         报价日期：2026年06月09日</t>
    <phoneticPr fontId="7" type="noConversion"/>
  </si>
  <si>
    <t>合计金额（大写）：贰佰伍拾陆万元整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</si>
</sst>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CC0000"/>
      <name val="微软雅黑"/>
      <charset val="134"/>
    </font>
    <font>
      <sz val="9"/>
      <name val="宋体"/>
      <family val="3"/>
      <charset val="134"/>
      <scheme val="minor"/>
    </font>
    <font>
      <sz val="9"/>
      <color rgb="FF666666"/>
      <name val="微软雅黑"/>
      <family val="2"/>
      <charset val="134"/>
    </font>
    <font>
      <b/>
      <sz val="12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4" fontId="5" fillId="4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4" fontId="5" fillId="0" borderId="2" xfId="0" applyNumberFormat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4" fontId="6" fillId="4" borderId="2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4" fontId="5" fillId="0" borderId="1" xfId="0" applyNumberFormat="1" applyFont="1" applyBorder="1" applyAlignment="1">
      <alignment horizontal="right" vertical="center" wrapText="1"/>
    </xf>
    <xf numFmtId="4" fontId="5" fillId="0" borderId="3" xfId="0" applyNumberFormat="1" applyFont="1" applyFill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4" fontId="5" fillId="0" borderId="4" xfId="0" applyNumberFormat="1" applyFont="1" applyFill="1" applyBorder="1" applyAlignment="1">
      <alignment horizontal="right" vertical="center" wrapText="1"/>
    </xf>
    <xf numFmtId="4" fontId="5" fillId="0" borderId="4" xfId="0" applyNumberFormat="1" applyFont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5" fillId="4" borderId="4" xfId="0" applyNumberFormat="1" applyFont="1" applyFill="1" applyBorder="1" applyAlignment="1">
      <alignment horizontal="right" vertical="center" wrapText="1"/>
    </xf>
    <xf numFmtId="31" fontId="5" fillId="0" borderId="0" xfId="0" applyNumberFormat="1" applyFont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A29" sqref="A29:E29"/>
    </sheetView>
  </sheetViews>
  <sheetFormatPr defaultColWidth="9" defaultRowHeight="13.5"/>
  <cols>
    <col min="1" max="1" width="8" customWidth="1"/>
    <col min="2" max="2" width="20.5" customWidth="1"/>
    <col min="3" max="4" width="18" customWidth="1"/>
    <col min="5" max="5" width="49.5" customWidth="1"/>
  </cols>
  <sheetData>
    <row r="1" spans="1:5" ht="21">
      <c r="A1" s="15" t="s">
        <v>0</v>
      </c>
      <c r="B1" s="15"/>
      <c r="C1" s="15"/>
      <c r="D1" s="15"/>
      <c r="E1" s="15"/>
    </row>
    <row r="2" spans="1:5" ht="16.5">
      <c r="A2" s="17" t="s">
        <v>1</v>
      </c>
      <c r="B2" s="17"/>
      <c r="C2" s="18" t="s">
        <v>2</v>
      </c>
      <c r="D2" s="18"/>
      <c r="E2" s="18"/>
    </row>
    <row r="3" spans="1:5" ht="16.5">
      <c r="A3" s="17" t="s">
        <v>3</v>
      </c>
      <c r="B3" s="17"/>
      <c r="C3" s="34">
        <v>46182</v>
      </c>
      <c r="D3" s="18"/>
      <c r="E3" s="18"/>
    </row>
    <row r="5" spans="1:5" ht="30">
      <c r="A5" s="13" t="s">
        <v>4</v>
      </c>
      <c r="B5" s="1" t="s">
        <v>5</v>
      </c>
      <c r="C5" s="1" t="s">
        <v>6</v>
      </c>
      <c r="D5" s="1" t="s">
        <v>7</v>
      </c>
      <c r="E5" s="13" t="s">
        <v>8</v>
      </c>
    </row>
    <row r="6" spans="1:5">
      <c r="A6" s="19" t="s">
        <v>9</v>
      </c>
      <c r="B6" s="20"/>
      <c r="C6" s="20"/>
      <c r="D6" s="20"/>
      <c r="E6" s="20"/>
    </row>
    <row r="7" spans="1:5" ht="16.5">
      <c r="A7" s="2" t="s">
        <v>10</v>
      </c>
      <c r="B7" s="3" t="s">
        <v>11</v>
      </c>
      <c r="C7" s="4">
        <v>22</v>
      </c>
      <c r="D7" s="4">
        <f>C7</f>
        <v>22</v>
      </c>
      <c r="E7" s="14" t="s">
        <v>12</v>
      </c>
    </row>
    <row r="8" spans="1:5" ht="16.5">
      <c r="A8" s="2" t="s">
        <v>13</v>
      </c>
      <c r="B8" s="3" t="s">
        <v>14</v>
      </c>
      <c r="C8" s="4">
        <v>34</v>
      </c>
      <c r="D8" s="4">
        <f t="shared" ref="D7:D10" si="0">C8</f>
        <v>34</v>
      </c>
      <c r="E8" s="14" t="s">
        <v>15</v>
      </c>
    </row>
    <row r="9" spans="1:5" ht="16.5">
      <c r="A9" s="2" t="s">
        <v>16</v>
      </c>
      <c r="B9" s="3" t="s">
        <v>17</v>
      </c>
      <c r="C9" s="4">
        <v>36</v>
      </c>
      <c r="D9" s="4">
        <f t="shared" si="0"/>
        <v>36</v>
      </c>
      <c r="E9" s="14" t="s">
        <v>18</v>
      </c>
    </row>
    <row r="10" spans="1:5" ht="16.5">
      <c r="A10" s="2" t="s">
        <v>19</v>
      </c>
      <c r="B10" s="3" t="s">
        <v>20</v>
      </c>
      <c r="C10" s="4">
        <v>22</v>
      </c>
      <c r="D10" s="4">
        <f t="shared" si="0"/>
        <v>22</v>
      </c>
      <c r="E10" s="14" t="s">
        <v>21</v>
      </c>
    </row>
    <row r="11" spans="1:5">
      <c r="A11" s="19" t="s">
        <v>22</v>
      </c>
      <c r="B11" s="20"/>
      <c r="C11" s="20"/>
      <c r="D11" s="20"/>
      <c r="E11" s="20"/>
    </row>
    <row r="12" spans="1:5" ht="16.5">
      <c r="A12" s="2" t="s">
        <v>23</v>
      </c>
      <c r="B12" s="3" t="s">
        <v>24</v>
      </c>
      <c r="C12" s="4">
        <v>45</v>
      </c>
      <c r="D12" s="4">
        <f t="shared" ref="D12:D15" si="1">C12</f>
        <v>45</v>
      </c>
      <c r="E12" s="14" t="s">
        <v>25</v>
      </c>
    </row>
    <row r="13" spans="1:5" ht="16.5">
      <c r="A13" s="2" t="s">
        <v>26</v>
      </c>
      <c r="B13" s="3" t="s">
        <v>27</v>
      </c>
      <c r="C13" s="4">
        <v>21</v>
      </c>
      <c r="D13" s="4">
        <f t="shared" si="1"/>
        <v>21</v>
      </c>
      <c r="E13" s="14" t="s">
        <v>28</v>
      </c>
    </row>
    <row r="14" spans="1:5" ht="16.5">
      <c r="A14" s="2" t="s">
        <v>29</v>
      </c>
      <c r="B14" s="3" t="s">
        <v>30</v>
      </c>
      <c r="C14" s="4">
        <v>21</v>
      </c>
      <c r="D14" s="4">
        <f t="shared" si="1"/>
        <v>21</v>
      </c>
      <c r="E14" s="14" t="s">
        <v>31</v>
      </c>
    </row>
    <row r="15" spans="1:5" ht="16.5">
      <c r="A15" s="2" t="s">
        <v>32</v>
      </c>
      <c r="B15" s="3" t="s">
        <v>33</v>
      </c>
      <c r="C15" s="4">
        <v>29</v>
      </c>
      <c r="D15" s="4">
        <f t="shared" si="1"/>
        <v>29</v>
      </c>
      <c r="E15" s="14" t="s">
        <v>34</v>
      </c>
    </row>
    <row r="16" spans="1:5">
      <c r="A16" s="19" t="s">
        <v>35</v>
      </c>
      <c r="B16" s="20"/>
      <c r="C16" s="20"/>
      <c r="D16" s="20"/>
      <c r="E16" s="20"/>
    </row>
    <row r="17" spans="1:5" ht="16.5">
      <c r="A17" s="2" t="s">
        <v>36</v>
      </c>
      <c r="B17" s="3" t="s">
        <v>37</v>
      </c>
      <c r="C17" s="4">
        <v>18</v>
      </c>
      <c r="D17" s="4">
        <f>C17</f>
        <v>18</v>
      </c>
      <c r="E17" s="14" t="s">
        <v>38</v>
      </c>
    </row>
    <row r="18" spans="1:5" ht="16.5">
      <c r="A18" s="2" t="s">
        <v>39</v>
      </c>
      <c r="B18" s="3" t="s">
        <v>40</v>
      </c>
      <c r="C18" s="4">
        <v>8</v>
      </c>
      <c r="D18" s="4">
        <f>C18</f>
        <v>8</v>
      </c>
      <c r="E18" s="14" t="s">
        <v>41</v>
      </c>
    </row>
    <row r="19" spans="1:5" ht="18">
      <c r="A19" s="21" t="s">
        <v>42</v>
      </c>
      <c r="B19" s="22"/>
      <c r="C19" s="12"/>
      <c r="D19" s="12">
        <f>SUM(D7:D18)</f>
        <v>256</v>
      </c>
      <c r="E19" s="11" t="s">
        <v>43</v>
      </c>
    </row>
    <row r="21" spans="1:5">
      <c r="A21" s="36" t="s">
        <v>176</v>
      </c>
      <c r="B21" s="20"/>
      <c r="C21" s="20"/>
      <c r="D21" s="20"/>
      <c r="E21" s="20"/>
    </row>
    <row r="23" spans="1:5">
      <c r="A23" s="23" t="s">
        <v>44</v>
      </c>
      <c r="B23" s="20"/>
      <c r="C23" s="20"/>
      <c r="D23" s="20"/>
      <c r="E23" s="20"/>
    </row>
    <row r="24" spans="1:5">
      <c r="A24" s="23" t="s">
        <v>45</v>
      </c>
      <c r="B24" s="20"/>
      <c r="C24" s="20"/>
      <c r="D24" s="20"/>
      <c r="E24" s="20"/>
    </row>
    <row r="25" spans="1:5">
      <c r="A25" s="23" t="s">
        <v>46</v>
      </c>
      <c r="B25" s="20"/>
      <c r="C25" s="20"/>
      <c r="D25" s="20"/>
      <c r="E25" s="20"/>
    </row>
    <row r="26" spans="1:5">
      <c r="A26" s="23" t="s">
        <v>47</v>
      </c>
      <c r="B26" s="20"/>
      <c r="C26" s="20"/>
      <c r="D26" s="20"/>
      <c r="E26" s="20"/>
    </row>
    <row r="27" spans="1:5">
      <c r="A27" s="23" t="s">
        <v>48</v>
      </c>
      <c r="B27" s="20"/>
      <c r="C27" s="20"/>
      <c r="D27" s="20"/>
      <c r="E27" s="20"/>
    </row>
    <row r="28" spans="1:5">
      <c r="A28" s="23" t="s">
        <v>49</v>
      </c>
      <c r="B28" s="20"/>
      <c r="C28" s="20"/>
      <c r="D28" s="20"/>
      <c r="E28" s="20"/>
    </row>
    <row r="29" spans="1:5">
      <c r="A29" s="23" t="s">
        <v>50</v>
      </c>
      <c r="B29" s="20"/>
      <c r="C29" s="20"/>
      <c r="D29" s="20"/>
      <c r="E29" s="20"/>
    </row>
  </sheetData>
  <mergeCells count="17">
    <mergeCell ref="A29:E29"/>
    <mergeCell ref="A24:E24"/>
    <mergeCell ref="A25:E25"/>
    <mergeCell ref="A26:E26"/>
    <mergeCell ref="A27:E27"/>
    <mergeCell ref="A28:E28"/>
    <mergeCell ref="A11:E11"/>
    <mergeCell ref="A16:E16"/>
    <mergeCell ref="A19:B19"/>
    <mergeCell ref="A21:E21"/>
    <mergeCell ref="A23:E23"/>
    <mergeCell ref="A3:B3"/>
    <mergeCell ref="C3:E3"/>
    <mergeCell ref="A6:E6"/>
    <mergeCell ref="A1:E1"/>
    <mergeCell ref="A2:B2"/>
    <mergeCell ref="C2:E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tabSelected="1" workbookViewId="0">
      <pane ySplit="4" topLeftCell="A48" activePane="bottomLeft" state="frozen"/>
      <selection pane="bottomLeft" activeCell="I66" sqref="I66"/>
    </sheetView>
  </sheetViews>
  <sheetFormatPr defaultColWidth="9" defaultRowHeight="13.5"/>
  <cols>
    <col min="1" max="1" width="6" customWidth="1"/>
    <col min="2" max="2" width="28.875" customWidth="1"/>
    <col min="3" max="3" width="89.5" customWidth="1"/>
    <col min="4" max="5" width="8" customWidth="1"/>
    <col min="6" max="6" width="12.875" customWidth="1"/>
    <col min="7" max="7" width="16" customWidth="1"/>
  </cols>
  <sheetData>
    <row r="1" spans="1:7" ht="22.5" customHeight="1">
      <c r="A1" s="24" t="s">
        <v>51</v>
      </c>
      <c r="B1" s="20"/>
      <c r="C1" s="20"/>
      <c r="D1" s="20"/>
      <c r="E1" s="20"/>
      <c r="F1" s="20"/>
      <c r="G1" s="20"/>
    </row>
    <row r="2" spans="1:7">
      <c r="A2" s="35" t="s">
        <v>175</v>
      </c>
      <c r="B2" s="25"/>
      <c r="C2" s="25"/>
      <c r="D2" s="25"/>
      <c r="E2" s="25"/>
      <c r="F2" s="25"/>
      <c r="G2" s="25"/>
    </row>
    <row r="3" spans="1:7">
      <c r="A3" s="16"/>
      <c r="B3" s="16"/>
      <c r="C3" s="16"/>
      <c r="D3" s="16"/>
      <c r="E3" s="16"/>
      <c r="F3" s="16"/>
      <c r="G3" s="16"/>
    </row>
    <row r="4" spans="1:7" ht="15">
      <c r="A4" s="1" t="s">
        <v>4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</row>
    <row r="5" spans="1:7">
      <c r="A5" s="19" t="s">
        <v>58</v>
      </c>
      <c r="B5" s="20"/>
      <c r="C5" s="20"/>
      <c r="D5" s="20"/>
      <c r="E5" s="20"/>
      <c r="F5" s="20"/>
      <c r="G5" s="20"/>
    </row>
    <row r="6" spans="1:7" ht="16.5">
      <c r="A6" s="2">
        <v>1</v>
      </c>
      <c r="B6" s="3" t="s">
        <v>59</v>
      </c>
      <c r="C6" s="3" t="s">
        <v>60</v>
      </c>
      <c r="D6" s="2" t="s">
        <v>61</v>
      </c>
      <c r="E6" s="2">
        <v>1</v>
      </c>
      <c r="F6" s="4">
        <v>8</v>
      </c>
      <c r="G6" s="26">
        <f>SUM(F6:F9)</f>
        <v>22</v>
      </c>
    </row>
    <row r="7" spans="1:7" ht="16.5">
      <c r="A7" s="5">
        <v>2</v>
      </c>
      <c r="B7" s="6" t="s">
        <v>62</v>
      </c>
      <c r="C7" s="6" t="s">
        <v>63</v>
      </c>
      <c r="D7" s="5" t="s">
        <v>61</v>
      </c>
      <c r="E7" s="5">
        <v>1</v>
      </c>
      <c r="F7" s="7">
        <v>6</v>
      </c>
      <c r="G7" s="27"/>
    </row>
    <row r="8" spans="1:7" ht="16.5">
      <c r="A8" s="2">
        <v>3</v>
      </c>
      <c r="B8" s="3" t="s">
        <v>64</v>
      </c>
      <c r="C8" s="3" t="s">
        <v>65</v>
      </c>
      <c r="D8" s="2" t="s">
        <v>61</v>
      </c>
      <c r="E8" s="2">
        <v>1</v>
      </c>
      <c r="F8" s="4">
        <v>4</v>
      </c>
      <c r="G8" s="28"/>
    </row>
    <row r="9" spans="1:7" ht="16.5">
      <c r="A9" s="5">
        <v>4</v>
      </c>
      <c r="B9" s="6" t="s">
        <v>66</v>
      </c>
      <c r="C9" s="6" t="s">
        <v>67</v>
      </c>
      <c r="D9" s="5" t="s">
        <v>61</v>
      </c>
      <c r="E9" s="5">
        <v>1</v>
      </c>
      <c r="F9" s="7">
        <v>4</v>
      </c>
      <c r="G9" s="29"/>
    </row>
    <row r="10" spans="1:7">
      <c r="A10" s="19" t="s">
        <v>68</v>
      </c>
      <c r="B10" s="20"/>
      <c r="C10" s="20"/>
      <c r="D10" s="20"/>
      <c r="E10" s="20"/>
      <c r="F10" s="20"/>
      <c r="G10" s="20"/>
    </row>
    <row r="11" spans="1:7" ht="16.5">
      <c r="A11" s="2">
        <v>5</v>
      </c>
      <c r="B11" s="3" t="s">
        <v>69</v>
      </c>
      <c r="C11" s="3" t="s">
        <v>70</v>
      </c>
      <c r="D11" s="2" t="s">
        <v>61</v>
      </c>
      <c r="E11" s="2">
        <v>1</v>
      </c>
      <c r="F11" s="4">
        <v>6</v>
      </c>
      <c r="G11" s="26">
        <f>SUM(F11:F19)</f>
        <v>34</v>
      </c>
    </row>
    <row r="12" spans="1:7" ht="16.5">
      <c r="A12" s="5">
        <v>6</v>
      </c>
      <c r="B12" s="6" t="s">
        <v>71</v>
      </c>
      <c r="C12" s="6" t="s">
        <v>72</v>
      </c>
      <c r="D12" s="5" t="s">
        <v>61</v>
      </c>
      <c r="E12" s="5">
        <v>1</v>
      </c>
      <c r="F12" s="7">
        <v>4</v>
      </c>
      <c r="G12" s="27"/>
    </row>
    <row r="13" spans="1:7" ht="16.5">
      <c r="A13" s="2">
        <v>7</v>
      </c>
      <c r="B13" s="3" t="s">
        <v>73</v>
      </c>
      <c r="C13" s="3" t="s">
        <v>74</v>
      </c>
      <c r="D13" s="2" t="s">
        <v>61</v>
      </c>
      <c r="E13" s="2">
        <v>1</v>
      </c>
      <c r="F13" s="4">
        <v>3</v>
      </c>
      <c r="G13" s="28"/>
    </row>
    <row r="14" spans="1:7" ht="16.5">
      <c r="A14" s="5">
        <v>8</v>
      </c>
      <c r="B14" s="6" t="s">
        <v>75</v>
      </c>
      <c r="C14" s="6" t="s">
        <v>76</v>
      </c>
      <c r="D14" s="5" t="s">
        <v>61</v>
      </c>
      <c r="E14" s="5">
        <v>1</v>
      </c>
      <c r="F14" s="7">
        <v>3</v>
      </c>
      <c r="G14" s="27"/>
    </row>
    <row r="15" spans="1:7" ht="16.5">
      <c r="A15" s="2">
        <v>9</v>
      </c>
      <c r="B15" s="3" t="s">
        <v>77</v>
      </c>
      <c r="C15" s="3" t="s">
        <v>78</v>
      </c>
      <c r="D15" s="2" t="s">
        <v>61</v>
      </c>
      <c r="E15" s="2">
        <v>1</v>
      </c>
      <c r="F15" s="4">
        <v>5</v>
      </c>
      <c r="G15" s="28"/>
    </row>
    <row r="16" spans="1:7" ht="16.5">
      <c r="A16" s="5">
        <v>10</v>
      </c>
      <c r="B16" s="6" t="s">
        <v>79</v>
      </c>
      <c r="C16" s="6" t="s">
        <v>80</v>
      </c>
      <c r="D16" s="5" t="s">
        <v>61</v>
      </c>
      <c r="E16" s="5">
        <v>1</v>
      </c>
      <c r="F16" s="7">
        <v>4</v>
      </c>
      <c r="G16" s="27"/>
    </row>
    <row r="17" spans="1:7" ht="16.5">
      <c r="A17" s="2">
        <v>11</v>
      </c>
      <c r="B17" s="3" t="s">
        <v>81</v>
      </c>
      <c r="C17" s="3" t="s">
        <v>82</v>
      </c>
      <c r="D17" s="2" t="s">
        <v>61</v>
      </c>
      <c r="E17" s="2">
        <v>1</v>
      </c>
      <c r="F17" s="4">
        <v>3</v>
      </c>
      <c r="G17" s="28"/>
    </row>
    <row r="18" spans="1:7" ht="16.5">
      <c r="A18" s="5">
        <v>12</v>
      </c>
      <c r="B18" s="6" t="s">
        <v>83</v>
      </c>
      <c r="C18" s="6" t="s">
        <v>84</v>
      </c>
      <c r="D18" s="5" t="s">
        <v>61</v>
      </c>
      <c r="E18" s="5">
        <v>1</v>
      </c>
      <c r="F18" s="7">
        <v>3</v>
      </c>
      <c r="G18" s="27"/>
    </row>
    <row r="19" spans="1:7" ht="16.5">
      <c r="A19" s="2">
        <v>13</v>
      </c>
      <c r="B19" s="3" t="s">
        <v>85</v>
      </c>
      <c r="C19" s="3" t="s">
        <v>86</v>
      </c>
      <c r="D19" s="2" t="s">
        <v>61</v>
      </c>
      <c r="E19" s="2">
        <v>1</v>
      </c>
      <c r="F19" s="4">
        <v>3</v>
      </c>
      <c r="G19" s="30"/>
    </row>
    <row r="20" spans="1:7">
      <c r="A20" s="19" t="s">
        <v>87</v>
      </c>
      <c r="B20" s="20"/>
      <c r="C20" s="20"/>
      <c r="D20" s="20"/>
      <c r="E20" s="20"/>
      <c r="F20" s="20"/>
      <c r="G20" s="20"/>
    </row>
    <row r="21" spans="1:7" ht="16.5">
      <c r="A21" s="5">
        <v>14</v>
      </c>
      <c r="B21" s="6" t="s">
        <v>88</v>
      </c>
      <c r="C21" s="6" t="s">
        <v>89</v>
      </c>
      <c r="D21" s="5" t="s">
        <v>61</v>
      </c>
      <c r="E21" s="5">
        <v>1</v>
      </c>
      <c r="F21" s="7">
        <v>5</v>
      </c>
      <c r="G21" s="31">
        <f>SUM(F21:F28)</f>
        <v>36</v>
      </c>
    </row>
    <row r="22" spans="1:7" ht="16.5">
      <c r="A22" s="2">
        <v>15</v>
      </c>
      <c r="B22" s="3" t="s">
        <v>90</v>
      </c>
      <c r="C22" s="3" t="s">
        <v>91</v>
      </c>
      <c r="D22" s="2" t="s">
        <v>61</v>
      </c>
      <c r="E22" s="2">
        <v>1</v>
      </c>
      <c r="F22" s="4">
        <v>7</v>
      </c>
      <c r="G22" s="32"/>
    </row>
    <row r="23" spans="1:7" ht="16.5">
      <c r="A23" s="5">
        <v>16</v>
      </c>
      <c r="B23" s="6" t="s">
        <v>92</v>
      </c>
      <c r="C23" s="6" t="s">
        <v>93</v>
      </c>
      <c r="D23" s="5" t="s">
        <v>61</v>
      </c>
      <c r="E23" s="5">
        <v>1</v>
      </c>
      <c r="F23" s="7">
        <v>5</v>
      </c>
      <c r="G23" s="32"/>
    </row>
    <row r="24" spans="1:7" ht="16.5">
      <c r="A24" s="2">
        <v>17</v>
      </c>
      <c r="B24" s="3" t="s">
        <v>94</v>
      </c>
      <c r="C24" s="3" t="s">
        <v>95</v>
      </c>
      <c r="D24" s="2" t="s">
        <v>61</v>
      </c>
      <c r="E24" s="2">
        <v>1</v>
      </c>
      <c r="F24" s="4">
        <v>4</v>
      </c>
      <c r="G24" s="32"/>
    </row>
    <row r="25" spans="1:7" ht="16.5">
      <c r="A25" s="5">
        <v>18</v>
      </c>
      <c r="B25" s="6" t="s">
        <v>96</v>
      </c>
      <c r="C25" s="6" t="s">
        <v>97</v>
      </c>
      <c r="D25" s="5" t="s">
        <v>61</v>
      </c>
      <c r="E25" s="5">
        <v>1</v>
      </c>
      <c r="F25" s="7">
        <v>3</v>
      </c>
      <c r="G25" s="32"/>
    </row>
    <row r="26" spans="1:7" ht="16.5">
      <c r="A26" s="2">
        <v>19</v>
      </c>
      <c r="B26" s="3" t="s">
        <v>98</v>
      </c>
      <c r="C26" s="3" t="s">
        <v>99</v>
      </c>
      <c r="D26" s="2" t="s">
        <v>61</v>
      </c>
      <c r="E26" s="2">
        <v>1</v>
      </c>
      <c r="F26" s="4">
        <v>5</v>
      </c>
      <c r="G26" s="32"/>
    </row>
    <row r="27" spans="1:7" ht="16.5">
      <c r="A27" s="5">
        <v>20</v>
      </c>
      <c r="B27" s="6" t="s">
        <v>100</v>
      </c>
      <c r="C27" s="6" t="s">
        <v>101</v>
      </c>
      <c r="D27" s="5" t="s">
        <v>61</v>
      </c>
      <c r="E27" s="5">
        <v>1</v>
      </c>
      <c r="F27" s="7">
        <v>4</v>
      </c>
      <c r="G27" s="32"/>
    </row>
    <row r="28" spans="1:7" ht="16.5">
      <c r="A28" s="2">
        <v>21</v>
      </c>
      <c r="B28" s="6" t="s">
        <v>102</v>
      </c>
      <c r="C28" s="3" t="s">
        <v>103</v>
      </c>
      <c r="D28" s="2" t="s">
        <v>61</v>
      </c>
      <c r="E28" s="2">
        <v>1</v>
      </c>
      <c r="F28" s="4">
        <v>3</v>
      </c>
      <c r="G28" s="33"/>
    </row>
    <row r="29" spans="1:7">
      <c r="A29" s="19" t="s">
        <v>104</v>
      </c>
      <c r="B29" s="20"/>
      <c r="C29" s="20"/>
      <c r="D29" s="20"/>
      <c r="E29" s="20"/>
      <c r="F29" s="20"/>
      <c r="G29" s="20"/>
    </row>
    <row r="30" spans="1:7" ht="16.5">
      <c r="A30" s="5">
        <v>22</v>
      </c>
      <c r="B30" s="6" t="s">
        <v>105</v>
      </c>
      <c r="C30" s="6" t="s">
        <v>106</v>
      </c>
      <c r="D30" s="5" t="s">
        <v>61</v>
      </c>
      <c r="E30" s="5">
        <v>1</v>
      </c>
      <c r="F30" s="7">
        <v>6</v>
      </c>
      <c r="G30" s="31">
        <f>SUM(F30:F32)</f>
        <v>22</v>
      </c>
    </row>
    <row r="31" spans="1:7" ht="16.5">
      <c r="A31" s="2">
        <v>23</v>
      </c>
      <c r="B31" s="3" t="s">
        <v>107</v>
      </c>
      <c r="C31" s="3" t="s">
        <v>108</v>
      </c>
      <c r="D31" s="2" t="s">
        <v>61</v>
      </c>
      <c r="E31" s="2">
        <v>1</v>
      </c>
      <c r="F31" s="4">
        <v>6</v>
      </c>
      <c r="G31" s="32"/>
    </row>
    <row r="32" spans="1:7" ht="16.5">
      <c r="A32" s="5">
        <v>24</v>
      </c>
      <c r="B32" s="6" t="s">
        <v>109</v>
      </c>
      <c r="C32" s="6" t="s">
        <v>110</v>
      </c>
      <c r="D32" s="5" t="s">
        <v>61</v>
      </c>
      <c r="E32" s="5">
        <v>1</v>
      </c>
      <c r="F32" s="7">
        <v>10</v>
      </c>
      <c r="G32" s="33"/>
    </row>
    <row r="33" spans="1:7">
      <c r="A33" s="19" t="s">
        <v>111</v>
      </c>
      <c r="B33" s="20"/>
      <c r="C33" s="20"/>
      <c r="D33" s="20"/>
      <c r="E33" s="20"/>
      <c r="F33" s="20"/>
      <c r="G33" s="20"/>
    </row>
    <row r="34" spans="1:7" ht="16.5">
      <c r="A34" s="2">
        <v>25</v>
      </c>
      <c r="B34" s="3" t="s">
        <v>112</v>
      </c>
      <c r="C34" s="3" t="s">
        <v>113</v>
      </c>
      <c r="D34" s="2" t="s">
        <v>61</v>
      </c>
      <c r="E34" s="2">
        <v>1</v>
      </c>
      <c r="F34" s="4">
        <v>7</v>
      </c>
      <c r="G34" s="26">
        <f>SUM(F34:F42)</f>
        <v>45</v>
      </c>
    </row>
    <row r="35" spans="1:7" ht="16.5">
      <c r="A35" s="5">
        <v>26</v>
      </c>
      <c r="B35" s="6" t="s">
        <v>114</v>
      </c>
      <c r="C35" s="6" t="s">
        <v>115</v>
      </c>
      <c r="D35" s="5" t="s">
        <v>61</v>
      </c>
      <c r="E35" s="5">
        <v>1</v>
      </c>
      <c r="F35" s="7">
        <v>5</v>
      </c>
      <c r="G35" s="27"/>
    </row>
    <row r="36" spans="1:7" ht="16.5">
      <c r="A36" s="2">
        <v>27</v>
      </c>
      <c r="B36" s="8" t="s">
        <v>116</v>
      </c>
      <c r="C36" s="3" t="s">
        <v>117</v>
      </c>
      <c r="D36" s="2" t="s">
        <v>61</v>
      </c>
      <c r="E36" s="2">
        <v>1</v>
      </c>
      <c r="F36" s="4">
        <v>4</v>
      </c>
      <c r="G36" s="28"/>
    </row>
    <row r="37" spans="1:7" ht="16.5">
      <c r="A37" s="5">
        <v>28</v>
      </c>
      <c r="B37" s="9" t="s">
        <v>118</v>
      </c>
      <c r="C37" s="6" t="s">
        <v>119</v>
      </c>
      <c r="D37" s="5" t="s">
        <v>61</v>
      </c>
      <c r="E37" s="5">
        <v>1</v>
      </c>
      <c r="F37" s="7">
        <v>4</v>
      </c>
      <c r="G37" s="27"/>
    </row>
    <row r="38" spans="1:7" ht="16.5">
      <c r="A38" s="2">
        <v>29</v>
      </c>
      <c r="B38" s="8" t="s">
        <v>120</v>
      </c>
      <c r="C38" s="3" t="s">
        <v>121</v>
      </c>
      <c r="D38" s="2" t="s">
        <v>61</v>
      </c>
      <c r="E38" s="2">
        <v>1</v>
      </c>
      <c r="F38" s="4">
        <v>3</v>
      </c>
      <c r="G38" s="28"/>
    </row>
    <row r="39" spans="1:7" ht="16.5">
      <c r="A39" s="5">
        <v>30</v>
      </c>
      <c r="B39" s="9" t="s">
        <v>122</v>
      </c>
      <c r="C39" s="6" t="s">
        <v>123</v>
      </c>
      <c r="D39" s="5" t="s">
        <v>61</v>
      </c>
      <c r="E39" s="5">
        <v>1</v>
      </c>
      <c r="F39" s="7">
        <v>4</v>
      </c>
      <c r="G39" s="27"/>
    </row>
    <row r="40" spans="1:7" ht="16.5">
      <c r="A40" s="2">
        <v>31</v>
      </c>
      <c r="B40" s="8" t="s">
        <v>124</v>
      </c>
      <c r="C40" s="3" t="s">
        <v>125</v>
      </c>
      <c r="D40" s="2" t="s">
        <v>61</v>
      </c>
      <c r="E40" s="2">
        <v>1</v>
      </c>
      <c r="F40" s="4">
        <v>3</v>
      </c>
      <c r="G40" s="28"/>
    </row>
    <row r="41" spans="1:7" ht="16.5">
      <c r="A41" s="5">
        <v>32</v>
      </c>
      <c r="B41" s="6" t="s">
        <v>126</v>
      </c>
      <c r="C41" s="6" t="s">
        <v>127</v>
      </c>
      <c r="D41" s="5" t="s">
        <v>61</v>
      </c>
      <c r="E41" s="5">
        <v>1</v>
      </c>
      <c r="F41" s="7">
        <v>9</v>
      </c>
      <c r="G41" s="27"/>
    </row>
    <row r="42" spans="1:7" ht="16.5">
      <c r="A42" s="2">
        <v>33</v>
      </c>
      <c r="B42" s="3" t="s">
        <v>128</v>
      </c>
      <c r="C42" s="3" t="s">
        <v>129</v>
      </c>
      <c r="D42" s="2" t="s">
        <v>61</v>
      </c>
      <c r="E42" s="2">
        <v>1</v>
      </c>
      <c r="F42" s="4">
        <v>6</v>
      </c>
      <c r="G42" s="30"/>
    </row>
    <row r="43" spans="1:7">
      <c r="A43" s="19" t="s">
        <v>130</v>
      </c>
      <c r="B43" s="20"/>
      <c r="C43" s="20"/>
      <c r="D43" s="20"/>
      <c r="E43" s="20"/>
      <c r="F43" s="20"/>
      <c r="G43" s="20"/>
    </row>
    <row r="44" spans="1:7" ht="16.5">
      <c r="A44" s="5">
        <v>34</v>
      </c>
      <c r="B44" s="6" t="s">
        <v>131</v>
      </c>
      <c r="C44" s="6" t="s">
        <v>132</v>
      </c>
      <c r="D44" s="5" t="s">
        <v>61</v>
      </c>
      <c r="E44" s="5">
        <v>1</v>
      </c>
      <c r="F44" s="7">
        <v>11</v>
      </c>
      <c r="G44" s="31">
        <f>SUM(F44:F46)</f>
        <v>21</v>
      </c>
    </row>
    <row r="45" spans="1:7" ht="16.5">
      <c r="A45" s="2">
        <v>35</v>
      </c>
      <c r="B45" s="3" t="s">
        <v>133</v>
      </c>
      <c r="C45" s="3" t="s">
        <v>134</v>
      </c>
      <c r="D45" s="2" t="s">
        <v>61</v>
      </c>
      <c r="E45" s="2">
        <v>1</v>
      </c>
      <c r="F45" s="4">
        <v>5</v>
      </c>
      <c r="G45" s="32"/>
    </row>
    <row r="46" spans="1:7" ht="16.5">
      <c r="A46" s="5">
        <v>36</v>
      </c>
      <c r="B46" s="6" t="s">
        <v>135</v>
      </c>
      <c r="C46" s="6" t="s">
        <v>136</v>
      </c>
      <c r="D46" s="5" t="s">
        <v>61</v>
      </c>
      <c r="E46" s="5">
        <v>1</v>
      </c>
      <c r="F46" s="7">
        <v>5</v>
      </c>
      <c r="G46" s="33"/>
    </row>
    <row r="47" spans="1:7">
      <c r="A47" s="19" t="s">
        <v>137</v>
      </c>
      <c r="B47" s="20"/>
      <c r="C47" s="20"/>
      <c r="D47" s="20"/>
      <c r="E47" s="20"/>
      <c r="F47" s="20"/>
      <c r="G47" s="20"/>
    </row>
    <row r="48" spans="1:7" ht="16.5">
      <c r="A48" s="2">
        <v>37</v>
      </c>
      <c r="B48" s="3" t="s">
        <v>138</v>
      </c>
      <c r="C48" s="3" t="s">
        <v>139</v>
      </c>
      <c r="D48" s="2" t="s">
        <v>61</v>
      </c>
      <c r="E48" s="2">
        <v>1</v>
      </c>
      <c r="F48" s="10">
        <v>21</v>
      </c>
      <c r="G48" s="10">
        <v>21</v>
      </c>
    </row>
    <row r="49" spans="1:7">
      <c r="A49" s="19" t="s">
        <v>140</v>
      </c>
      <c r="B49" s="20"/>
      <c r="C49" s="20"/>
      <c r="D49" s="20"/>
      <c r="E49" s="20"/>
      <c r="F49" s="20"/>
      <c r="G49" s="20"/>
    </row>
    <row r="50" spans="1:7" ht="16.5">
      <c r="A50" s="5">
        <v>38</v>
      </c>
      <c r="B50" s="6" t="s">
        <v>141</v>
      </c>
      <c r="C50" s="6" t="s">
        <v>142</v>
      </c>
      <c r="D50" s="5" t="s">
        <v>61</v>
      </c>
      <c r="E50" s="5">
        <v>1</v>
      </c>
      <c r="F50" s="7">
        <v>8</v>
      </c>
      <c r="G50" s="31">
        <f>SUM(F50:F52)</f>
        <v>29</v>
      </c>
    </row>
    <row r="51" spans="1:7" ht="16.5">
      <c r="A51" s="2">
        <v>39</v>
      </c>
      <c r="B51" s="3" t="s">
        <v>143</v>
      </c>
      <c r="C51" s="3" t="s">
        <v>144</v>
      </c>
      <c r="D51" s="2" t="s">
        <v>61</v>
      </c>
      <c r="E51" s="2">
        <v>1</v>
      </c>
      <c r="F51" s="4">
        <v>7</v>
      </c>
      <c r="G51" s="32"/>
    </row>
    <row r="52" spans="1:7" ht="16.5">
      <c r="A52" s="5">
        <v>40</v>
      </c>
      <c r="B52" s="6" t="s">
        <v>145</v>
      </c>
      <c r="C52" s="6" t="s">
        <v>146</v>
      </c>
      <c r="D52" s="5" t="s">
        <v>61</v>
      </c>
      <c r="E52" s="5">
        <v>1</v>
      </c>
      <c r="F52" s="7">
        <v>14</v>
      </c>
      <c r="G52" s="33"/>
    </row>
    <row r="53" spans="1:7">
      <c r="A53" s="19" t="s">
        <v>147</v>
      </c>
      <c r="B53" s="20"/>
      <c r="C53" s="20"/>
      <c r="D53" s="20"/>
      <c r="E53" s="20"/>
      <c r="F53" s="20"/>
      <c r="G53" s="20"/>
    </row>
    <row r="54" spans="1:7" ht="16.5">
      <c r="A54" s="2">
        <v>41</v>
      </c>
      <c r="B54" s="3" t="s">
        <v>148</v>
      </c>
      <c r="C54" s="3" t="s">
        <v>149</v>
      </c>
      <c r="D54" s="2" t="s">
        <v>150</v>
      </c>
      <c r="E54" s="2">
        <v>1</v>
      </c>
      <c r="F54" s="4">
        <v>4</v>
      </c>
      <c r="G54" s="26">
        <f>SUM(F54:F61)</f>
        <v>18</v>
      </c>
    </row>
    <row r="55" spans="1:7" ht="16.5">
      <c r="A55" s="5">
        <v>42</v>
      </c>
      <c r="B55" s="6" t="s">
        <v>151</v>
      </c>
      <c r="C55" s="6" t="s">
        <v>152</v>
      </c>
      <c r="D55" s="5" t="s">
        <v>150</v>
      </c>
      <c r="E55" s="5">
        <v>1</v>
      </c>
      <c r="F55" s="7">
        <v>2</v>
      </c>
      <c r="G55" s="27"/>
    </row>
    <row r="56" spans="1:7" ht="16.5">
      <c r="A56" s="2">
        <v>43</v>
      </c>
      <c r="B56" s="3" t="s">
        <v>153</v>
      </c>
      <c r="C56" s="3" t="s">
        <v>154</v>
      </c>
      <c r="D56" s="2" t="s">
        <v>150</v>
      </c>
      <c r="E56" s="2">
        <v>1</v>
      </c>
      <c r="F56" s="4">
        <v>2</v>
      </c>
      <c r="G56" s="28"/>
    </row>
    <row r="57" spans="1:7" ht="16.5">
      <c r="A57" s="5">
        <v>44</v>
      </c>
      <c r="B57" s="6" t="s">
        <v>155</v>
      </c>
      <c r="C57" s="6" t="s">
        <v>156</v>
      </c>
      <c r="D57" s="5" t="s">
        <v>150</v>
      </c>
      <c r="E57" s="5">
        <v>1</v>
      </c>
      <c r="F57" s="7">
        <v>2</v>
      </c>
      <c r="G57" s="27"/>
    </row>
    <row r="58" spans="1:7" ht="16.5">
      <c r="A58" s="2">
        <v>45</v>
      </c>
      <c r="B58" s="3" t="s">
        <v>157</v>
      </c>
      <c r="C58" s="3" t="s">
        <v>158</v>
      </c>
      <c r="D58" s="2" t="s">
        <v>150</v>
      </c>
      <c r="E58" s="2">
        <v>1</v>
      </c>
      <c r="F58" s="4">
        <v>2</v>
      </c>
      <c r="G58" s="28"/>
    </row>
    <row r="59" spans="1:7" ht="16.5">
      <c r="A59" s="5">
        <v>46</v>
      </c>
      <c r="B59" s="6" t="s">
        <v>159</v>
      </c>
      <c r="C59" s="6" t="s">
        <v>160</v>
      </c>
      <c r="D59" s="5" t="s">
        <v>150</v>
      </c>
      <c r="E59" s="5">
        <v>1</v>
      </c>
      <c r="F59" s="7">
        <v>2</v>
      </c>
      <c r="G59" s="27"/>
    </row>
    <row r="60" spans="1:7" ht="16.5">
      <c r="A60" s="2">
        <v>47</v>
      </c>
      <c r="B60" s="3" t="s">
        <v>161</v>
      </c>
      <c r="C60" s="3" t="s">
        <v>162</v>
      </c>
      <c r="D60" s="2" t="s">
        <v>150</v>
      </c>
      <c r="E60" s="2">
        <v>1</v>
      </c>
      <c r="F60" s="4">
        <v>2</v>
      </c>
      <c r="G60" s="28"/>
    </row>
    <row r="61" spans="1:7" ht="16.5">
      <c r="A61" s="5">
        <v>48</v>
      </c>
      <c r="B61" s="6" t="s">
        <v>163</v>
      </c>
      <c r="C61" s="6" t="s">
        <v>164</v>
      </c>
      <c r="D61" s="5" t="s">
        <v>150</v>
      </c>
      <c r="E61" s="5">
        <v>1</v>
      </c>
      <c r="F61" s="7">
        <v>2</v>
      </c>
      <c r="G61" s="29"/>
    </row>
    <row r="62" spans="1:7">
      <c r="A62" s="19" t="s">
        <v>165</v>
      </c>
      <c r="B62" s="20"/>
      <c r="C62" s="20"/>
      <c r="D62" s="20"/>
      <c r="E62" s="20"/>
      <c r="F62" s="20"/>
      <c r="G62" s="20"/>
    </row>
    <row r="63" spans="1:7" ht="16.5">
      <c r="A63" s="2">
        <v>49</v>
      </c>
      <c r="B63" s="3" t="s">
        <v>166</v>
      </c>
      <c r="C63" s="3" t="s">
        <v>167</v>
      </c>
      <c r="D63" s="2" t="s">
        <v>168</v>
      </c>
      <c r="E63" s="2">
        <v>1</v>
      </c>
      <c r="F63" s="4">
        <v>2</v>
      </c>
      <c r="G63" s="26">
        <f>SUM(F63:F66)</f>
        <v>8</v>
      </c>
    </row>
    <row r="64" spans="1:7" ht="16.5">
      <c r="A64" s="5">
        <v>50</v>
      </c>
      <c r="B64" s="6" t="s">
        <v>169</v>
      </c>
      <c r="C64" s="6" t="s">
        <v>170</v>
      </c>
      <c r="D64" s="5" t="s">
        <v>168</v>
      </c>
      <c r="E64" s="5">
        <v>1</v>
      </c>
      <c r="F64" s="7">
        <v>2</v>
      </c>
      <c r="G64" s="27"/>
    </row>
    <row r="65" spans="1:7" ht="16.5">
      <c r="A65" s="2">
        <v>51</v>
      </c>
      <c r="B65" s="3" t="s">
        <v>171</v>
      </c>
      <c r="C65" s="3" t="s">
        <v>172</v>
      </c>
      <c r="D65" s="2" t="s">
        <v>168</v>
      </c>
      <c r="E65" s="2">
        <v>1</v>
      </c>
      <c r="F65" s="4">
        <v>2</v>
      </c>
      <c r="G65" s="28"/>
    </row>
    <row r="66" spans="1:7" ht="16.5">
      <c r="A66" s="5">
        <v>52</v>
      </c>
      <c r="B66" s="6" t="s">
        <v>173</v>
      </c>
      <c r="C66" s="6" t="s">
        <v>174</v>
      </c>
      <c r="D66" s="5" t="s">
        <v>168</v>
      </c>
      <c r="E66" s="5">
        <v>1</v>
      </c>
      <c r="F66" s="7">
        <v>2</v>
      </c>
      <c r="G66" s="29"/>
    </row>
    <row r="67" spans="1:7" ht="18">
      <c r="A67" s="21" t="s">
        <v>42</v>
      </c>
      <c r="B67" s="22"/>
      <c r="C67" s="22"/>
      <c r="D67" s="22"/>
      <c r="E67" s="22"/>
      <c r="F67" s="22"/>
      <c r="G67" s="12">
        <f>SUM(G6:G66)</f>
        <v>256</v>
      </c>
    </row>
  </sheetData>
  <mergeCells count="23">
    <mergeCell ref="A49:G49"/>
    <mergeCell ref="A53:G53"/>
    <mergeCell ref="A62:G62"/>
    <mergeCell ref="A67:F67"/>
    <mergeCell ref="G6:G9"/>
    <mergeCell ref="G11:G19"/>
    <mergeCell ref="G21:G28"/>
    <mergeCell ref="G30:G32"/>
    <mergeCell ref="G34:G42"/>
    <mergeCell ref="G44:G46"/>
    <mergeCell ref="G50:G52"/>
    <mergeCell ref="G54:G61"/>
    <mergeCell ref="G63:G66"/>
    <mergeCell ref="A20:G20"/>
    <mergeCell ref="A29:G29"/>
    <mergeCell ref="A33:G33"/>
    <mergeCell ref="A43:G43"/>
    <mergeCell ref="A47:G47"/>
    <mergeCell ref="A1:G1"/>
    <mergeCell ref="A2:G2"/>
    <mergeCell ref="A3:G3"/>
    <mergeCell ref="A5:G5"/>
    <mergeCell ref="A10:G1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评估报价汇总</vt:lpstr>
      <vt:lpstr>详细报价清单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2026-06-08T09:57:00Z</dcterms:created>
  <dcterms:modified xsi:type="dcterms:W3CDTF">2026-06-09T01:45:15Z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EAFB140AD02647EEBEFCE30B5232E149_12</vt:lpwstr>
  </property>
  <property fmtid="{D5CDD505-2E9C-101B-9397-08002B2CF9AE}" pid="3" name="KSOProductBuildVer">
    <vt:lpwstr>2052-12.1.0.16120</vt:lpwstr>
  </property>
</Properties>
</file>