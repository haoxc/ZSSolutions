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F:\销售市场\徐安坚\大工\"/>
    </mc:Choice>
  </mc:AlternateContent>
  <xr:revisionPtr revIDLastSave="0" documentId="8_{CC83442C-696A-44D0-A3A9-FF7EE9F311B6}" xr6:coauthVersionLast="47" xr6:coauthVersionMax="47" xr10:uidLastSave="{00000000-0000-0000-0000-000000000000}"/>
  <bookViews>
    <workbookView xWindow="30" yWindow="750" windowWidth="19170" windowHeight="10770" tabRatio="686" xr2:uid="{00000000-000D-0000-FFFF-FFFF00000000}"/>
  </bookViews>
  <sheets>
    <sheet name="数字孪生平台开发版报价单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17" i="1"/>
  <c r="G16" i="1"/>
  <c r="G15" i="1"/>
  <c r="F15" i="1"/>
  <c r="G14" i="1"/>
  <c r="G13" i="1"/>
  <c r="G12" i="1"/>
  <c r="G11" i="1"/>
  <c r="G10" i="1"/>
  <c r="G9" i="1"/>
  <c r="F9" i="1"/>
  <c r="G8" i="1"/>
  <c r="G6" i="1"/>
</calcChain>
</file>

<file path=xl/sharedStrings.xml><?xml version="1.0" encoding="utf-8"?>
<sst xmlns="http://schemas.openxmlformats.org/spreadsheetml/2006/main" count="30" uniqueCount="30">
  <si>
    <t>数智化实践教学平台报价单</t>
  </si>
  <si>
    <t>序号</t>
  </si>
  <si>
    <t>产品模块</t>
  </si>
  <si>
    <t>详细说明</t>
  </si>
  <si>
    <t>数量</t>
  </si>
  <si>
    <t>单价</t>
  </si>
  <si>
    <t>总价</t>
  </si>
  <si>
    <t>服务</t>
  </si>
  <si>
    <t>三维建模服务</t>
  </si>
  <si>
    <t>三维定制建模</t>
  </si>
  <si>
    <t>压力机模型（处理模型）。</t>
  </si>
  <si>
    <t>项目开发服务</t>
  </si>
  <si>
    <t>平台基础与集成</t>
  </si>
  <si>
    <t>架构设计、数据库设计、权限体系、3D 引擎集成</t>
  </si>
  <si>
    <t>模型搭建与设计</t>
  </si>
  <si>
    <t>组件树管理，支持父子级关系、坐标变换。
3. 特征运动
o 往复运动：刨床、冲床、往复导轨
o 间歇运动：棘轮、槽轮、自动送料机构</t>
  </si>
  <si>
    <t>仿真与虚拟调试</t>
  </si>
  <si>
    <t>驱动与电机配置：将电机模型与机械部件关联，电机转动驱动部件运动、实时显示电机运行参数
虚实联动与虚拟调试：PLC/传感器数据实时同步至虚拟模型、虚拟平台下发指令控制物理设备、在虚拟环境中验证控制逻辑后。给定末端轨迹，计算关节驱动参数</t>
  </si>
  <si>
    <t>工业通讯协议</t>
  </si>
  <si>
    <t>MQTT</t>
  </si>
  <si>
    <t>算法与数据管理</t>
  </si>
  <si>
    <t>文件解析、多组实验数据对比，支持理论值对比</t>
  </si>
  <si>
    <t>数据可视化与监控</t>
  </si>
  <si>
    <t>支持常用图表类型、实时展示多路动态数据、在3D模型上叠加数据标签、轨迹</t>
  </si>
  <si>
    <t>接口对接</t>
  </si>
  <si>
    <t>测试</t>
  </si>
  <si>
    <t>服务合计</t>
  </si>
  <si>
    <t>总计</t>
  </si>
  <si>
    <t>税率</t>
  </si>
  <si>
    <t>报价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</si>
</sst>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&quot;项&quot;"/>
    <numFmt numFmtId="179" formatCode="\¥#,##0;\¥\-#,##0"/>
    <numFmt numFmtId="180" formatCode="&quot;￥&quot;#,##0;[Red]&quot;￥&quot;#,##0"/>
  </numFmts>
  <fonts count="14" x14ac:knownFonts="1">
    <font>
      <sz val="11"/>
      <color theme="1"/>
      <name val="等线"/>
      <charset val="134"/>
      <scheme val="minor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theme="3"/>
      <name val="微软雅黑"/>
      <family val="2"/>
      <charset val="134"/>
    </font>
    <font>
      <b/>
      <sz val="16"/>
      <color theme="4" tint="-0.499984740745262"/>
      <name val="微软雅黑"/>
      <family val="2"/>
      <charset val="134"/>
    </font>
    <font>
      <b/>
      <sz val="12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</cellStyleXfs>
  <cellXfs count="53">
    <xf numFmtId="0" fontId="0" fillId="0" borderId="0" xfId="0"/>
    <xf numFmtId="0" fontId="1" fillId="0" borderId="0" xfId="3" applyFont="1" applyAlignment="1">
      <alignment vertical="center" wrapText="1"/>
    </xf>
    <xf numFmtId="0" fontId="2" fillId="0" borderId="0" xfId="3" applyFont="1" applyAlignment="1">
      <alignment horizontal="center" vertical="center" wrapText="1"/>
    </xf>
    <xf numFmtId="0" fontId="1" fillId="0" borderId="0" xfId="3" applyFont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2" fillId="3" borderId="14" xfId="3" applyFont="1" applyFill="1" applyBorder="1" applyAlignment="1">
      <alignment horizontal="center" vertical="center" wrapText="1"/>
    </xf>
    <xf numFmtId="0" fontId="6" fillId="0" borderId="14" xfId="3" applyFont="1" applyBorder="1" applyAlignment="1">
      <alignment horizontal="left" vertical="center" wrapText="1"/>
    </xf>
    <xf numFmtId="0" fontId="1" fillId="0" borderId="15" xfId="3" applyFont="1" applyBorder="1" applyAlignment="1">
      <alignment vertical="center" wrapText="1"/>
    </xf>
    <xf numFmtId="178" fontId="7" fillId="3" borderId="15" xfId="2" applyNumberFormat="1" applyFont="1" applyFill="1" applyBorder="1" applyAlignment="1">
      <alignment horizontal="center" vertical="center" wrapText="1"/>
    </xf>
    <xf numFmtId="179" fontId="2" fillId="0" borderId="15" xfId="0" applyNumberFormat="1" applyFont="1" applyBorder="1" applyAlignment="1">
      <alignment horizontal="center" vertical="center" wrapText="1"/>
    </xf>
    <xf numFmtId="179" fontId="8" fillId="0" borderId="16" xfId="0" applyNumberFormat="1" applyFont="1" applyBorder="1" applyAlignment="1">
      <alignment horizontal="center" vertical="center" wrapText="1"/>
    </xf>
    <xf numFmtId="0" fontId="1" fillId="0" borderId="20" xfId="3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4" xfId="3" applyFont="1" applyBorder="1" applyAlignment="1">
      <alignment vertical="center" wrapText="1"/>
    </xf>
    <xf numFmtId="179" fontId="2" fillId="0" borderId="14" xfId="3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179" fontId="2" fillId="0" borderId="14" xfId="1" applyNumberFormat="1" applyFont="1" applyBorder="1" applyAlignment="1">
      <alignment horizontal="center" vertical="center" wrapText="1"/>
    </xf>
    <xf numFmtId="0" fontId="1" fillId="0" borderId="21" xfId="3" applyFont="1" applyBorder="1" applyAlignment="1">
      <alignment vertical="center" wrapText="1"/>
    </xf>
    <xf numFmtId="179" fontId="2" fillId="0" borderId="14" xfId="0" applyNumberFormat="1" applyFont="1" applyBorder="1" applyAlignment="1">
      <alignment horizontal="center" vertical="center" wrapText="1"/>
    </xf>
    <xf numFmtId="179" fontId="2" fillId="0" borderId="22" xfId="0" applyNumberFormat="1" applyFont="1" applyBorder="1" applyAlignment="1">
      <alignment horizontal="center" vertical="center" wrapText="1"/>
    </xf>
    <xf numFmtId="0" fontId="2" fillId="2" borderId="25" xfId="3" applyFont="1" applyFill="1" applyBorder="1" applyAlignment="1">
      <alignment vertical="center" wrapText="1"/>
    </xf>
    <xf numFmtId="179" fontId="2" fillId="2" borderId="26" xfId="3" applyNumberFormat="1" applyFont="1" applyFill="1" applyBorder="1" applyAlignment="1">
      <alignment vertical="center" wrapText="1"/>
    </xf>
    <xf numFmtId="179" fontId="10" fillId="4" borderId="28" xfId="1" applyNumberFormat="1" applyFont="1" applyFill="1" applyBorder="1" applyAlignment="1">
      <alignment vertical="center" wrapText="1"/>
    </xf>
    <xf numFmtId="9" fontId="10" fillId="4" borderId="32" xfId="3" applyNumberFormat="1" applyFont="1" applyFill="1" applyBorder="1" applyAlignment="1">
      <alignment horizontal="center" vertical="center" wrapText="1"/>
    </xf>
    <xf numFmtId="180" fontId="10" fillId="4" borderId="36" xfId="3" applyNumberFormat="1" applyFont="1" applyFill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5" fillId="0" borderId="7" xfId="3" applyFont="1" applyBorder="1" applyAlignment="1">
      <alignment horizontal="left" vertical="center" wrapText="1"/>
    </xf>
    <xf numFmtId="0" fontId="5" fillId="0" borderId="8" xfId="3" applyFont="1" applyBorder="1" applyAlignment="1">
      <alignment horizontal="left" vertical="center" wrapText="1"/>
    </xf>
    <xf numFmtId="0" fontId="5" fillId="0" borderId="9" xfId="3" applyFont="1" applyBorder="1" applyAlignment="1">
      <alignment horizontal="left" vertical="center" wrapText="1"/>
    </xf>
    <xf numFmtId="0" fontId="5" fillId="0" borderId="10" xfId="3" applyFont="1" applyBorder="1" applyAlignment="1">
      <alignment horizontal="center" vertical="center" wrapText="1"/>
    </xf>
    <xf numFmtId="0" fontId="5" fillId="0" borderId="11" xfId="3" applyFont="1" applyBorder="1" applyAlignment="1">
      <alignment horizontal="center" vertical="center" wrapText="1"/>
    </xf>
    <xf numFmtId="0" fontId="5" fillId="0" borderId="12" xfId="3" applyFont="1" applyBorder="1" applyAlignment="1">
      <alignment horizontal="center" vertical="center" wrapText="1"/>
    </xf>
    <xf numFmtId="0" fontId="5" fillId="0" borderId="13" xfId="3" applyFont="1" applyBorder="1" applyAlignment="1">
      <alignment horizontal="center" vertical="center" wrapText="1"/>
    </xf>
    <xf numFmtId="0" fontId="9" fillId="3" borderId="17" xfId="3" applyFont="1" applyFill="1" applyBorder="1" applyAlignment="1">
      <alignment horizontal="center" vertical="center" wrapText="1"/>
    </xf>
    <xf numFmtId="0" fontId="9" fillId="3" borderId="18" xfId="3" applyFont="1" applyFill="1" applyBorder="1" applyAlignment="1">
      <alignment horizontal="center" vertical="center" wrapText="1"/>
    </xf>
    <xf numFmtId="0" fontId="9" fillId="3" borderId="19" xfId="3" applyFont="1" applyFill="1" applyBorder="1" applyAlignment="1">
      <alignment horizontal="center" vertical="center" wrapText="1"/>
    </xf>
    <xf numFmtId="0" fontId="9" fillId="2" borderId="23" xfId="3" applyFont="1" applyFill="1" applyBorder="1" applyAlignment="1">
      <alignment horizontal="center" vertical="center" wrapText="1"/>
    </xf>
    <xf numFmtId="0" fontId="9" fillId="2" borderId="24" xfId="3" applyFont="1" applyFill="1" applyBorder="1" applyAlignment="1">
      <alignment horizontal="center" vertical="center" wrapText="1"/>
    </xf>
    <xf numFmtId="0" fontId="10" fillId="4" borderId="27" xfId="1" applyFont="1" applyFill="1" applyBorder="1" applyAlignment="1">
      <alignment horizontal="right" vertical="center" wrapText="1"/>
    </xf>
    <xf numFmtId="0" fontId="10" fillId="4" borderId="21" xfId="1" applyFont="1" applyFill="1" applyBorder="1" applyAlignment="1">
      <alignment horizontal="right" vertical="center" wrapText="1"/>
    </xf>
    <xf numFmtId="0" fontId="10" fillId="4" borderId="29" xfId="1" applyFont="1" applyFill="1" applyBorder="1" applyAlignment="1">
      <alignment horizontal="right" vertical="center" wrapText="1"/>
    </xf>
    <xf numFmtId="0" fontId="10" fillId="4" borderId="30" xfId="1" applyFont="1" applyFill="1" applyBorder="1" applyAlignment="1">
      <alignment horizontal="right" vertical="center" wrapText="1"/>
    </xf>
    <xf numFmtId="0" fontId="10" fillId="4" borderId="31" xfId="1" applyFont="1" applyFill="1" applyBorder="1" applyAlignment="1">
      <alignment horizontal="right" vertical="center" wrapText="1"/>
    </xf>
    <xf numFmtId="0" fontId="10" fillId="4" borderId="33" xfId="1" applyFont="1" applyFill="1" applyBorder="1" applyAlignment="1">
      <alignment horizontal="right" vertical="center" wrapText="1"/>
    </xf>
    <xf numFmtId="0" fontId="10" fillId="4" borderId="34" xfId="1" applyFont="1" applyFill="1" applyBorder="1" applyAlignment="1">
      <alignment horizontal="right" vertical="center" wrapText="1"/>
    </xf>
    <xf numFmtId="0" fontId="10" fillId="4" borderId="35" xfId="1" applyFont="1" applyFill="1" applyBorder="1" applyAlignment="1">
      <alignment horizontal="right" vertical="center" wrapText="1"/>
    </xf>
  </cellXfs>
  <cellStyles count="4">
    <cellStyle name="常规" xfId="0" builtinId="0"/>
    <cellStyle name="常规 2" xfId="1" xr:uid="{00000000-0005-0000-0000-000031000000}"/>
    <cellStyle name="常规 3" xfId="2" xr:uid="{00000000-0005-0000-0000-000032000000}"/>
    <cellStyle name="常规 5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9"/>
  <sheetViews>
    <sheetView tabSelected="1" zoomScale="85" zoomScaleNormal="85" workbookViewId="0">
      <selection activeCell="D12" sqref="D12"/>
    </sheetView>
  </sheetViews>
  <sheetFormatPr defaultColWidth="9" defaultRowHeight="16.5" x14ac:dyDescent="0.2"/>
  <cols>
    <col min="1" max="1" width="4.625" style="1" customWidth="1"/>
    <col min="2" max="2" width="9.25" style="2" customWidth="1"/>
    <col min="3" max="3" width="22" style="3" customWidth="1"/>
    <col min="4" max="4" width="80.75" style="1" customWidth="1"/>
    <col min="5" max="5" width="12.375" style="3" customWidth="1"/>
    <col min="6" max="6" width="12.875" style="3" customWidth="1"/>
    <col min="7" max="7" width="14.375" style="3" customWidth="1"/>
    <col min="8" max="16384" width="9" style="1"/>
  </cols>
  <sheetData>
    <row r="1" spans="2:9" x14ac:dyDescent="0.2">
      <c r="C1" s="29"/>
      <c r="D1" s="29"/>
      <c r="E1" s="29"/>
      <c r="F1" s="29"/>
      <c r="G1" s="29"/>
    </row>
    <row r="2" spans="2:9" ht="22.5" x14ac:dyDescent="0.2">
      <c r="B2" s="30" t="s">
        <v>0</v>
      </c>
      <c r="C2" s="31"/>
      <c r="D2" s="31"/>
      <c r="E2" s="31"/>
      <c r="F2" s="31"/>
      <c r="G2" s="32"/>
    </row>
    <row r="3" spans="2:9" ht="18" x14ac:dyDescent="0.2">
      <c r="B3" s="4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7" t="s">
        <v>6</v>
      </c>
    </row>
    <row r="4" spans="2:9" ht="18" x14ac:dyDescent="0.2">
      <c r="B4" s="33" t="s">
        <v>7</v>
      </c>
      <c r="C4" s="34"/>
      <c r="D4" s="34"/>
      <c r="E4" s="34"/>
      <c r="F4" s="34"/>
      <c r="G4" s="35"/>
    </row>
    <row r="5" spans="2:9" ht="18" x14ac:dyDescent="0.2">
      <c r="B5" s="36" t="s">
        <v>8</v>
      </c>
      <c r="C5" s="37"/>
      <c r="D5" s="38"/>
      <c r="E5" s="38"/>
      <c r="F5" s="38"/>
      <c r="G5" s="39"/>
    </row>
    <row r="6" spans="2:9" x14ac:dyDescent="0.2">
      <c r="B6" s="8">
        <v>1</v>
      </c>
      <c r="C6" s="9" t="s">
        <v>9</v>
      </c>
      <c r="D6" s="10" t="s">
        <v>10</v>
      </c>
      <c r="E6" s="11">
        <v>1</v>
      </c>
      <c r="F6" s="12">
        <v>5000</v>
      </c>
      <c r="G6" s="13">
        <f>F6*E6</f>
        <v>5000</v>
      </c>
    </row>
    <row r="7" spans="2:9" x14ac:dyDescent="0.2">
      <c r="B7" s="40" t="s">
        <v>11</v>
      </c>
      <c r="C7" s="41"/>
      <c r="D7" s="41"/>
      <c r="E7" s="41"/>
      <c r="F7" s="41"/>
      <c r="G7" s="42"/>
    </row>
    <row r="8" spans="2:9" x14ac:dyDescent="0.2">
      <c r="B8" s="14">
        <v>1</v>
      </c>
      <c r="C8" s="15" t="s">
        <v>12</v>
      </c>
      <c r="D8" s="16" t="s">
        <v>13</v>
      </c>
      <c r="E8" s="11">
        <v>1</v>
      </c>
      <c r="F8" s="12">
        <v>35000</v>
      </c>
      <c r="G8" s="13">
        <f t="shared" ref="G8:G15" si="0">F8*E8</f>
        <v>35000</v>
      </c>
    </row>
    <row r="9" spans="2:9" ht="66" x14ac:dyDescent="0.2">
      <c r="B9" s="14">
        <v>2</v>
      </c>
      <c r="C9" s="15" t="s">
        <v>14</v>
      </c>
      <c r="D9" s="16" t="s">
        <v>15</v>
      </c>
      <c r="E9" s="11">
        <v>1</v>
      </c>
      <c r="F9" s="12">
        <f>20000</f>
        <v>20000</v>
      </c>
      <c r="G9" s="13">
        <f t="shared" si="0"/>
        <v>20000</v>
      </c>
    </row>
    <row r="10" spans="2:9" ht="49.5" x14ac:dyDescent="0.2">
      <c r="B10" s="14">
        <v>3</v>
      </c>
      <c r="C10" s="17" t="s">
        <v>16</v>
      </c>
      <c r="D10" s="17" t="s">
        <v>17</v>
      </c>
      <c r="E10" s="11">
        <v>1</v>
      </c>
      <c r="F10" s="18">
        <v>38000</v>
      </c>
      <c r="G10" s="13">
        <f t="shared" si="0"/>
        <v>38000</v>
      </c>
    </row>
    <row r="11" spans="2:9" x14ac:dyDescent="0.2">
      <c r="B11" s="14">
        <v>5</v>
      </c>
      <c r="C11" s="9" t="s">
        <v>18</v>
      </c>
      <c r="D11" s="19" t="s">
        <v>19</v>
      </c>
      <c r="E11" s="11">
        <v>1</v>
      </c>
      <c r="F11" s="20">
        <v>10000</v>
      </c>
      <c r="G11" s="13">
        <f t="shared" si="0"/>
        <v>10000</v>
      </c>
      <c r="I11" s="21"/>
    </row>
    <row r="12" spans="2:9" x14ac:dyDescent="0.2">
      <c r="B12" s="14">
        <v>6</v>
      </c>
      <c r="C12" s="9" t="s">
        <v>20</v>
      </c>
      <c r="D12" s="17" t="s">
        <v>21</v>
      </c>
      <c r="E12" s="11">
        <v>1</v>
      </c>
      <c r="F12" s="22">
        <v>30000</v>
      </c>
      <c r="G12" s="13">
        <f t="shared" si="0"/>
        <v>30000</v>
      </c>
    </row>
    <row r="13" spans="2:9" x14ac:dyDescent="0.2">
      <c r="B13" s="14">
        <v>7</v>
      </c>
      <c r="C13" s="9" t="s">
        <v>22</v>
      </c>
      <c r="D13" s="17" t="s">
        <v>23</v>
      </c>
      <c r="E13" s="11">
        <v>1</v>
      </c>
      <c r="F13" s="23">
        <v>10000</v>
      </c>
      <c r="G13" s="13">
        <f t="shared" si="0"/>
        <v>10000</v>
      </c>
    </row>
    <row r="14" spans="2:9" x14ac:dyDescent="0.2">
      <c r="B14" s="14">
        <v>8</v>
      </c>
      <c r="C14" s="9" t="s">
        <v>24</v>
      </c>
      <c r="D14" s="17"/>
      <c r="E14" s="11">
        <v>1</v>
      </c>
      <c r="F14" s="23">
        <v>2000</v>
      </c>
      <c r="G14" s="13">
        <f t="shared" si="0"/>
        <v>2000</v>
      </c>
    </row>
    <row r="15" spans="2:9" x14ac:dyDescent="0.2">
      <c r="B15" s="14">
        <v>9</v>
      </c>
      <c r="C15" s="9" t="s">
        <v>25</v>
      </c>
      <c r="D15" s="17"/>
      <c r="E15" s="11">
        <v>1</v>
      </c>
      <c r="F15" s="23">
        <f>5000</f>
        <v>5000</v>
      </c>
      <c r="G15" s="13">
        <f t="shared" si="0"/>
        <v>5000</v>
      </c>
    </row>
    <row r="16" spans="2:9" x14ac:dyDescent="0.2">
      <c r="B16" s="43" t="s">
        <v>26</v>
      </c>
      <c r="C16" s="44"/>
      <c r="D16" s="24"/>
      <c r="E16" s="24"/>
      <c r="F16" s="24"/>
      <c r="G16" s="25">
        <f>SUM(G4:G15)</f>
        <v>155000</v>
      </c>
    </row>
    <row r="17" spans="2:7" ht="21" x14ac:dyDescent="0.2">
      <c r="B17" s="45" t="s">
        <v>27</v>
      </c>
      <c r="C17" s="46"/>
      <c r="D17" s="46"/>
      <c r="E17" s="46"/>
      <c r="F17" s="46"/>
      <c r="G17" s="26">
        <f>G16</f>
        <v>155000</v>
      </c>
    </row>
    <row r="18" spans="2:7" ht="21" x14ac:dyDescent="0.2">
      <c r="B18" s="47" t="s">
        <v>28</v>
      </c>
      <c r="C18" s="48"/>
      <c r="D18" s="48"/>
      <c r="E18" s="48"/>
      <c r="F18" s="49"/>
      <c r="G18" s="27">
        <v>0.06</v>
      </c>
    </row>
    <row r="19" spans="2:7" ht="21" x14ac:dyDescent="0.2">
      <c r="B19" s="50" t="s">
        <v>29</v>
      </c>
      <c r="C19" s="51"/>
      <c r="D19" s="51"/>
      <c r="E19" s="51"/>
      <c r="F19" s="52"/>
      <c r="G19" s="28">
        <f>G17/0.94</f>
        <v>164893.61702127699</v>
      </c>
    </row>
  </sheetData>
  <mergeCells count="9">
    <mergeCell ref="B16:C16"/>
    <mergeCell ref="B17:F17"/>
    <mergeCell ref="B18:F18"/>
    <mergeCell ref="B19:F19"/>
    <mergeCell ref="C1:G1"/>
    <mergeCell ref="B2:G2"/>
    <mergeCell ref="B4:G4"/>
    <mergeCell ref="B5:G5"/>
    <mergeCell ref="B7:G7"/>
  </mergeCells>
  <phoneticPr fontId="1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数字孪生平台开发版报价单1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ZZC</dc:creator>
  <cp:lastModifiedBy>jxt jxt</cp:lastModifiedBy>
  <dcterms:created xsi:type="dcterms:W3CDTF">2015-06-05T18:19:00Z</dcterms:created>
  <dcterms:modified xsi:type="dcterms:W3CDTF">2026-04-22T03:09:21Z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4753313D5609436D9FE3D5CD0924A47D_13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