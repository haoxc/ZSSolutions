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表1-电网电价计费" sheetId="1" r:id="rId1"/>
    <sheet name="表2-用电数据统计1500" sheetId="2" r:id="rId2"/>
    <sheet name="表3-用电数据统计500" sheetId="3" r:id="rId3"/>
    <sheet name="表4-储能电站收益分析" sheetId="4" r:id="rId4"/>
    <sheet name="表5-光伏电站收益分析" sheetId="5" r:id="rId5"/>
    <sheet name="表6-光储综合收益分析" sheetId="6" r:id="rId6"/>
  </sheets>
  <calcPr calcId="144525"/>
</workbook>
</file>

<file path=xl/sharedStrings.xml><?xml version="1.0" encoding="utf-8"?>
<sst xmlns="http://schemas.openxmlformats.org/spreadsheetml/2006/main" count="219" uniqueCount="152">
  <si>
    <r>
      <rPr>
        <b/>
        <sz val="20"/>
        <color theme="0"/>
        <rFont val="宋体"/>
        <charset val="134"/>
      </rPr>
      <t xml:space="preserve">江苏省工业用电峰谷分时销售电价表
                              </t>
    </r>
    <r>
      <rPr>
        <b/>
        <sz val="12"/>
        <color theme="0"/>
        <rFont val="宋体"/>
        <charset val="134"/>
      </rPr>
      <t>苏发改工价[2020] 1183号</t>
    </r>
    <r>
      <rPr>
        <b/>
        <sz val="20"/>
        <color theme="0"/>
        <rFont val="宋体"/>
        <charset val="134"/>
      </rPr>
      <t xml:space="preserve">
</t>
    </r>
    <r>
      <rPr>
        <b/>
        <sz val="12"/>
        <color theme="0"/>
        <rFont val="宋体"/>
        <charset val="134"/>
      </rPr>
      <t>自2021年1月1日起执行                                      单位：元/千瓦时</t>
    </r>
  </si>
  <si>
    <r>
      <rPr>
        <b/>
        <sz val="16"/>
        <rFont val="宋体"/>
        <charset val="134"/>
      </rPr>
      <t xml:space="preserve">             时段 
      价格 
类别       </t>
    </r>
    <r>
      <rPr>
        <b/>
        <sz val="9"/>
        <rFont val="宋体"/>
        <charset val="134"/>
      </rPr>
      <t>（元/千瓦时）</t>
    </r>
  </si>
  <si>
    <r>
      <rPr>
        <b/>
        <sz val="12"/>
        <rFont val="宋体"/>
        <charset val="134"/>
      </rPr>
      <t>高峰</t>
    </r>
    <r>
      <rPr>
        <sz val="12"/>
        <rFont val="宋体"/>
        <charset val="134"/>
      </rPr>
      <t xml:space="preserve">
8:00-12:00
17:00-21:00</t>
    </r>
  </si>
  <si>
    <r>
      <rPr>
        <b/>
        <sz val="12"/>
        <rFont val="宋体"/>
        <charset val="134"/>
      </rPr>
      <t>平段</t>
    </r>
    <r>
      <rPr>
        <sz val="12"/>
        <rFont val="宋体"/>
        <charset val="134"/>
      </rPr>
      <t xml:space="preserve">
12：00-17:00
21:00-24:00</t>
    </r>
  </si>
  <si>
    <r>
      <rPr>
        <b/>
        <sz val="12"/>
        <rFont val="宋体"/>
        <charset val="134"/>
      </rPr>
      <t>低谷</t>
    </r>
    <r>
      <rPr>
        <sz val="12"/>
        <rFont val="宋体"/>
        <charset val="134"/>
      </rPr>
      <t xml:space="preserve">
0:00-8:00</t>
    </r>
  </si>
  <si>
    <t>峰谷差价</t>
  </si>
  <si>
    <t>大功率用电</t>
  </si>
  <si>
    <t>1-10千伏</t>
  </si>
  <si>
    <t>20-35千伏以下</t>
  </si>
  <si>
    <t>35-110千伏以下</t>
  </si>
  <si>
    <t>110千伏</t>
  </si>
  <si>
    <t>220千伏及以上</t>
  </si>
  <si>
    <t>100千伏安
（千瓦）及
以上普通工
业用电</t>
  </si>
  <si>
    <t>不满1千伏</t>
  </si>
  <si>
    <t>表2-用电数据统计1500</t>
  </si>
  <si>
    <r>
      <rPr>
        <sz val="10"/>
        <rFont val="Times New Roman"/>
        <charset val="134"/>
      </rPr>
      <t>19</t>
    </r>
    <r>
      <rPr>
        <sz val="10"/>
        <rFont val="宋体"/>
        <charset val="134"/>
      </rPr>
      <t>年电价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</si>
  <si>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每周工作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天数（</t>
    </r>
    <r>
      <rPr>
        <sz val="10"/>
        <rFont val="Times New Roman"/>
        <charset val="134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</si>
  <si>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峰段工作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时间</t>
    </r>
    <r>
      <rPr>
        <sz val="10"/>
        <rFont val="Times New Roman"/>
        <charset val="134"/>
      </rPr>
      <t>(h)</t>
    </r>
  </si>
  <si>
    <r>
      <rPr>
        <sz val="10"/>
        <rFont val="宋体"/>
        <charset val="134"/>
      </rPr>
      <t>进厂电压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等级</t>
    </r>
    <r>
      <rPr>
        <sz val="10"/>
        <rFont val="Times New Roman"/>
        <charset val="134"/>
      </rPr>
      <t>(kV)</t>
    </r>
  </si>
  <si>
    <r>
      <rPr>
        <sz val="10"/>
        <rFont val="Times New Roman"/>
        <charset val="134"/>
      </rPr>
      <t>20</t>
    </r>
    <r>
      <rPr>
        <sz val="10"/>
        <rFont val="宋体"/>
        <charset val="134"/>
      </rPr>
      <t>年电价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</si>
  <si>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每月工作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天数（</t>
    </r>
    <r>
      <rPr>
        <sz val="10"/>
        <rFont val="Times New Roman"/>
        <charset val="134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</si>
  <si>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平段工作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时间</t>
    </r>
    <r>
      <rPr>
        <sz val="10"/>
        <rFont val="Times New Roman"/>
        <charset val="134"/>
      </rPr>
      <t>(h)</t>
    </r>
  </si>
  <si>
    <r>
      <rPr>
        <sz val="10"/>
        <rFont val="宋体"/>
        <charset val="134"/>
      </rPr>
      <t>基本电费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单价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/kW)</t>
    </r>
  </si>
  <si>
    <r>
      <rPr>
        <sz val="10"/>
        <rFont val="Times New Roman"/>
        <charset val="134"/>
      </rPr>
      <t>21</t>
    </r>
    <r>
      <rPr>
        <sz val="10"/>
        <rFont val="宋体"/>
        <charset val="134"/>
      </rPr>
      <t>年电价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元</t>
    </r>
    <r>
      <rPr>
        <sz val="10"/>
        <rFont val="Times New Roman"/>
        <charset val="134"/>
      </rPr>
      <t>)</t>
    </r>
  </si>
  <si>
    <r>
      <rPr>
        <sz val="10"/>
        <rFont val="宋体"/>
        <charset val="134"/>
      </rPr>
      <t>谷段工作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时间</t>
    </r>
    <r>
      <rPr>
        <sz val="10"/>
        <rFont val="Times New Roman"/>
        <charset val="134"/>
      </rPr>
      <t>(h)</t>
    </r>
  </si>
  <si>
    <r>
      <rPr>
        <sz val="10"/>
        <rFont val="宋体"/>
        <charset val="134"/>
      </rPr>
      <t>变压器容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量</t>
    </r>
    <r>
      <rPr>
        <sz val="10"/>
        <rFont val="Times New Roman"/>
        <charset val="134"/>
      </rPr>
      <t>(kVA</t>
    </r>
    <r>
      <rPr>
        <sz val="10"/>
        <rFont val="宋体"/>
        <charset val="134"/>
      </rPr>
      <t>）</t>
    </r>
  </si>
  <si>
    <r>
      <rPr>
        <sz val="10"/>
        <rFont val="Times New Roman"/>
        <charset val="134"/>
      </rPr>
      <t xml:space="preserve">        </t>
    </r>
    <r>
      <rPr>
        <sz val="10"/>
        <rFont val="宋体"/>
        <charset val="134"/>
      </rPr>
      <t>项目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月份</t>
    </r>
    <r>
      <rPr>
        <sz val="10"/>
        <rFont val="Times New Roman"/>
        <charset val="134"/>
      </rPr>
      <t xml:space="preserve">   </t>
    </r>
  </si>
  <si>
    <t>峰（度）</t>
  </si>
  <si>
    <t>平（度）</t>
  </si>
  <si>
    <t>谷（度）</t>
  </si>
  <si>
    <t>总（度）</t>
  </si>
  <si>
    <t>峰（元）</t>
  </si>
  <si>
    <t>平（元）</t>
  </si>
  <si>
    <t>谷（元）</t>
  </si>
  <si>
    <t>总（元）</t>
  </si>
  <si>
    <r>
      <rPr>
        <sz val="10"/>
        <rFont val="宋体"/>
        <charset val="134"/>
      </rPr>
      <t>计费容量</t>
    </r>
    <r>
      <rPr>
        <sz val="10"/>
        <rFont val="Times New Roman"/>
        <charset val="134"/>
      </rPr>
      <t xml:space="preserve">
(kVA)</t>
    </r>
  </si>
  <si>
    <r>
      <rPr>
        <sz val="10"/>
        <rFont val="宋体"/>
        <charset val="134"/>
      </rPr>
      <t>基本电费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（元）</t>
    </r>
  </si>
  <si>
    <t>总电费（元）</t>
  </si>
  <si>
    <r>
      <rPr>
        <sz val="10"/>
        <rFont val="宋体"/>
        <charset val="134"/>
      </rPr>
      <t>峰平均功率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kW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</si>
  <si>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平均平功率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kW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</si>
  <si>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谷平均功率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kW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</si>
  <si>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计费容量与峰段功率差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kW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</si>
  <si>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计费容量与平段功率差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kW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</si>
  <si>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计费容量与谷段功率差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kW</t>
    </r>
    <r>
      <rPr>
        <sz val="10"/>
        <rFont val="宋体"/>
        <charset val="134"/>
      </rPr>
      <t>）</t>
    </r>
  </si>
  <si>
    <t>月平均</t>
  </si>
  <si>
    <t>日平均</t>
  </si>
  <si>
    <t>功率</t>
  </si>
  <si>
    <t>表3-用电数据统计500</t>
  </si>
  <si>
    <t>表4-储能电站收益分析</t>
  </si>
  <si>
    <t>序号</t>
  </si>
  <si>
    <t>项目 </t>
  </si>
  <si>
    <r>
      <rPr>
        <b/>
        <sz val="12"/>
        <rFont val="宋体"/>
        <charset val="134"/>
      </rPr>
      <t>内容</t>
    </r>
    <r>
      <rPr>
        <b/>
        <sz val="10"/>
        <rFont val="宋体"/>
        <charset val="134"/>
      </rPr>
      <t> </t>
    </r>
  </si>
  <si>
    <r>
      <rPr>
        <b/>
        <sz val="12"/>
        <rFont val="宋体"/>
        <charset val="134"/>
      </rPr>
      <t>单位</t>
    </r>
    <r>
      <rPr>
        <b/>
        <sz val="10"/>
        <rFont val="宋体"/>
        <charset val="134"/>
      </rPr>
      <t> </t>
    </r>
  </si>
  <si>
    <r>
      <rPr>
        <b/>
        <sz val="12"/>
        <rFont val="宋体"/>
        <charset val="134"/>
      </rPr>
      <t>数量</t>
    </r>
    <r>
      <rPr>
        <b/>
        <sz val="10"/>
        <rFont val="宋体"/>
        <charset val="134"/>
      </rPr>
      <t> </t>
    </r>
  </si>
  <si>
    <r>
      <rPr>
        <b/>
        <sz val="12"/>
        <rFont val="宋体"/>
        <charset val="134"/>
      </rPr>
      <t>备注</t>
    </r>
    <r>
      <rPr>
        <b/>
        <sz val="10"/>
        <rFont val="宋体"/>
        <charset val="134"/>
      </rPr>
      <t> </t>
    </r>
  </si>
  <si>
    <t>储能系统放电功率</t>
  </si>
  <si>
    <t>kW</t>
  </si>
  <si>
    <t>0.15</t>
  </si>
  <si>
    <t>储能系统放电时间</t>
  </si>
  <si>
    <t>h</t>
  </si>
  <si>
    <t>总储能容量</t>
  </si>
  <si>
    <t>kWh</t>
  </si>
  <si>
    <t>有效容量</t>
  </si>
  <si>
    <t>90%</t>
  </si>
  <si>
    <t>系统功耗</t>
  </si>
  <si>
    <t>耗电功率</t>
  </si>
  <si>
    <t>6</t>
  </si>
  <si>
    <t>耗电量</t>
  </si>
  <si>
    <t>度</t>
  </si>
  <si>
    <t>0.5</t>
  </si>
  <si>
    <t>峰</t>
  </si>
  <si>
    <r>
      <rPr>
        <sz val="12"/>
        <rFont val="宋体"/>
        <charset val="134"/>
      </rPr>
      <t>元</t>
    </r>
    <r>
      <rPr>
        <sz val="12"/>
        <rFont val="Arial"/>
        <charset val="134"/>
      </rPr>
      <t>/</t>
    </r>
    <r>
      <rPr>
        <sz val="12"/>
        <rFont val="宋体"/>
        <charset val="134"/>
      </rPr>
      <t>度</t>
    </r>
  </si>
  <si>
    <t>平</t>
  </si>
  <si>
    <t>谷</t>
  </si>
  <si>
    <t>用电成本</t>
  </si>
  <si>
    <t>充电成本</t>
  </si>
  <si>
    <t>元</t>
  </si>
  <si>
    <t>系统消耗</t>
  </si>
  <si>
    <t>0.60</t>
  </si>
  <si>
    <t>系统效率</t>
  </si>
  <si>
    <t>95%</t>
  </si>
  <si>
    <t>项</t>
  </si>
  <si>
    <t>系统容量年衰减率</t>
  </si>
  <si>
    <t>年</t>
  </si>
  <si>
    <t>日放电度数</t>
  </si>
  <si>
    <t>日储能放电收益</t>
  </si>
  <si>
    <t>日储能净收益</t>
  </si>
  <si>
    <t>年储能放电净收益</t>
  </si>
  <si>
    <t>年电价差收益</t>
  </si>
  <si>
    <t>每年按350天计算</t>
  </si>
  <si>
    <t>变压器需量削峰收益</t>
  </si>
  <si>
    <t>储能首年总收益</t>
  </si>
  <si>
    <t>吴江每度电补贴0.9元</t>
  </si>
  <si>
    <t>.</t>
  </si>
  <si>
    <t>年限</t>
  </si>
  <si>
    <t>衰减系数</t>
  </si>
  <si>
    <t>收益系数</t>
  </si>
  <si>
    <t>储能放电量
（万度）</t>
  </si>
  <si>
    <t>年电价差收益
（万元）</t>
  </si>
  <si>
    <t>削容收益
（万元）</t>
  </si>
  <si>
    <t>补贴收益（万元）</t>
  </si>
  <si>
    <t>年总收益
（万元）</t>
  </si>
  <si>
    <t>累计总收益
（万元）</t>
  </si>
  <si>
    <t>总计</t>
  </si>
  <si>
    <t>表5-光伏电站收益分析</t>
  </si>
  <si>
    <t>项目</t>
  </si>
  <si>
    <t>数值</t>
  </si>
  <si>
    <t>单位</t>
  </si>
  <si>
    <t>备注</t>
  </si>
  <si>
    <t>光伏装机规模</t>
  </si>
  <si>
    <t>kWp</t>
  </si>
  <si>
    <t>年平均利用小时数</t>
  </si>
  <si>
    <t>已考虑发电效率0.8</t>
  </si>
  <si>
    <t>白天平均电价（预估）</t>
  </si>
  <si>
    <r>
      <rPr>
        <sz val="10.5"/>
        <color theme="1"/>
        <rFont val="Times New Roman"/>
        <charset val="134"/>
      </rPr>
      <t>元/k</t>
    </r>
    <r>
      <rPr>
        <sz val="10.5"/>
        <color theme="1"/>
        <rFont val="Times New Roman"/>
        <charset val="134"/>
      </rPr>
      <t>W</t>
    </r>
    <r>
      <rPr>
        <sz val="10.5"/>
        <color theme="1"/>
        <rFont val="Times New Roman"/>
        <charset val="134"/>
      </rPr>
      <t>h</t>
    </r>
  </si>
  <si>
    <r>
      <rPr>
        <sz val="10.5"/>
        <color theme="1"/>
        <rFont val="宋体"/>
        <charset val="134"/>
      </rPr>
      <t>在优先使用光伏的策略下，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电价为加权电价</t>
    </r>
  </si>
  <si>
    <t>上网电价</t>
  </si>
  <si>
    <t>查询各省标杆电价</t>
  </si>
  <si>
    <t>自用比列</t>
  </si>
  <si>
    <t>百分比</t>
  </si>
  <si>
    <t>根据实际负荷确定</t>
  </si>
  <si>
    <t>年发电量
(万度)</t>
  </si>
  <si>
    <t>累计发电量
（万度）</t>
  </si>
  <si>
    <t>年收益
（万元）</t>
  </si>
  <si>
    <t>年累计收益
（万元）</t>
  </si>
  <si>
    <t>表6-光储综合收益分析</t>
  </si>
  <si>
    <r>
      <rPr>
        <b/>
        <sz val="9"/>
        <color theme="1"/>
        <rFont val="宋体"/>
        <charset val="134"/>
      </rPr>
      <t>年限</t>
    </r>
  </si>
  <si>
    <r>
      <rPr>
        <b/>
        <sz val="9"/>
        <color theme="1"/>
        <rFont val="宋体"/>
        <charset val="134"/>
      </rPr>
      <t>储能放电量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万度</t>
    </r>
    <r>
      <rPr>
        <b/>
        <sz val="9"/>
        <color theme="1"/>
        <rFont val="Times New Roman"/>
        <charset val="134"/>
      </rPr>
      <t>)</t>
    </r>
  </si>
  <si>
    <r>
      <rPr>
        <b/>
        <sz val="9"/>
        <color theme="1"/>
        <rFont val="宋体"/>
        <charset val="134"/>
      </rPr>
      <t>储能累计放电量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万度</t>
    </r>
    <r>
      <rPr>
        <b/>
        <sz val="9"/>
        <color theme="1"/>
        <rFont val="Times New Roman"/>
        <charset val="134"/>
      </rPr>
      <t>)</t>
    </r>
  </si>
  <si>
    <r>
      <rPr>
        <b/>
        <sz val="9"/>
        <color theme="1"/>
        <rFont val="宋体"/>
        <charset val="134"/>
      </rPr>
      <t>光伏发电量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万度</t>
    </r>
    <r>
      <rPr>
        <b/>
        <sz val="9"/>
        <color theme="1"/>
        <rFont val="Times New Roman"/>
        <charset val="134"/>
      </rPr>
      <t>)</t>
    </r>
  </si>
  <si>
    <r>
      <rPr>
        <b/>
        <sz val="9"/>
        <color theme="1"/>
        <rFont val="宋体"/>
        <charset val="134"/>
      </rPr>
      <t>光伏累计发电量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万度</t>
    </r>
    <r>
      <rPr>
        <b/>
        <sz val="9"/>
        <color theme="1"/>
        <rFont val="Times New Roman"/>
        <charset val="134"/>
      </rPr>
      <t>)</t>
    </r>
  </si>
  <si>
    <r>
      <rPr>
        <b/>
        <sz val="9"/>
        <color theme="1"/>
        <rFont val="宋体"/>
        <charset val="134"/>
      </rPr>
      <t>光储累计放电量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万度</t>
    </r>
    <r>
      <rPr>
        <b/>
        <sz val="9"/>
        <color theme="1"/>
        <rFont val="Times New Roman"/>
        <charset val="134"/>
      </rPr>
      <t>)</t>
    </r>
  </si>
  <si>
    <t>客户自投收益</t>
  </si>
  <si>
    <r>
      <rPr>
        <b/>
        <sz val="9"/>
        <color theme="1"/>
        <rFont val="宋体"/>
        <charset val="134"/>
      </rPr>
      <t>储能年收益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万元</t>
    </r>
    <r>
      <rPr>
        <b/>
        <sz val="9"/>
        <color theme="1"/>
        <rFont val="Times New Roman"/>
        <charset val="134"/>
      </rPr>
      <t>)</t>
    </r>
  </si>
  <si>
    <r>
      <rPr>
        <b/>
        <sz val="9"/>
        <color theme="1"/>
        <rFont val="宋体"/>
        <charset val="134"/>
      </rPr>
      <t>储能累计收益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万元</t>
    </r>
    <r>
      <rPr>
        <b/>
        <sz val="9"/>
        <color theme="1"/>
        <rFont val="Times New Roman"/>
        <charset val="134"/>
      </rPr>
      <t>)</t>
    </r>
  </si>
  <si>
    <r>
      <rPr>
        <b/>
        <sz val="9"/>
        <color theme="1"/>
        <rFont val="宋体"/>
        <charset val="134"/>
      </rPr>
      <t>光伏年收益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万元</t>
    </r>
    <r>
      <rPr>
        <b/>
        <sz val="9"/>
        <color theme="1"/>
        <rFont val="Times New Roman"/>
        <charset val="134"/>
      </rPr>
      <t>)</t>
    </r>
  </si>
  <si>
    <r>
      <rPr>
        <b/>
        <sz val="9"/>
        <color theme="1"/>
        <rFont val="宋体"/>
        <charset val="134"/>
      </rPr>
      <t>光伏累计收益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万元</t>
    </r>
    <r>
      <rPr>
        <b/>
        <sz val="9"/>
        <color theme="1"/>
        <rFont val="Times New Roman"/>
        <charset val="134"/>
      </rPr>
      <t>)</t>
    </r>
  </si>
  <si>
    <r>
      <rPr>
        <b/>
        <sz val="9"/>
        <color theme="1"/>
        <rFont val="宋体"/>
        <charset val="134"/>
      </rPr>
      <t>光储累计收益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万元</t>
    </r>
    <r>
      <rPr>
        <b/>
        <sz val="9"/>
        <color theme="1"/>
        <rFont val="Times New Roman"/>
        <charset val="134"/>
      </rPr>
      <t>)</t>
    </r>
  </si>
  <si>
    <t>客户不投收益</t>
  </si>
  <si>
    <t>储能装机量</t>
  </si>
  <si>
    <t>光伏装机量</t>
  </si>
  <si>
    <t>储能单价(元/Wh)</t>
  </si>
  <si>
    <t>公司投资收益</t>
  </si>
  <si>
    <t>光伏单价(元/W)</t>
  </si>
  <si>
    <t>储能总价(万元)</t>
  </si>
  <si>
    <t>光伏总价(万元)</t>
  </si>
  <si>
    <t>光储总价(万元)</t>
  </si>
  <si>
    <r>
      <rPr>
        <sz val="9"/>
        <color theme="1"/>
        <rFont val="宋体"/>
        <charset val="134"/>
      </rPr>
      <t>光伏折扣</t>
    </r>
  </si>
  <si>
    <r>
      <rPr>
        <sz val="9"/>
        <color theme="1"/>
        <rFont val="Times New Roman"/>
        <charset val="134"/>
      </rPr>
      <t>9</t>
    </r>
    <r>
      <rPr>
        <sz val="9"/>
        <color theme="1"/>
        <rFont val="宋体"/>
        <charset val="134"/>
      </rPr>
      <t>折</t>
    </r>
  </si>
  <si>
    <r>
      <rPr>
        <sz val="9"/>
        <color theme="1"/>
        <rFont val="宋体"/>
        <charset val="134"/>
      </rPr>
      <t>储能折扣</t>
    </r>
  </si>
  <si>
    <r>
      <rPr>
        <sz val="9"/>
        <color theme="1"/>
        <rFont val="宋体"/>
        <charset val="134"/>
      </rPr>
      <t>元</t>
    </r>
    <r>
      <rPr>
        <sz val="9"/>
        <color theme="1"/>
        <rFont val="Times New Roman"/>
        <charset val="134"/>
      </rPr>
      <t>/kWh</t>
    </r>
  </si>
  <si>
    <t xml:space="preserve"> </t>
  </si>
</sst>
</file>

<file path=xl/styles.xml><?xml version="1.0" encoding="utf-8"?>
<styleSheet xmlns="http://schemas.openxmlformats.org/spreadsheetml/2006/main">
  <numFmts count="21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综&quot;&quot;合&quot;&quot;电&quot;&quot;价&quot;@&quot;元&quot;&quot;/kWh&quot;"/>
    <numFmt numFmtId="177" formatCode="0.00_ "/>
    <numFmt numFmtId="178" formatCode="0_ "/>
    <numFmt numFmtId="179" formatCode="@&quot;DOD&quot;"/>
    <numFmt numFmtId="180" formatCode="0.000_ "/>
    <numFmt numFmtId="181" formatCode="&quot;单&quot;&quot;级&quot;&quot;效&quot;&quot;率&quot;@"/>
    <numFmt numFmtId="182" formatCode="0.0%"/>
    <numFmt numFmtId="183" formatCode="[DBNum2][$RMB]General;[Red][DBNum2][$RMB]General"/>
    <numFmt numFmtId="184" formatCode="&quot;电&quot;&quot;压&quot;&quot;等&quot;&quot;级&quot;@&quot;kV&quot;"/>
    <numFmt numFmtId="185" formatCode="&quot;功&quot;&quot;率&quot;&quot;削&quot;&quot;减&quot;&quot;系&quot;&quot;数&quot;@"/>
    <numFmt numFmtId="186" formatCode="&quot;综&quot;&quot;合&quot;&quot;考&quot;&quot;虑&quot;&quot;全&quot;&quot;功&quot;&quot;率&quot;&quot;运&quot;&quot;行&quot;@&quot;小&quot;&quot;时&quot;"/>
    <numFmt numFmtId="187" formatCode="&quot;放&quot;&quot;电&quot;&quot;时&quot;&quot;占&quot;&quot;比&quot;@"/>
    <numFmt numFmtId="188" formatCode="0.0000_ "/>
    <numFmt numFmtId="189" formatCode="&quot;系&quot;&quot;统&quot;&quot;效&quot;&quot;率&quot;0.0%"/>
    <numFmt numFmtId="190" formatCode="@&quot;kw&quot;"/>
    <numFmt numFmtId="191" formatCode="yyyy&quot;年&quot;m&quot;月&quot;;@"/>
  </numFmts>
  <fonts count="44">
    <font>
      <sz val="11"/>
      <color theme="1"/>
      <name val="宋体"/>
      <charset val="134"/>
      <scheme val="minor"/>
    </font>
    <font>
      <b/>
      <sz val="18"/>
      <color theme="0"/>
      <name val="宋体"/>
      <charset val="134"/>
    </font>
    <font>
      <b/>
      <sz val="18"/>
      <color theme="0"/>
      <name val="Times New Roman"/>
      <charset val="134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b/>
      <sz val="9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8"/>
      <color theme="0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8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20"/>
      <color theme="0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theme="1"/>
      <name val="宋体"/>
      <charset val="134"/>
    </font>
    <font>
      <b/>
      <sz val="10"/>
      <name val="宋体"/>
      <charset val="134"/>
    </font>
    <font>
      <sz val="12"/>
      <name val="Arial"/>
      <charset val="134"/>
    </font>
    <font>
      <b/>
      <sz val="12"/>
      <color theme="0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F8FFA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3" borderId="17" applyNumberFormat="0" applyFon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2" fillId="17" borderId="20" applyNumberFormat="0" applyAlignment="0" applyProtection="0">
      <alignment vertical="center"/>
    </xf>
    <xf numFmtId="0" fontId="33" fillId="17" borderId="16" applyNumberFormat="0" applyAlignment="0" applyProtection="0">
      <alignment vertical="center"/>
    </xf>
    <xf numFmtId="0" fontId="34" fillId="18" borderId="21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/>
      <protection locked="0"/>
    </xf>
    <xf numFmtId="178" fontId="4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177" fontId="4" fillId="3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</xf>
    <xf numFmtId="178" fontId="6" fillId="0" borderId="0" xfId="0" applyNumberFormat="1" applyFont="1" applyFill="1" applyAlignment="1" applyProtection="1">
      <alignment horizontal="center" vertical="center"/>
    </xf>
    <xf numFmtId="178" fontId="7" fillId="0" borderId="0" xfId="0" applyNumberFormat="1" applyFont="1" applyFill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right" vertical="center"/>
      <protection locked="0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Alignment="1" applyProtection="1">
      <alignment horizontal="center" vertical="center" wrapText="1"/>
      <protection locked="0"/>
    </xf>
    <xf numFmtId="180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Alignment="1" applyProtection="1">
      <alignment horizontal="left" vertical="center" wrapText="1"/>
      <protection locked="0"/>
    </xf>
    <xf numFmtId="9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 applyProtection="1">
      <alignment horizontal="center" vertical="center"/>
      <protection locked="0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5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5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5" fontId="0" fillId="0" borderId="0" xfId="0" applyNumberFormat="1" applyFont="1" applyFill="1" applyAlignment="1" applyProtection="1">
      <alignment horizontal="center" vertical="center"/>
      <protection locked="0"/>
    </xf>
    <xf numFmtId="18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182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1" xfId="0" applyNumberFormat="1" applyFont="1" applyFill="1" applyBorder="1" applyAlignment="1" applyProtection="1">
      <alignment horizontal="center" vertical="center"/>
      <protection locked="0"/>
    </xf>
    <xf numFmtId="10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 applyProtection="1">
      <alignment vertical="center"/>
    </xf>
    <xf numFmtId="10" fontId="0" fillId="0" borderId="0" xfId="0" applyNumberFormat="1" applyFont="1" applyFill="1" applyAlignment="1" applyProtection="1">
      <alignment vertical="center"/>
      <protection locked="0"/>
    </xf>
    <xf numFmtId="183" fontId="0" fillId="0" borderId="0" xfId="0" applyNumberFormat="1" applyFont="1" applyFill="1" applyAlignment="1" applyProtection="1">
      <alignment vertical="center"/>
      <protection locked="0"/>
    </xf>
    <xf numFmtId="178" fontId="0" fillId="0" borderId="0" xfId="0" applyNumberFormat="1" applyFont="1" applyFill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9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185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178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vertical="center" wrapText="1"/>
      <protection locked="0"/>
    </xf>
    <xf numFmtId="186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87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84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88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177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14" fillId="0" borderId="1" xfId="0" applyNumberFormat="1" applyFont="1" applyFill="1" applyBorder="1" applyAlignment="1" applyProtection="1">
      <alignment horizontal="center" vertical="top" wrapText="1"/>
      <protection locked="0"/>
    </xf>
    <xf numFmtId="182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89" fontId="14" fillId="0" borderId="1" xfId="0" applyNumberFormat="1" applyFont="1" applyFill="1" applyBorder="1" applyAlignment="1" applyProtection="1">
      <alignment horizontal="center" vertical="top" wrapText="1"/>
      <protection locked="0"/>
    </xf>
    <xf numFmtId="9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9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177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190" fontId="14" fillId="0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top" wrapText="1"/>
      <protection locked="0"/>
    </xf>
    <xf numFmtId="9" fontId="14" fillId="3" borderId="1" xfId="0" applyNumberFormat="1" applyFont="1" applyFill="1" applyBorder="1" applyAlignment="1" applyProtection="1">
      <alignment horizontal="center" vertical="top" wrapText="1"/>
      <protection locked="0"/>
    </xf>
    <xf numFmtId="177" fontId="14" fillId="3" borderId="1" xfId="0" applyNumberFormat="1" applyFont="1" applyFill="1" applyBorder="1" applyAlignment="1" applyProtection="1">
      <alignment horizontal="center" vertical="top" wrapText="1"/>
      <protection locked="0"/>
    </xf>
    <xf numFmtId="177" fontId="14" fillId="0" borderId="1" xfId="0" applyNumberFormat="1" applyFont="1" applyFill="1" applyBorder="1" applyAlignment="1" applyProtection="1">
      <alignment horizontal="center" vertical="top" wrapText="1"/>
      <protection locked="0"/>
    </xf>
    <xf numFmtId="9" fontId="14" fillId="0" borderId="1" xfId="0" applyNumberFormat="1" applyFont="1" applyFill="1" applyBorder="1" applyAlignment="1" applyProtection="1">
      <alignment horizontal="center" vertical="top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177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0" fillId="0" borderId="0" xfId="0" applyFont="1" applyFill="1" applyAlignment="1" applyProtection="1">
      <alignment horizontal="center" vertical="center" wrapText="1"/>
      <protection locked="0"/>
    </xf>
    <xf numFmtId="178" fontId="0" fillId="0" borderId="0" xfId="0" applyNumberFormat="1" applyFont="1" applyFill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16" fillId="0" borderId="1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178" fontId="16" fillId="0" borderId="1" xfId="0" applyNumberFormat="1" applyFont="1" applyFill="1" applyBorder="1" applyAlignment="1" applyProtection="1">
      <alignment horizontal="center" vertical="center"/>
      <protection locked="0"/>
    </xf>
    <xf numFmtId="178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6" fillId="3" borderId="1" xfId="0" applyNumberFormat="1" applyFont="1" applyFill="1" applyBorder="1" applyAlignment="1" applyProtection="1">
      <alignment horizontal="center" vertical="center"/>
      <protection locked="0"/>
    </xf>
    <xf numFmtId="188" fontId="16" fillId="3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5" xfId="0" applyFont="1" applyFill="1" applyBorder="1" applyAlignment="1" applyProtection="1">
      <alignment horizontal="left" vertical="center" wrapText="1"/>
      <protection locked="0"/>
    </xf>
    <xf numFmtId="0" fontId="17" fillId="0" borderId="1" xfId="0" applyFont="1" applyFill="1" applyBorder="1" applyAlignment="1" applyProtection="1">
      <alignment horizontal="center" vertical="center"/>
      <protection locked="0"/>
    </xf>
    <xf numFmtId="178" fontId="17" fillId="0" borderId="1" xfId="0" applyNumberFormat="1" applyFont="1" applyFill="1" applyBorder="1" applyAlignment="1" applyProtection="1">
      <alignment horizontal="center" vertical="center"/>
      <protection locked="0"/>
    </xf>
    <xf numFmtId="191" fontId="16" fillId="5" borderId="1" xfId="0" applyNumberFormat="1" applyFont="1" applyFill="1" applyBorder="1" applyAlignment="1" applyProtection="1">
      <alignment horizontal="center" vertical="center"/>
      <protection locked="0"/>
    </xf>
    <xf numFmtId="178" fontId="16" fillId="5" borderId="1" xfId="0" applyNumberFormat="1" applyFont="1" applyFill="1" applyBorder="1" applyAlignment="1" applyProtection="1">
      <alignment horizontal="center" vertical="center"/>
      <protection locked="0"/>
    </xf>
    <xf numFmtId="191" fontId="16" fillId="4" borderId="1" xfId="0" applyNumberFormat="1" applyFont="1" applyFill="1" applyBorder="1" applyAlignment="1" applyProtection="1">
      <alignment horizontal="center" vertical="center"/>
      <protection locked="0"/>
    </xf>
    <xf numFmtId="178" fontId="16" fillId="4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center" vertical="center"/>
    </xf>
    <xf numFmtId="178" fontId="16" fillId="0" borderId="0" xfId="0" applyNumberFormat="1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 wrapText="1"/>
      <protection locked="0"/>
    </xf>
    <xf numFmtId="0" fontId="16" fillId="4" borderId="1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0" fontId="18" fillId="2" borderId="7" xfId="0" applyFont="1" applyFill="1" applyBorder="1" applyAlignment="1" applyProtection="1">
      <alignment horizontal="center" vertical="center" wrapText="1"/>
      <protection locked="0"/>
    </xf>
    <xf numFmtId="0" fontId="18" fillId="2" borderId="8" xfId="0" applyFont="1" applyFill="1" applyBorder="1" applyAlignment="1" applyProtection="1">
      <alignment horizontal="center" vertical="center"/>
      <protection locked="0"/>
    </xf>
    <xf numFmtId="0" fontId="18" fillId="2" borderId="9" xfId="0" applyFont="1" applyFill="1" applyBorder="1" applyAlignment="1" applyProtection="1">
      <alignment horizontal="center" vertical="center"/>
      <protection locked="0"/>
    </xf>
    <xf numFmtId="0" fontId="19" fillId="0" borderId="10" xfId="0" applyFont="1" applyFill="1" applyBorder="1" applyAlignment="1" applyProtection="1">
      <alignment horizontal="left" vertical="center" wrapText="1"/>
      <protection locked="0"/>
    </xf>
    <xf numFmtId="0" fontId="19" fillId="0" borderId="5" xfId="0" applyFont="1" applyFill="1" applyBorder="1" applyAlignment="1" applyProtection="1">
      <alignment horizontal="left" vertical="center" wrapText="1"/>
      <protection locked="0"/>
    </xf>
    <xf numFmtId="0" fontId="13" fillId="4" borderId="1" xfId="0" applyFont="1" applyFill="1" applyBorder="1" applyAlignment="1" applyProtection="1">
      <alignment horizontal="center" vertical="center" wrapText="1"/>
      <protection locked="0"/>
    </xf>
    <xf numFmtId="0" fontId="13" fillId="6" borderId="1" xfId="0" applyFont="1" applyFill="1" applyBorder="1" applyAlignment="1" applyProtection="1">
      <alignment horizontal="center" vertical="center" wrapText="1"/>
      <protection locked="0"/>
    </xf>
    <xf numFmtId="0" fontId="13" fillId="7" borderId="1" xfId="0" applyFont="1" applyFill="1" applyBorder="1" applyAlignment="1" applyProtection="1">
      <alignment horizontal="center" vertical="center" wrapText="1"/>
      <protection locked="0"/>
    </xf>
    <xf numFmtId="0" fontId="13" fillId="8" borderId="11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4" fillId="6" borderId="1" xfId="0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 applyProtection="1">
      <alignment horizontal="center" vertical="center"/>
      <protection locked="0"/>
    </xf>
    <xf numFmtId="0" fontId="14" fillId="8" borderId="11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 wrapText="1"/>
      <protection locked="0"/>
    </xf>
    <xf numFmtId="0" fontId="13" fillId="0" borderId="13" xfId="0" applyFont="1" applyFill="1" applyBorder="1" applyAlignment="1" applyProtection="1">
      <alignment horizontal="center" vertical="center" wrapText="1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4" fillId="4" borderId="14" xfId="0" applyFont="1" applyFill="1" applyBorder="1" applyAlignment="1" applyProtection="1">
      <alignment horizontal="center" vertical="center"/>
      <protection locked="0"/>
    </xf>
    <xf numFmtId="0" fontId="14" fillId="6" borderId="14" xfId="0" applyFont="1" applyFill="1" applyBorder="1" applyAlignment="1" applyProtection="1">
      <alignment horizontal="center" vertical="center"/>
      <protection locked="0"/>
    </xf>
    <xf numFmtId="0" fontId="14" fillId="7" borderId="14" xfId="0" applyFont="1" applyFill="1" applyBorder="1" applyAlignment="1" applyProtection="1">
      <alignment horizontal="center" vertical="center"/>
      <protection locked="0"/>
    </xf>
    <xf numFmtId="0" fontId="14" fillId="8" borderId="15" xfId="0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各段用电量统计（度）</a:t>
            </a:r>
            <a:endParaRPr lang="zh-CN" altLang="en-US" sz="1400" b="0" i="0" u="none" strike="noStrike" baseline="0">
              <a:solidFill>
                <a:srgbClr val="595959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'表2-用电数据统计1500'!$B$5</c:f>
              <c:strCache>
                <c:ptCount val="1"/>
                <c:pt idx="0">
                  <c:v>峰（度）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'表2-用电数据统计1500'!$B$6:$B$16</c:f>
              <c:numCache>
                <c:formatCode>0_ </c:formatCode>
                <c:ptCount val="11"/>
                <c:pt idx="0">
                  <c:v>53779</c:v>
                </c:pt>
                <c:pt idx="1">
                  <c:v>76538</c:v>
                </c:pt>
                <c:pt idx="2">
                  <c:v>26911</c:v>
                </c:pt>
                <c:pt idx="3">
                  <c:v>82935</c:v>
                </c:pt>
                <c:pt idx="4">
                  <c:v>79589</c:v>
                </c:pt>
                <c:pt idx="5">
                  <c:v>110544</c:v>
                </c:pt>
                <c:pt idx="6">
                  <c:v>80705</c:v>
                </c:pt>
                <c:pt idx="7">
                  <c:v>91022</c:v>
                </c:pt>
                <c:pt idx="8">
                  <c:v>106408</c:v>
                </c:pt>
                <c:pt idx="9">
                  <c:v>92166</c:v>
                </c:pt>
                <c:pt idx="10">
                  <c:v>80059.7</c:v>
                </c:pt>
              </c:numCache>
            </c:numRef>
          </c:val>
        </c:ser>
        <c:ser>
          <c:idx val="1"/>
          <c:order val="1"/>
          <c:tx>
            <c:strRef>
              <c:f>'表2-用电数据统计1500'!$C$5</c:f>
              <c:strCache>
                <c:ptCount val="1"/>
                <c:pt idx="0">
                  <c:v>平（度）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'表2-用电数据统计1500'!$C$6:$C$16</c:f>
              <c:numCache>
                <c:formatCode>0_ </c:formatCode>
                <c:ptCount val="11"/>
                <c:pt idx="0">
                  <c:v>56898</c:v>
                </c:pt>
                <c:pt idx="1">
                  <c:v>76739</c:v>
                </c:pt>
                <c:pt idx="2">
                  <c:v>26519</c:v>
                </c:pt>
                <c:pt idx="3">
                  <c:v>84248</c:v>
                </c:pt>
                <c:pt idx="4">
                  <c:v>81019</c:v>
                </c:pt>
                <c:pt idx="5">
                  <c:v>110583</c:v>
                </c:pt>
                <c:pt idx="6">
                  <c:v>81921</c:v>
                </c:pt>
                <c:pt idx="7">
                  <c:v>96256</c:v>
                </c:pt>
                <c:pt idx="8">
                  <c:v>103037</c:v>
                </c:pt>
                <c:pt idx="9">
                  <c:v>92618</c:v>
                </c:pt>
                <c:pt idx="10">
                  <c:v>80983.8</c:v>
                </c:pt>
              </c:numCache>
            </c:numRef>
          </c:val>
        </c:ser>
        <c:ser>
          <c:idx val="2"/>
          <c:order val="2"/>
          <c:tx>
            <c:strRef>
              <c:f>'表2-用电数据统计1500'!$D$5</c:f>
              <c:strCache>
                <c:ptCount val="1"/>
                <c:pt idx="0">
                  <c:v>谷（度）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'表2-用电数据统计1500'!$D$6:$D$16</c:f>
              <c:numCache>
                <c:formatCode>0_ </c:formatCode>
                <c:ptCount val="11"/>
                <c:pt idx="0">
                  <c:v>42231</c:v>
                </c:pt>
                <c:pt idx="1">
                  <c:v>44551</c:v>
                </c:pt>
                <c:pt idx="2">
                  <c:v>14582</c:v>
                </c:pt>
                <c:pt idx="3">
                  <c:v>60138</c:v>
                </c:pt>
                <c:pt idx="4">
                  <c:v>61578</c:v>
                </c:pt>
                <c:pt idx="5">
                  <c:v>92610</c:v>
                </c:pt>
                <c:pt idx="6">
                  <c:v>47682</c:v>
                </c:pt>
                <c:pt idx="7">
                  <c:v>45570</c:v>
                </c:pt>
                <c:pt idx="8">
                  <c:v>70776</c:v>
                </c:pt>
                <c:pt idx="9">
                  <c:v>66292</c:v>
                </c:pt>
                <c:pt idx="10">
                  <c:v>54601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5572638"/>
        <c:axId val="273382716"/>
      </c:barChart>
      <c:catAx>
        <c:axId val="8655726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382716"/>
        <c:crosses val="autoZero"/>
        <c:auto val="1"/>
        <c:lblAlgn val="ctr"/>
        <c:lblOffset val="100"/>
        <c:noMultiLvlLbl val="1"/>
      </c:catAx>
      <c:valAx>
        <c:axId val="273382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5726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5"/>
          <c:y val="0.8665"/>
          <c:w val="0.366300371583883"/>
          <c:h val="0.09340339252876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各段平均功率（</a:t>
            </a:r>
            <a:r>
              <a:rPr lang="en-US" altLang="zh-CN" sz="1400" b="0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kW</a:t>
            </a:r>
            <a:r>
              <a:rPr 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98703888334995"/>
          <c:y val="0.211325966850829"/>
          <c:w val="0.907809903622466"/>
          <c:h val="0.507569060773481"/>
        </c:manualLayout>
      </c:layout>
      <c:lineChart>
        <c:grouping val="standard"/>
        <c:varyColors val="0"/>
        <c:ser>
          <c:idx val="0"/>
          <c:order val="0"/>
          <c:tx>
            <c:strRef>
              <c:f>'表2-用电数据统计1500'!$M$5</c:f>
              <c:strCache>
                <c:ptCount val="1"/>
                <c:pt idx="0">
                  <c:v>峰平均功率
（kW）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0.1218080422659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00997008973080758"/>
                  <c:y val="-0.036464088397790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gradFill>
                <a:gsLst>
                  <a:gs pos="0">
                    <a:srgbClr val="FE4444"/>
                  </a:gs>
                  <a:gs pos="100000">
                    <a:srgbClr val="832B2B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'表2-用电数据统计1500'!$M$6:$M$16</c:f>
              <c:numCache>
                <c:formatCode>0_ </c:formatCode>
                <c:ptCount val="11"/>
                <c:pt idx="0">
                  <c:v>231.806034482759</c:v>
                </c:pt>
                <c:pt idx="1">
                  <c:v>329.905172413793</c:v>
                </c:pt>
                <c:pt idx="2">
                  <c:v>115.995689655172</c:v>
                </c:pt>
                <c:pt idx="3">
                  <c:v>357.478448275862</c:v>
                </c:pt>
                <c:pt idx="4">
                  <c:v>343.056034482759</c:v>
                </c:pt>
                <c:pt idx="5">
                  <c:v>476.48275862069</c:v>
                </c:pt>
                <c:pt idx="6">
                  <c:v>347.866379310345</c:v>
                </c:pt>
                <c:pt idx="7">
                  <c:v>392.336206896552</c:v>
                </c:pt>
                <c:pt idx="8">
                  <c:v>458.655172413793</c:v>
                </c:pt>
                <c:pt idx="9">
                  <c:v>397.26724137931</c:v>
                </c:pt>
                <c:pt idx="10">
                  <c:v>345.084913793103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'表2-用电数据统计1500'!$N$5</c:f>
              <c:strCache>
                <c:ptCount val="1"/>
                <c:pt idx="0">
                  <c:v>平均平功率
（kW）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000748876684972541"/>
                  <c:y val="0.0995010272967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199700449326011"/>
                  <c:y val="0.100968594071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23309419479302"/>
                  <c:y val="0.09397981353223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0.04167889638978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0211970074812968"/>
                  <c:y val="0.093731863029599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160220994475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72928176795580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000997008973080758"/>
                  <c:y val="0.07955801104972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00997008973080758"/>
                  <c:y val="0.072928176795580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'表2-用电数据统计1500'!$N$6:$N$16</c:f>
              <c:numCache>
                <c:formatCode>0_ </c:formatCode>
                <c:ptCount val="11"/>
                <c:pt idx="0">
                  <c:v>245.25</c:v>
                </c:pt>
                <c:pt idx="1">
                  <c:v>330.771551724138</c:v>
                </c:pt>
                <c:pt idx="2">
                  <c:v>114.306034482759</c:v>
                </c:pt>
                <c:pt idx="3">
                  <c:v>363.137931034483</c:v>
                </c:pt>
                <c:pt idx="4">
                  <c:v>349.219827586207</c:v>
                </c:pt>
                <c:pt idx="5">
                  <c:v>476.650862068966</c:v>
                </c:pt>
                <c:pt idx="6">
                  <c:v>353.10775862069</c:v>
                </c:pt>
                <c:pt idx="7">
                  <c:v>414.896551724138</c:v>
                </c:pt>
                <c:pt idx="8">
                  <c:v>444.125</c:v>
                </c:pt>
                <c:pt idx="9">
                  <c:v>399.215517241379</c:v>
                </c:pt>
                <c:pt idx="10">
                  <c:v>349.068103448276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'表2-用电数据统计1500'!$O$5</c:f>
              <c:strCache>
                <c:ptCount val="1"/>
                <c:pt idx="0">
                  <c:v>谷平均功率
（kW）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137294058911633"/>
                  <c:y val="-0.1185793953624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0748876684972541"/>
                  <c:y val="-0.09128265336072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199700449326011"/>
                  <c:y val="-0.1039037276196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15015015015015"/>
                  <c:y val="-0.09476455103831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137294058911633"/>
                  <c:y val="-0.06427942471382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00997506234413965"/>
                  <c:y val="-0.1006964596633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00997008973080758"/>
                  <c:y val="-0.08618784530386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0199401794616152"/>
                  <c:y val="-0.06961325966850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00199401794616152"/>
                  <c:y val="-0.1060773480662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0299102691924227"/>
                  <c:y val="-0.145856353591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gradFill>
                <a:gsLst>
                  <a:gs pos="0">
                    <a:srgbClr val="FBFB11"/>
                  </a:gs>
                  <a:gs pos="100000">
                    <a:srgbClr val="838309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'表2-用电数据统计1500'!$O$6:$O$16</c:f>
              <c:numCache>
                <c:formatCode>0_ </c:formatCode>
                <c:ptCount val="11"/>
                <c:pt idx="0">
                  <c:v>182.030172413793</c:v>
                </c:pt>
                <c:pt idx="1">
                  <c:v>192.030172413793</c:v>
                </c:pt>
                <c:pt idx="2">
                  <c:v>62.8534482758621</c:v>
                </c:pt>
                <c:pt idx="3">
                  <c:v>259.215517241379</c:v>
                </c:pt>
                <c:pt idx="4">
                  <c:v>265.422413793103</c:v>
                </c:pt>
                <c:pt idx="5">
                  <c:v>399.181034482759</c:v>
                </c:pt>
                <c:pt idx="6">
                  <c:v>205.525862068966</c:v>
                </c:pt>
                <c:pt idx="7">
                  <c:v>196.422413793103</c:v>
                </c:pt>
                <c:pt idx="8">
                  <c:v>305.068965517241</c:v>
                </c:pt>
                <c:pt idx="9">
                  <c:v>285.741379310345</c:v>
                </c:pt>
                <c:pt idx="10">
                  <c:v>235.349137931034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9069240"/>
        <c:axId val="433117042"/>
      </c:lineChart>
      <c:catAx>
        <c:axId val="64906924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117042"/>
        <c:crosses val="autoZero"/>
        <c:auto val="1"/>
        <c:lblAlgn val="ctr"/>
        <c:lblOffset val="100"/>
        <c:noMultiLvlLbl val="1"/>
      </c:catAx>
      <c:valAx>
        <c:axId val="4331170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06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75"/>
          <c:y val="0.8675"/>
          <c:w val="0.40325"/>
          <c:h val="0.092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00550045837153"/>
          <c:y val="0.180979418026969"/>
          <c:w val="0.908859071589299"/>
          <c:h val="0.702484031227821"/>
        </c:manualLayout>
      </c:layout>
      <c:lineChart>
        <c:grouping val="standard"/>
        <c:varyColors val="0"/>
        <c:ser>
          <c:idx val="0"/>
          <c:order val="0"/>
          <c:tx>
            <c:strRef>
              <c:f>'表2-用电数据统计1500'!$J$5</c:f>
              <c:strCache>
                <c:ptCount val="1"/>
                <c:pt idx="0">
                  <c:v>计费容量
(kVA)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gradFill>
                <a:gsLst>
                  <a:gs pos="0">
                    <a:srgbClr val="FECF40"/>
                  </a:gs>
                  <a:gs pos="100000">
                    <a:srgbClr val="846C21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'表2-用电数据统计1500'!$J$6:$J$16</c:f>
              <c:numCache>
                <c:formatCode>0_ </c:formatCode>
                <c:ptCount val="11"/>
                <c:pt idx="0">
                  <c:v>521</c:v>
                </c:pt>
                <c:pt idx="1">
                  <c:v>674</c:v>
                </c:pt>
                <c:pt idx="2">
                  <c:v>602</c:v>
                </c:pt>
                <c:pt idx="3">
                  <c:v>674</c:v>
                </c:pt>
                <c:pt idx="4">
                  <c:v>717</c:v>
                </c:pt>
                <c:pt idx="5">
                  <c:v>870</c:v>
                </c:pt>
                <c:pt idx="6">
                  <c:v>736</c:v>
                </c:pt>
                <c:pt idx="7">
                  <c:v>869</c:v>
                </c:pt>
                <c:pt idx="8">
                  <c:v>957</c:v>
                </c:pt>
                <c:pt idx="9">
                  <c:v>758</c:v>
                </c:pt>
                <c:pt idx="10">
                  <c:v>737.8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'表2-用电数据统计1500'!$M$5</c:f>
              <c:strCache>
                <c:ptCount val="1"/>
                <c:pt idx="0">
                  <c:v>峰平均功率
（kW）</c:v>
                </c:pt>
              </c:strCache>
            </c:strRef>
          </c:tx>
          <c:spPr>
            <a:ln w="28575" cap="rnd" cmpd="sng" algn="ctr">
              <a:solidFill>
                <a:schemeClr val="accent5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gradFill>
                <a:gsLst>
                  <a:gs pos="0">
                    <a:srgbClr val="FE4444"/>
                  </a:gs>
                  <a:gs pos="100000">
                    <a:srgbClr val="832B2B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'表2-用电数据统计1500'!$M$6:$M$16</c:f>
              <c:numCache>
                <c:formatCode>0_ </c:formatCode>
                <c:ptCount val="11"/>
                <c:pt idx="0">
                  <c:v>231.806034482759</c:v>
                </c:pt>
                <c:pt idx="1">
                  <c:v>329.905172413793</c:v>
                </c:pt>
                <c:pt idx="2">
                  <c:v>115.995689655172</c:v>
                </c:pt>
                <c:pt idx="3">
                  <c:v>357.478448275862</c:v>
                </c:pt>
                <c:pt idx="4">
                  <c:v>343.056034482759</c:v>
                </c:pt>
                <c:pt idx="5">
                  <c:v>476.48275862069</c:v>
                </c:pt>
                <c:pt idx="6">
                  <c:v>347.866379310345</c:v>
                </c:pt>
                <c:pt idx="7">
                  <c:v>392.336206896552</c:v>
                </c:pt>
                <c:pt idx="8">
                  <c:v>458.655172413793</c:v>
                </c:pt>
                <c:pt idx="9">
                  <c:v>397.26724137931</c:v>
                </c:pt>
                <c:pt idx="10">
                  <c:v>345.084913793103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8287502"/>
        <c:axId val="124376240"/>
      </c:lineChart>
      <c:catAx>
        <c:axId val="3182875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376240"/>
        <c:crosses val="autoZero"/>
        <c:auto val="1"/>
        <c:lblAlgn val="ctr"/>
        <c:lblOffset val="100"/>
        <c:noMultiLvlLbl val="1"/>
      </c:catAx>
      <c:valAx>
        <c:axId val="124376240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2875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各段平均功率（</a:t>
            </a:r>
            <a:r>
              <a:rPr lang="en-US" altLang="zh-CN" sz="1400" b="0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kW</a:t>
            </a:r>
            <a:r>
              <a:rPr 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98703888334995"/>
          <c:y val="0.211325966850829"/>
          <c:w val="0.907809903622466"/>
          <c:h val="0.507569060773481"/>
        </c:manualLayout>
      </c:layout>
      <c:lineChart>
        <c:grouping val="standard"/>
        <c:varyColors val="0"/>
        <c:ser>
          <c:idx val="0"/>
          <c:order val="0"/>
          <c:tx>
            <c:strRef>
              <c:f>'表2-用电数据统计1500'!$J$5</c:f>
              <c:strCache>
                <c:ptCount val="1"/>
                <c:pt idx="0">
                  <c:v>计费容量
(kVA)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gradFill>
                <a:gsLst>
                  <a:gs pos="0">
                    <a:srgbClr val="FECF40"/>
                  </a:gs>
                  <a:gs pos="100000">
                    <a:srgbClr val="846C21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'表2-用电数据统计1500'!$J$6:$J$16</c:f>
              <c:numCache>
                <c:formatCode>0_ </c:formatCode>
                <c:ptCount val="11"/>
                <c:pt idx="0">
                  <c:v>521</c:v>
                </c:pt>
                <c:pt idx="1">
                  <c:v>674</c:v>
                </c:pt>
                <c:pt idx="2">
                  <c:v>602</c:v>
                </c:pt>
                <c:pt idx="3">
                  <c:v>674</c:v>
                </c:pt>
                <c:pt idx="4">
                  <c:v>717</c:v>
                </c:pt>
                <c:pt idx="5">
                  <c:v>870</c:v>
                </c:pt>
                <c:pt idx="6">
                  <c:v>736</c:v>
                </c:pt>
                <c:pt idx="7">
                  <c:v>869</c:v>
                </c:pt>
                <c:pt idx="8">
                  <c:v>957</c:v>
                </c:pt>
                <c:pt idx="9">
                  <c:v>758</c:v>
                </c:pt>
                <c:pt idx="10">
                  <c:v>737.8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'表2-用电数据统计1500'!$M$5</c:f>
              <c:strCache>
                <c:ptCount val="1"/>
                <c:pt idx="0">
                  <c:v>峰平均功率
（kW）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0.00199352105656616"/>
                  <c:y val="0.04640883977900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03977900552486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4309392265193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05303867403314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0.04640883977900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0.07955801104972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06629834254143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8618784530386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"/>
                  <c:y val="0.0563535911602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0.04640883977900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gradFill>
                <a:gsLst>
                  <a:gs pos="0">
                    <a:srgbClr val="FE4444"/>
                  </a:gs>
                  <a:gs pos="100000">
                    <a:srgbClr val="832B2B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'表2-用电数据统计1500'!$M$6:$M$16</c:f>
              <c:numCache>
                <c:formatCode>0_ </c:formatCode>
                <c:ptCount val="11"/>
                <c:pt idx="0">
                  <c:v>231.806034482759</c:v>
                </c:pt>
                <c:pt idx="1">
                  <c:v>329.905172413793</c:v>
                </c:pt>
                <c:pt idx="2">
                  <c:v>115.995689655172</c:v>
                </c:pt>
                <c:pt idx="3">
                  <c:v>357.478448275862</c:v>
                </c:pt>
                <c:pt idx="4">
                  <c:v>343.056034482759</c:v>
                </c:pt>
                <c:pt idx="5">
                  <c:v>476.48275862069</c:v>
                </c:pt>
                <c:pt idx="6">
                  <c:v>347.866379310345</c:v>
                </c:pt>
                <c:pt idx="7">
                  <c:v>392.336206896552</c:v>
                </c:pt>
                <c:pt idx="8">
                  <c:v>458.655172413793</c:v>
                </c:pt>
                <c:pt idx="9">
                  <c:v>397.26724137931</c:v>
                </c:pt>
                <c:pt idx="10">
                  <c:v>345.084913793103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'表2-用电数据统计1500'!$P$5</c:f>
              <c:strCache>
                <c:ptCount val="1"/>
                <c:pt idx="0">
                  <c:v>计费容量与峰段功率差
（kW）</c:v>
                </c:pt>
              </c:strCache>
            </c:strRef>
          </c:tx>
          <c:marker>
            <c:symbol val="none"/>
          </c:marker>
          <c:dLbls>
            <c:spPr>
              <a:gradFill>
                <a:gsLst>
                  <a:gs pos="0">
                    <a:srgbClr val="007BD3"/>
                  </a:gs>
                  <a:gs pos="100000">
                    <a:srgbClr val="034373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'表2-用电数据统计1500'!$A$6:$A$16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'表2-用电数据统计1500'!$P$6:$P$16</c:f>
              <c:numCache>
                <c:formatCode>0_ </c:formatCode>
                <c:ptCount val="11"/>
                <c:pt idx="0">
                  <c:v>289.193965517241</c:v>
                </c:pt>
                <c:pt idx="1">
                  <c:v>344.094827586207</c:v>
                </c:pt>
                <c:pt idx="2">
                  <c:v>486.004310344828</c:v>
                </c:pt>
                <c:pt idx="3">
                  <c:v>316.521551724138</c:v>
                </c:pt>
                <c:pt idx="4">
                  <c:v>373.943965517241</c:v>
                </c:pt>
                <c:pt idx="5">
                  <c:v>393.51724137931</c:v>
                </c:pt>
                <c:pt idx="6">
                  <c:v>388.133620689655</c:v>
                </c:pt>
                <c:pt idx="7">
                  <c:v>476.663793103448</c:v>
                </c:pt>
                <c:pt idx="8">
                  <c:v>498.344827586207</c:v>
                </c:pt>
                <c:pt idx="9">
                  <c:v>360.73275862069</c:v>
                </c:pt>
                <c:pt idx="10">
                  <c:v>392.715086206897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9369947"/>
        <c:axId val="744240914"/>
      </c:lineChart>
      <c:catAx>
        <c:axId val="739369947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40914"/>
        <c:crosses val="autoZero"/>
        <c:auto val="1"/>
        <c:lblAlgn val="ctr"/>
        <c:lblOffset val="100"/>
        <c:noMultiLvlLbl val="1"/>
      </c:catAx>
      <c:valAx>
        <c:axId val="7442409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3699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7533017692499"/>
          <c:y val="0.867403314917127"/>
          <c:w val="0.46275"/>
          <c:h val="0.092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各段用电量统计（度）</a:t>
            </a:r>
            <a:endParaRPr lang="zh-CN" altLang="en-US" sz="1400" b="0" i="0" u="none" strike="noStrike" baseline="0">
              <a:solidFill>
                <a:srgbClr val="595959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'表3-用电数据统计500'!$B$5</c:f>
              <c:strCache>
                <c:ptCount val="1"/>
                <c:pt idx="0">
                  <c:v>峰（度）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'表3-用电数据统计500'!$B$6:$B$16</c:f>
              <c:numCache>
                <c:formatCode>0_ </c:formatCode>
                <c:ptCount val="11"/>
                <c:pt idx="0">
                  <c:v>51099</c:v>
                </c:pt>
                <c:pt idx="1">
                  <c:v>32989</c:v>
                </c:pt>
                <c:pt idx="2">
                  <c:v>59538</c:v>
                </c:pt>
                <c:pt idx="3">
                  <c:v>57562</c:v>
                </c:pt>
                <c:pt idx="4">
                  <c:v>42451</c:v>
                </c:pt>
                <c:pt idx="5">
                  <c:v>41182</c:v>
                </c:pt>
                <c:pt idx="6">
                  <c:v>33732</c:v>
                </c:pt>
                <c:pt idx="7">
                  <c:v>33929</c:v>
                </c:pt>
                <c:pt idx="8">
                  <c:v>40189</c:v>
                </c:pt>
                <c:pt idx="9">
                  <c:v>41257</c:v>
                </c:pt>
                <c:pt idx="10">
                  <c:v>43392.8</c:v>
                </c:pt>
              </c:numCache>
            </c:numRef>
          </c:val>
        </c:ser>
        <c:ser>
          <c:idx val="1"/>
          <c:order val="1"/>
          <c:tx>
            <c:strRef>
              <c:f>'表3-用电数据统计500'!$C$5</c:f>
              <c:strCache>
                <c:ptCount val="1"/>
                <c:pt idx="0">
                  <c:v>平（度）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'表3-用电数据统计500'!$C$6:$C$16</c:f>
              <c:numCache>
                <c:formatCode>0_ </c:formatCode>
                <c:ptCount val="11"/>
                <c:pt idx="0">
                  <c:v>50760</c:v>
                </c:pt>
                <c:pt idx="1">
                  <c:v>32791</c:v>
                </c:pt>
                <c:pt idx="2">
                  <c:v>59844</c:v>
                </c:pt>
                <c:pt idx="3">
                  <c:v>58280</c:v>
                </c:pt>
                <c:pt idx="4">
                  <c:v>43789</c:v>
                </c:pt>
                <c:pt idx="5">
                  <c:v>40479</c:v>
                </c:pt>
                <c:pt idx="6">
                  <c:v>40872</c:v>
                </c:pt>
                <c:pt idx="7">
                  <c:v>35069</c:v>
                </c:pt>
                <c:pt idx="8">
                  <c:v>39354</c:v>
                </c:pt>
                <c:pt idx="9">
                  <c:v>40537</c:v>
                </c:pt>
                <c:pt idx="10">
                  <c:v>44177.5</c:v>
                </c:pt>
              </c:numCache>
            </c:numRef>
          </c:val>
        </c:ser>
        <c:ser>
          <c:idx val="2"/>
          <c:order val="2"/>
          <c:tx>
            <c:strRef>
              <c:f>'表3-用电数据统计500'!$D$5</c:f>
              <c:strCache>
                <c:ptCount val="1"/>
                <c:pt idx="0">
                  <c:v>谷（度）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'表3-用电数据统计500'!$D$6:$D$16</c:f>
              <c:numCache>
                <c:formatCode>0_ </c:formatCode>
                <c:ptCount val="11"/>
                <c:pt idx="0">
                  <c:v>26370</c:v>
                </c:pt>
                <c:pt idx="1">
                  <c:v>19625</c:v>
                </c:pt>
                <c:pt idx="2">
                  <c:v>38705</c:v>
                </c:pt>
                <c:pt idx="3">
                  <c:v>40836</c:v>
                </c:pt>
                <c:pt idx="4">
                  <c:v>27593</c:v>
                </c:pt>
                <c:pt idx="5">
                  <c:v>20314</c:v>
                </c:pt>
                <c:pt idx="6">
                  <c:v>17616</c:v>
                </c:pt>
                <c:pt idx="7">
                  <c:v>16687</c:v>
                </c:pt>
                <c:pt idx="8">
                  <c:v>21614</c:v>
                </c:pt>
                <c:pt idx="9">
                  <c:v>18295</c:v>
                </c:pt>
                <c:pt idx="10">
                  <c:v>24765.5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5572638"/>
        <c:axId val="273382716"/>
      </c:barChart>
      <c:catAx>
        <c:axId val="8655726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382716"/>
        <c:crosses val="autoZero"/>
        <c:auto val="1"/>
        <c:lblAlgn val="ctr"/>
        <c:lblOffset val="100"/>
        <c:noMultiLvlLbl val="1"/>
      </c:catAx>
      <c:valAx>
        <c:axId val="273382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5726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5"/>
          <c:y val="0.8665"/>
          <c:w val="0.366300371583883"/>
          <c:h val="0.09340339252876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各段平均功率（</a:t>
            </a:r>
            <a:r>
              <a:rPr lang="en-US" altLang="zh-CN" sz="1400" b="0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kW</a:t>
            </a:r>
            <a:r>
              <a:rPr 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98703888334995"/>
          <c:y val="0.211325966850829"/>
          <c:w val="0.907809903622466"/>
          <c:h val="0.507569060773481"/>
        </c:manualLayout>
      </c:layout>
      <c:lineChart>
        <c:grouping val="standard"/>
        <c:varyColors val="0"/>
        <c:ser>
          <c:idx val="0"/>
          <c:order val="0"/>
          <c:tx>
            <c:strRef>
              <c:f>'表3-用电数据统计500'!$M$5</c:f>
              <c:strCache>
                <c:ptCount val="1"/>
                <c:pt idx="0">
                  <c:v>峰平均功率
（kW）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0.1218080422659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00997008973080758"/>
                  <c:y val="-0.036464088397790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gradFill>
                <a:gsLst>
                  <a:gs pos="0">
                    <a:srgbClr val="FE4444"/>
                  </a:gs>
                  <a:gs pos="100000">
                    <a:srgbClr val="832B2B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'表3-用电数据统计500'!$M$6:$M$16</c:f>
              <c:numCache>
                <c:formatCode>0_ </c:formatCode>
                <c:ptCount val="11"/>
                <c:pt idx="0">
                  <c:v>220.254310344828</c:v>
                </c:pt>
                <c:pt idx="1">
                  <c:v>142.193965517241</c:v>
                </c:pt>
                <c:pt idx="2">
                  <c:v>256.629310344828</c:v>
                </c:pt>
                <c:pt idx="3">
                  <c:v>248.112068965517</c:v>
                </c:pt>
                <c:pt idx="4">
                  <c:v>182.978448275862</c:v>
                </c:pt>
                <c:pt idx="5">
                  <c:v>177.508620689655</c:v>
                </c:pt>
                <c:pt idx="6">
                  <c:v>145.396551724138</c:v>
                </c:pt>
                <c:pt idx="7">
                  <c:v>146.245689655172</c:v>
                </c:pt>
                <c:pt idx="8">
                  <c:v>173.228448275862</c:v>
                </c:pt>
                <c:pt idx="9">
                  <c:v>177.831896551724</c:v>
                </c:pt>
                <c:pt idx="10">
                  <c:v>187.037931034483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'表3-用电数据统计500'!$N$5</c:f>
              <c:strCache>
                <c:ptCount val="1"/>
                <c:pt idx="0">
                  <c:v>平均平功率
（kW）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000748876684972541"/>
                  <c:y val="0.0995010272967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199700449326011"/>
                  <c:y val="0.100968594071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23309419479302"/>
                  <c:y val="0.09397981353223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0.04167889638978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0211970074812968"/>
                  <c:y val="0.093731863029599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160220994475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72928176795580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000997008973080758"/>
                  <c:y val="0.07955801104972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00997008973080758"/>
                  <c:y val="0.072928176795580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'表3-用电数据统计500'!$N$6:$N$16</c:f>
              <c:numCache>
                <c:formatCode>0_ </c:formatCode>
                <c:ptCount val="11"/>
                <c:pt idx="0">
                  <c:v>218.793103448276</c:v>
                </c:pt>
                <c:pt idx="1">
                  <c:v>141.340517241379</c:v>
                </c:pt>
                <c:pt idx="2">
                  <c:v>257.948275862069</c:v>
                </c:pt>
                <c:pt idx="3">
                  <c:v>251.206896551724</c:v>
                </c:pt>
                <c:pt idx="4">
                  <c:v>188.745689655172</c:v>
                </c:pt>
                <c:pt idx="5">
                  <c:v>174.478448275862</c:v>
                </c:pt>
                <c:pt idx="6">
                  <c:v>176.172413793103</c:v>
                </c:pt>
                <c:pt idx="7">
                  <c:v>151.159482758621</c:v>
                </c:pt>
                <c:pt idx="8">
                  <c:v>169.629310344828</c:v>
                </c:pt>
                <c:pt idx="9">
                  <c:v>174.728448275862</c:v>
                </c:pt>
                <c:pt idx="10">
                  <c:v>190.42025862069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'表3-用电数据统计500'!$O$5</c:f>
              <c:strCache>
                <c:ptCount val="1"/>
                <c:pt idx="0">
                  <c:v>谷平均功率
（kW）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137294058911633"/>
                  <c:y val="-0.1185793953624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0748876684972541"/>
                  <c:y val="-0.09128265336072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199700449326011"/>
                  <c:y val="-0.1039037276196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15015015015015"/>
                  <c:y val="-0.09476455103831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137294058911633"/>
                  <c:y val="-0.06427942471382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00997506234413965"/>
                  <c:y val="-0.1006964596633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00997008973080758"/>
                  <c:y val="-0.08618784530386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0199401794616152"/>
                  <c:y val="-0.06961325966850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00199401794616152"/>
                  <c:y val="-0.1060773480662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0299102691924227"/>
                  <c:y val="-0.145856353591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gradFill>
                <a:gsLst>
                  <a:gs pos="0">
                    <a:srgbClr val="FBFB11"/>
                  </a:gs>
                  <a:gs pos="100000">
                    <a:srgbClr val="838309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'表3-用电数据统计500'!$O$6:$O$16</c:f>
              <c:numCache>
                <c:formatCode>0_ </c:formatCode>
                <c:ptCount val="11"/>
                <c:pt idx="0">
                  <c:v>113.663793103448</c:v>
                </c:pt>
                <c:pt idx="1">
                  <c:v>84.5905172413793</c:v>
                </c:pt>
                <c:pt idx="2">
                  <c:v>166.831896551724</c:v>
                </c:pt>
                <c:pt idx="3">
                  <c:v>176.01724137931</c:v>
                </c:pt>
                <c:pt idx="4">
                  <c:v>118.935344827586</c:v>
                </c:pt>
                <c:pt idx="5">
                  <c:v>87.5603448275862</c:v>
                </c:pt>
                <c:pt idx="6">
                  <c:v>75.9310344827586</c:v>
                </c:pt>
                <c:pt idx="7">
                  <c:v>71.926724137931</c:v>
                </c:pt>
                <c:pt idx="8">
                  <c:v>93.1637931034483</c:v>
                </c:pt>
                <c:pt idx="9">
                  <c:v>78.8577586206897</c:v>
                </c:pt>
                <c:pt idx="10">
                  <c:v>106.747844827586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9069240"/>
        <c:axId val="433117042"/>
      </c:lineChart>
      <c:catAx>
        <c:axId val="64906924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117042"/>
        <c:crosses val="autoZero"/>
        <c:auto val="1"/>
        <c:lblAlgn val="ctr"/>
        <c:lblOffset val="100"/>
        <c:noMultiLvlLbl val="1"/>
      </c:catAx>
      <c:valAx>
        <c:axId val="4331170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06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75"/>
          <c:y val="0.8675"/>
          <c:w val="0.40325"/>
          <c:h val="0.092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00550045837153"/>
          <c:y val="0.180979418026969"/>
          <c:w val="0.908859071589299"/>
          <c:h val="0.702484031227821"/>
        </c:manualLayout>
      </c:layout>
      <c:lineChart>
        <c:grouping val="standard"/>
        <c:varyColors val="0"/>
        <c:ser>
          <c:idx val="0"/>
          <c:order val="0"/>
          <c:tx>
            <c:strRef>
              <c:f>'表3-用电数据统计500'!$J$5</c:f>
              <c:strCache>
                <c:ptCount val="1"/>
                <c:pt idx="0">
                  <c:v>计费容量
(kVA)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gradFill>
                <a:gsLst>
                  <a:gs pos="0">
                    <a:srgbClr val="FECF40"/>
                  </a:gs>
                  <a:gs pos="100000">
                    <a:srgbClr val="846C21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'表3-用电数据统计500'!$J$6:$J$16</c:f>
              <c:numCache>
                <c:formatCode>0_ </c:formatCode>
                <c:ptCount val="11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'表3-用电数据统计500'!$M$5</c:f>
              <c:strCache>
                <c:ptCount val="1"/>
                <c:pt idx="0">
                  <c:v>峰平均功率
（kW）</c:v>
                </c:pt>
              </c:strCache>
            </c:strRef>
          </c:tx>
          <c:marker>
            <c:symbol val="none"/>
          </c:marker>
          <c:dLbls>
            <c:spPr>
              <a:gradFill>
                <a:gsLst>
                  <a:gs pos="0">
                    <a:srgbClr val="FE4444"/>
                  </a:gs>
                  <a:gs pos="100000">
                    <a:srgbClr val="832B2B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'表3-用电数据统计500'!$M$6:$M$16</c:f>
              <c:numCache>
                <c:formatCode>0_ </c:formatCode>
                <c:ptCount val="11"/>
                <c:pt idx="0">
                  <c:v>220.254310344828</c:v>
                </c:pt>
                <c:pt idx="1">
                  <c:v>142.193965517241</c:v>
                </c:pt>
                <c:pt idx="2">
                  <c:v>256.629310344828</c:v>
                </c:pt>
                <c:pt idx="3">
                  <c:v>248.112068965517</c:v>
                </c:pt>
                <c:pt idx="4">
                  <c:v>182.978448275862</c:v>
                </c:pt>
                <c:pt idx="5">
                  <c:v>177.508620689655</c:v>
                </c:pt>
                <c:pt idx="6">
                  <c:v>145.396551724138</c:v>
                </c:pt>
                <c:pt idx="7">
                  <c:v>146.245689655172</c:v>
                </c:pt>
                <c:pt idx="8">
                  <c:v>173.228448275862</c:v>
                </c:pt>
                <c:pt idx="9">
                  <c:v>177.831896551724</c:v>
                </c:pt>
                <c:pt idx="10">
                  <c:v>187.037931034483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8287502"/>
        <c:axId val="124376240"/>
      </c:lineChart>
      <c:catAx>
        <c:axId val="3182875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376240"/>
        <c:crosses val="autoZero"/>
        <c:auto val="1"/>
        <c:lblAlgn val="ctr"/>
        <c:lblOffset val="100"/>
        <c:noMultiLvlLbl val="1"/>
      </c:catAx>
      <c:valAx>
        <c:axId val="124376240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2875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各段平均功率（</a:t>
            </a:r>
            <a:r>
              <a:rPr lang="en-US" altLang="zh-CN" sz="1400" b="0" i="0" u="none" strike="noStrike" baseline="0">
                <a:solidFill>
                  <a:srgbClr val="333333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rPr>
              <a:t>kW</a:t>
            </a:r>
            <a:r>
              <a:rPr lang="en-US" sz="1400" b="0" i="0" u="none" strike="noStrike" baseline="0">
                <a:solidFill>
                  <a:srgbClr val="333333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98703888334995"/>
          <c:y val="0.211325966850829"/>
          <c:w val="0.907809903622466"/>
          <c:h val="0.507569060773481"/>
        </c:manualLayout>
      </c:layout>
      <c:lineChart>
        <c:grouping val="standard"/>
        <c:varyColors val="0"/>
        <c:ser>
          <c:idx val="0"/>
          <c:order val="0"/>
          <c:tx>
            <c:strRef>
              <c:f>'表3-用电数据统计500'!$J$5</c:f>
              <c:strCache>
                <c:ptCount val="1"/>
                <c:pt idx="0">
                  <c:v>计费容量
(kVA)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gradFill>
                <a:gsLst>
                  <a:gs pos="0">
                    <a:srgbClr val="FECF40"/>
                  </a:gs>
                  <a:gs pos="100000">
                    <a:srgbClr val="846C21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'表3-用电数据统计500'!$J$6:$J$16</c:f>
              <c:numCache>
                <c:formatCode>0_ </c:formatCode>
                <c:ptCount val="11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'表3-用电数据统计500'!$M$5</c:f>
              <c:strCache>
                <c:ptCount val="1"/>
                <c:pt idx="0">
                  <c:v>峰平均功率
（kW）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0.00199352105656616"/>
                  <c:y val="0.04640883977900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03977900552486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4309392265193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05303867403314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0.04640883977900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0.07955801104972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06629834254143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8618784530386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"/>
                  <c:y val="0.0563535911602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0.04640883977900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gradFill>
                <a:gsLst>
                  <a:gs pos="0">
                    <a:srgbClr val="FE4444"/>
                  </a:gs>
                  <a:gs pos="100000">
                    <a:srgbClr val="832B2B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'表3-用电数据统计500'!$M$6:$M$16</c:f>
              <c:numCache>
                <c:formatCode>0_ </c:formatCode>
                <c:ptCount val="11"/>
                <c:pt idx="0">
                  <c:v>220.254310344828</c:v>
                </c:pt>
                <c:pt idx="1">
                  <c:v>142.193965517241</c:v>
                </c:pt>
                <c:pt idx="2">
                  <c:v>256.629310344828</c:v>
                </c:pt>
                <c:pt idx="3">
                  <c:v>248.112068965517</c:v>
                </c:pt>
                <c:pt idx="4">
                  <c:v>182.978448275862</c:v>
                </c:pt>
                <c:pt idx="5">
                  <c:v>177.508620689655</c:v>
                </c:pt>
                <c:pt idx="6">
                  <c:v>145.396551724138</c:v>
                </c:pt>
                <c:pt idx="7">
                  <c:v>146.245689655172</c:v>
                </c:pt>
                <c:pt idx="8">
                  <c:v>173.228448275862</c:v>
                </c:pt>
                <c:pt idx="9">
                  <c:v>177.831896551724</c:v>
                </c:pt>
                <c:pt idx="10">
                  <c:v>187.037931034483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'表3-用电数据统计500'!$P$5</c:f>
              <c:strCache>
                <c:ptCount val="1"/>
                <c:pt idx="0">
                  <c:v>计费容量与峰段功率差
（kW）</c:v>
                </c:pt>
              </c:strCache>
            </c:strRef>
          </c:tx>
          <c:marker>
            <c:symbol val="none"/>
          </c:marker>
          <c:dLbls>
            <c:spPr>
              <a:gradFill>
                <a:gsLst>
                  <a:gs pos="0">
                    <a:srgbClr val="007BD3"/>
                  </a:gs>
                  <a:gs pos="100000">
                    <a:srgbClr val="034373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'表3-用电数据统计500'!$A$6:$A$16</c:f>
              <c:strCache>
                <c:ptCount val="11"/>
                <c:pt idx="0" c:formatCode="yyyy&quot;年&quot;m&quot;月&quot;;@">
                  <c:v>2021年1月</c:v>
                </c:pt>
                <c:pt idx="1" c:formatCode="yyyy&quot;年&quot;m&quot;月&quot;;@">
                  <c:v>2021年2月</c:v>
                </c:pt>
                <c:pt idx="2" c:formatCode="yyyy&quot;年&quot;m&quot;月&quot;;@">
                  <c:v>2021年3月</c:v>
                </c:pt>
                <c:pt idx="3" c:formatCode="yyyy&quot;年&quot;m&quot;月&quot;;@">
                  <c:v>2021年4月</c:v>
                </c:pt>
                <c:pt idx="4" c:formatCode="yyyy&quot;年&quot;m&quot;月&quot;;@">
                  <c:v>2021年5月</c:v>
                </c:pt>
                <c:pt idx="5" c:formatCode="yyyy&quot;年&quot;m&quot;月&quot;;@">
                  <c:v>2021年6月</c:v>
                </c:pt>
                <c:pt idx="6" c:formatCode="yyyy&quot;年&quot;m&quot;月&quot;;@">
                  <c:v>2021年7月</c:v>
                </c:pt>
                <c:pt idx="7" c:formatCode="yyyy&quot;年&quot;m&quot;月&quot;;@">
                  <c:v>2021年8月</c:v>
                </c:pt>
                <c:pt idx="8" c:formatCode="yyyy&quot;年&quot;m&quot;月&quot;;@">
                  <c:v>2021年9月</c:v>
                </c:pt>
                <c:pt idx="9" c:formatCode="yyyy&quot;年&quot;m&quot;月&quot;;@">
                  <c:v>2021年10月</c:v>
                </c:pt>
                <c:pt idx="10" c:formatCode="yyyy&quot;年&quot;m&quot;月&quot;;@">
                  <c:v>月平均</c:v>
                </c:pt>
              </c:strCache>
            </c:strRef>
          </c:cat>
          <c:val>
            <c:numRef>
              <c:f>'表3-用电数据统计500'!$P$6:$P$16</c:f>
              <c:numCache>
                <c:formatCode>0_ </c:formatCode>
                <c:ptCount val="11"/>
                <c:pt idx="0">
                  <c:v>279.745689655172</c:v>
                </c:pt>
                <c:pt idx="1">
                  <c:v>357.806034482759</c:v>
                </c:pt>
                <c:pt idx="2">
                  <c:v>243.370689655172</c:v>
                </c:pt>
                <c:pt idx="3">
                  <c:v>251.887931034483</c:v>
                </c:pt>
                <c:pt idx="4">
                  <c:v>317.021551724138</c:v>
                </c:pt>
                <c:pt idx="5">
                  <c:v>322.491379310345</c:v>
                </c:pt>
                <c:pt idx="6">
                  <c:v>354.603448275862</c:v>
                </c:pt>
                <c:pt idx="7">
                  <c:v>353.754310344828</c:v>
                </c:pt>
                <c:pt idx="8">
                  <c:v>326.771551724138</c:v>
                </c:pt>
                <c:pt idx="9">
                  <c:v>322.168103448276</c:v>
                </c:pt>
                <c:pt idx="10">
                  <c:v>312.962068965517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9369947"/>
        <c:axId val="744240914"/>
      </c:lineChart>
      <c:catAx>
        <c:axId val="739369947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40914"/>
        <c:crosses val="autoZero"/>
        <c:auto val="1"/>
        <c:lblAlgn val="ctr"/>
        <c:lblOffset val="100"/>
        <c:noMultiLvlLbl val="1"/>
      </c:catAx>
      <c:valAx>
        <c:axId val="7442409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3699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7533017692499"/>
          <c:y val="0.867403314917127"/>
          <c:w val="0.46275"/>
          <c:h val="0.092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png"/><Relationship Id="rId5" Type="http://schemas.openxmlformats.org/officeDocument/2006/relationships/hyperlink" Target="https://mp.weixin.qq.com/mp/appmsgalbum?__biz=MzI5ODA2MzMwNQ==&amp;action=getalbum&amp;album_id=1935192687142371330&amp;scene=173&amp;from_msgid=2650464840&amp;from_itemidx=1&amp;count=3&amp;nolastread=1#wechat_redirect" TargetMode="Externa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png"/><Relationship Id="rId5" Type="http://schemas.openxmlformats.org/officeDocument/2006/relationships/hyperlink" Target="https://mp.weixin.qq.com/mp/appmsgalbum?__biz=MzI5ODA2MzMwNQ==&amp;action=getalbum&amp;album_id=1935192687142371330&amp;scene=173&amp;from_msgid=2650464840&amp;from_itemidx=1&amp;count=3&amp;nolastread=1#wechat_redirect" TargetMode="Externa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mp.weixin.qq.com/mp/appmsgalbum?__biz=MzI5ODA2MzMwNQ==&amp;action=getalbum&amp;album_id=1935192687142371330&amp;scene=173&amp;from_msgid=2650464840&amp;from_itemidx=1&amp;count=3&amp;nolastread=1#wechat_redirect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mp.weixin.qq.com/mp/appmsgalbum?__biz=MzI5ODA2MzMwNQ==&amp;action=getalbum&amp;album_id=1935192687142371330&amp;scene=173&amp;from_msgid=2650464840&amp;from_itemidx=1&amp;count=3&amp;nolastread=1#wechat_redirect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mp.weixin.qq.com/mp/appmsgalbum?__biz=MzI5ODA2MzMwNQ==&amp;action=getalbum&amp;album_id=1935192687142371330&amp;scene=173&amp;from_msgid=2650464840&amp;from_itemidx=1&amp;count=3&amp;nolastread=1#wechat_redirect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</xdr:colOff>
      <xdr:row>2</xdr:row>
      <xdr:rowOff>15240</xdr:rowOff>
    </xdr:from>
    <xdr:to>
      <xdr:col>2</xdr:col>
      <xdr:colOff>0</xdr:colOff>
      <xdr:row>3</xdr:row>
      <xdr:rowOff>7620</xdr:rowOff>
    </xdr:to>
    <xdr:cxnSp>
      <xdr:nvCxnSpPr>
        <xdr:cNvPr id="2" name="直接连接符 3"/>
        <xdr:cNvCxnSpPr/>
      </xdr:nvCxnSpPr>
      <xdr:spPr>
        <a:xfrm>
          <a:off x="686435" y="529590"/>
          <a:ext cx="1523365" cy="8972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</xdr:colOff>
      <xdr:row>18</xdr:row>
      <xdr:rowOff>110490</xdr:rowOff>
    </xdr:from>
    <xdr:to>
      <xdr:col>9</xdr:col>
      <xdr:colOff>723900</xdr:colOff>
      <xdr:row>32</xdr:row>
      <xdr:rowOff>85725</xdr:rowOff>
    </xdr:to>
    <xdr:graphicFrame>
      <xdr:nvGraphicFramePr>
        <xdr:cNvPr id="2" name="图表 2"/>
        <xdr:cNvGraphicFramePr/>
      </xdr:nvGraphicFramePr>
      <xdr:xfrm>
        <a:off x="17145" y="5991225"/>
        <a:ext cx="8213725" cy="237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25400</xdr:colOff>
      <xdr:row>18</xdr:row>
      <xdr:rowOff>123190</xdr:rowOff>
    </xdr:from>
    <xdr:to>
      <xdr:col>20</xdr:col>
      <xdr:colOff>146050</xdr:colOff>
      <xdr:row>32</xdr:row>
      <xdr:rowOff>95250</xdr:rowOff>
    </xdr:to>
    <xdr:graphicFrame>
      <xdr:nvGraphicFramePr>
        <xdr:cNvPr id="3" name="图表 6"/>
        <xdr:cNvGraphicFramePr/>
      </xdr:nvGraphicFramePr>
      <xdr:xfrm>
        <a:off x="8370570" y="6003925"/>
        <a:ext cx="8194675" cy="237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8255</xdr:colOff>
      <xdr:row>33</xdr:row>
      <xdr:rowOff>42544</xdr:rowOff>
    </xdr:from>
    <xdr:to>
      <xdr:col>20</xdr:col>
      <xdr:colOff>165100</xdr:colOff>
      <xdr:row>47</xdr:row>
      <xdr:rowOff>38099</xdr:rowOff>
    </xdr:to>
    <xdr:graphicFrame>
      <xdr:nvGraphicFramePr>
        <xdr:cNvPr id="4" name="图表 8"/>
        <xdr:cNvGraphicFramePr/>
      </xdr:nvGraphicFramePr>
      <xdr:xfrm>
        <a:off x="8353425" y="8494395"/>
        <a:ext cx="8230870" cy="2395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33</xdr:row>
      <xdr:rowOff>8254</xdr:rowOff>
    </xdr:from>
    <xdr:to>
      <xdr:col>9</xdr:col>
      <xdr:colOff>725170</xdr:colOff>
      <xdr:row>47</xdr:row>
      <xdr:rowOff>19049</xdr:rowOff>
    </xdr:to>
    <xdr:graphicFrame>
      <xdr:nvGraphicFramePr>
        <xdr:cNvPr id="5" name="图表 6"/>
        <xdr:cNvGraphicFramePr/>
      </xdr:nvGraphicFramePr>
      <xdr:xfrm>
        <a:off x="0" y="8460105"/>
        <a:ext cx="8232140" cy="2411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134</xdr:row>
      <xdr:rowOff>0</xdr:rowOff>
    </xdr:from>
    <xdr:to>
      <xdr:col>18</xdr:col>
      <xdr:colOff>28575</xdr:colOff>
      <xdr:row>147</xdr:row>
      <xdr:rowOff>123825</xdr:rowOff>
    </xdr:to>
    <xdr:pic>
      <xdr:nvPicPr>
        <xdr:cNvPr id="7" name="图片 6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5170" y="25768935"/>
          <a:ext cx="6358890" cy="2352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</xdr:colOff>
      <xdr:row>18</xdr:row>
      <xdr:rowOff>91440</xdr:rowOff>
    </xdr:from>
    <xdr:to>
      <xdr:col>9</xdr:col>
      <xdr:colOff>723900</xdr:colOff>
      <xdr:row>31</xdr:row>
      <xdr:rowOff>104775</xdr:rowOff>
    </xdr:to>
    <xdr:graphicFrame>
      <xdr:nvGraphicFramePr>
        <xdr:cNvPr id="2" name="图表 2"/>
        <xdr:cNvGraphicFramePr/>
      </xdr:nvGraphicFramePr>
      <xdr:xfrm>
        <a:off x="17145" y="5972175"/>
        <a:ext cx="8213725" cy="2242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15875</xdr:colOff>
      <xdr:row>18</xdr:row>
      <xdr:rowOff>104140</xdr:rowOff>
    </xdr:from>
    <xdr:to>
      <xdr:col>20</xdr:col>
      <xdr:colOff>136525</xdr:colOff>
      <xdr:row>31</xdr:row>
      <xdr:rowOff>101600</xdr:rowOff>
    </xdr:to>
    <xdr:graphicFrame>
      <xdr:nvGraphicFramePr>
        <xdr:cNvPr id="3" name="图表 6"/>
        <xdr:cNvGraphicFramePr/>
      </xdr:nvGraphicFramePr>
      <xdr:xfrm>
        <a:off x="8361045" y="5984875"/>
        <a:ext cx="8194675" cy="2226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17780</xdr:colOff>
      <xdr:row>32</xdr:row>
      <xdr:rowOff>23495</xdr:rowOff>
    </xdr:from>
    <xdr:to>
      <xdr:col>20</xdr:col>
      <xdr:colOff>128905</xdr:colOff>
      <xdr:row>45</xdr:row>
      <xdr:rowOff>118110</xdr:rowOff>
    </xdr:to>
    <xdr:graphicFrame>
      <xdr:nvGraphicFramePr>
        <xdr:cNvPr id="4" name="图表 8"/>
        <xdr:cNvGraphicFramePr/>
      </xdr:nvGraphicFramePr>
      <xdr:xfrm>
        <a:off x="8362950" y="8304530"/>
        <a:ext cx="8185150" cy="232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36829</xdr:rowOff>
    </xdr:from>
    <xdr:to>
      <xdr:col>9</xdr:col>
      <xdr:colOff>725170</xdr:colOff>
      <xdr:row>45</xdr:row>
      <xdr:rowOff>133349</xdr:rowOff>
    </xdr:to>
    <xdr:graphicFrame>
      <xdr:nvGraphicFramePr>
        <xdr:cNvPr id="5" name="图表 6"/>
        <xdr:cNvGraphicFramePr/>
      </xdr:nvGraphicFramePr>
      <xdr:xfrm>
        <a:off x="0" y="8317230"/>
        <a:ext cx="8232140" cy="2325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149</xdr:row>
      <xdr:rowOff>0</xdr:rowOff>
    </xdr:from>
    <xdr:to>
      <xdr:col>21</xdr:col>
      <xdr:colOff>1905</xdr:colOff>
      <xdr:row>162</xdr:row>
      <xdr:rowOff>123825</xdr:rowOff>
    </xdr:to>
    <xdr:pic>
      <xdr:nvPicPr>
        <xdr:cNvPr id="7" name="图片 6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935" y="28340685"/>
          <a:ext cx="6400165" cy="2352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138</xdr:row>
      <xdr:rowOff>0</xdr:rowOff>
    </xdr:from>
    <xdr:to>
      <xdr:col>17</xdr:col>
      <xdr:colOff>133350</xdr:colOff>
      <xdr:row>151</xdr:row>
      <xdr:rowOff>123825</xdr:rowOff>
    </xdr:to>
    <xdr:pic>
      <xdr:nvPicPr>
        <xdr:cNvPr id="3" name="图片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495" y="31007685"/>
          <a:ext cx="6386830" cy="2352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147</xdr:row>
      <xdr:rowOff>0</xdr:rowOff>
    </xdr:from>
    <xdr:to>
      <xdr:col>13</xdr:col>
      <xdr:colOff>542925</xdr:colOff>
      <xdr:row>160</xdr:row>
      <xdr:rowOff>123825</xdr:rowOff>
    </xdr:to>
    <xdr:pic>
      <xdr:nvPicPr>
        <xdr:cNvPr id="3" name="图片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6640" y="30565725"/>
          <a:ext cx="6383020" cy="2352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0</xdr:colOff>
      <xdr:row>115</xdr:row>
      <xdr:rowOff>0</xdr:rowOff>
    </xdr:from>
    <xdr:to>
      <xdr:col>33</xdr:col>
      <xdr:colOff>200025</xdr:colOff>
      <xdr:row>128</xdr:row>
      <xdr:rowOff>123825</xdr:rowOff>
    </xdr:to>
    <xdr:pic>
      <xdr:nvPicPr>
        <xdr:cNvPr id="3" name="图片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240" y="23955375"/>
          <a:ext cx="6388100" cy="2352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K8" sqref="K8"/>
    </sheetView>
  </sheetViews>
  <sheetFormatPr defaultColWidth="9" defaultRowHeight="13.5"/>
  <cols>
    <col min="2" max="2" width="20" customWidth="1"/>
    <col min="3" max="3" width="15.875" customWidth="1"/>
    <col min="5" max="5" width="20" customWidth="1"/>
    <col min="6" max="6" width="16.875" customWidth="1"/>
    <col min="7" max="7" width="18.5" customWidth="1"/>
  </cols>
  <sheetData>
    <row r="1" ht="15" spans="1:9">
      <c r="A1" s="23"/>
      <c r="B1" s="106"/>
      <c r="C1" s="106"/>
      <c r="D1" s="106"/>
      <c r="E1" s="106"/>
      <c r="F1" s="106"/>
      <c r="G1" s="106"/>
      <c r="H1" s="106"/>
      <c r="I1" s="106"/>
    </row>
    <row r="2" ht="25.5" spans="1:9">
      <c r="A2" s="23"/>
      <c r="B2" s="107" t="s">
        <v>0</v>
      </c>
      <c r="C2" s="108"/>
      <c r="D2" s="108"/>
      <c r="E2" s="108"/>
      <c r="F2" s="108"/>
      <c r="G2" s="109"/>
      <c r="H2" s="106"/>
      <c r="I2" s="106"/>
    </row>
    <row r="3" ht="71.25" spans="1:9">
      <c r="A3" s="23"/>
      <c r="B3" s="110" t="s">
        <v>1</v>
      </c>
      <c r="C3" s="111"/>
      <c r="D3" s="112" t="s">
        <v>2</v>
      </c>
      <c r="E3" s="113" t="s">
        <v>3</v>
      </c>
      <c r="F3" s="114" t="s">
        <v>4</v>
      </c>
      <c r="G3" s="115" t="s">
        <v>5</v>
      </c>
      <c r="H3" s="106"/>
      <c r="I3" s="106"/>
    </row>
    <row r="4" ht="30" customHeight="1" spans="1:9">
      <c r="A4" s="23"/>
      <c r="B4" s="116" t="s">
        <v>6</v>
      </c>
      <c r="C4" s="117" t="s">
        <v>7</v>
      </c>
      <c r="D4" s="118">
        <v>1.0347</v>
      </c>
      <c r="E4" s="119">
        <v>0.6068</v>
      </c>
      <c r="F4" s="120">
        <v>0.2589</v>
      </c>
      <c r="G4" s="121">
        <v>0.7758</v>
      </c>
      <c r="H4" s="106"/>
      <c r="I4" s="106"/>
    </row>
    <row r="5" ht="24" customHeight="1" spans="1:9">
      <c r="A5" s="23"/>
      <c r="B5" s="116"/>
      <c r="C5" s="117" t="s">
        <v>8</v>
      </c>
      <c r="D5" s="118">
        <v>1.0207</v>
      </c>
      <c r="E5" s="119">
        <v>0.5968</v>
      </c>
      <c r="F5" s="120">
        <v>0.2529</v>
      </c>
      <c r="G5" s="121">
        <v>0.7678</v>
      </c>
      <c r="H5" s="106"/>
      <c r="I5" s="106"/>
    </row>
    <row r="6" ht="29" customHeight="1" spans="1:9">
      <c r="A6" s="23"/>
      <c r="B6" s="116"/>
      <c r="C6" s="117" t="s">
        <v>9</v>
      </c>
      <c r="D6" s="118">
        <v>0.9997</v>
      </c>
      <c r="E6" s="119">
        <v>0.5818</v>
      </c>
      <c r="F6" s="120">
        <v>0.2439</v>
      </c>
      <c r="G6" s="121">
        <v>0.7558</v>
      </c>
      <c r="H6" s="106"/>
      <c r="I6" s="106"/>
    </row>
    <row r="7" ht="30" customHeight="1" spans="1:9">
      <c r="A7" s="23"/>
      <c r="B7" s="116"/>
      <c r="C7" s="117" t="s">
        <v>10</v>
      </c>
      <c r="D7" s="118">
        <v>0.9647</v>
      </c>
      <c r="E7" s="119">
        <v>0.5568</v>
      </c>
      <c r="F7" s="120">
        <v>0.2289</v>
      </c>
      <c r="G7" s="121">
        <v>0.7358</v>
      </c>
      <c r="H7" s="106"/>
      <c r="I7" s="106"/>
    </row>
    <row r="8" ht="28" customHeight="1" spans="1:9">
      <c r="A8" s="23"/>
      <c r="B8" s="116"/>
      <c r="C8" s="117" t="s">
        <v>11</v>
      </c>
      <c r="D8" s="118">
        <v>0.9297</v>
      </c>
      <c r="E8" s="119">
        <v>0.5318</v>
      </c>
      <c r="F8" s="120">
        <v>0.2139</v>
      </c>
      <c r="G8" s="121">
        <v>0.7158</v>
      </c>
      <c r="H8" s="106"/>
      <c r="I8" s="106"/>
    </row>
    <row r="9" ht="35" customHeight="1" spans="1:9">
      <c r="A9" s="23"/>
      <c r="B9" s="122" t="s">
        <v>12</v>
      </c>
      <c r="C9" s="117" t="s">
        <v>13</v>
      </c>
      <c r="D9" s="118">
        <v>1.1141</v>
      </c>
      <c r="E9" s="119">
        <v>0.6664</v>
      </c>
      <c r="F9" s="120">
        <v>0.2987</v>
      </c>
      <c r="G9" s="121">
        <v>0.8154</v>
      </c>
      <c r="H9" s="106"/>
      <c r="I9" s="106"/>
    </row>
    <row r="10" ht="14.25" spans="1:9">
      <c r="A10" s="23"/>
      <c r="B10" s="122"/>
      <c r="C10" s="117" t="s">
        <v>7</v>
      </c>
      <c r="D10" s="118">
        <v>1.0724</v>
      </c>
      <c r="E10" s="119">
        <v>0.6414</v>
      </c>
      <c r="F10" s="120">
        <v>0.2904</v>
      </c>
      <c r="G10" s="121">
        <v>0.782</v>
      </c>
      <c r="H10" s="106"/>
      <c r="I10" s="106"/>
    </row>
    <row r="11" ht="27" customHeight="1" spans="1:9">
      <c r="A11" s="23"/>
      <c r="B11" s="122"/>
      <c r="C11" s="117" t="s">
        <v>8</v>
      </c>
      <c r="D11" s="118">
        <v>1.0557</v>
      </c>
      <c r="E11" s="119">
        <v>0.6314</v>
      </c>
      <c r="F11" s="120">
        <v>0.2871</v>
      </c>
      <c r="G11" s="121">
        <v>0.7686</v>
      </c>
      <c r="H11" s="106"/>
      <c r="I11" s="106"/>
    </row>
    <row r="12" ht="32" customHeight="1" spans="1:9">
      <c r="A12" s="23"/>
      <c r="B12" s="123"/>
      <c r="C12" s="124" t="s">
        <v>9</v>
      </c>
      <c r="D12" s="125">
        <v>1.0307</v>
      </c>
      <c r="E12" s="126">
        <v>0.6164</v>
      </c>
      <c r="F12" s="127">
        <v>0.2821</v>
      </c>
      <c r="G12" s="128">
        <v>0.7486</v>
      </c>
      <c r="H12" s="106"/>
      <c r="I12" s="106"/>
    </row>
    <row r="13" ht="14.25" spans="1:9">
      <c r="A13" s="23"/>
      <c r="B13" s="106"/>
      <c r="C13" s="106"/>
      <c r="D13" s="106"/>
      <c r="E13" s="106"/>
      <c r="F13" s="106"/>
      <c r="G13" s="106"/>
      <c r="H13" s="106"/>
      <c r="I13" s="106"/>
    </row>
    <row r="14" ht="14.25" spans="1:9">
      <c r="A14" s="23"/>
      <c r="B14" s="106"/>
      <c r="C14" s="106"/>
      <c r="D14" s="106"/>
      <c r="E14" s="106"/>
      <c r="F14" s="106"/>
      <c r="G14" s="106"/>
      <c r="H14" s="106"/>
      <c r="I14" s="106"/>
    </row>
    <row r="15" ht="14.25" spans="1:9">
      <c r="A15" s="23"/>
      <c r="B15" s="129"/>
      <c r="C15" s="106"/>
      <c r="D15" s="106"/>
      <c r="E15" s="106"/>
      <c r="F15" s="106"/>
      <c r="G15" s="106"/>
      <c r="H15" s="106"/>
      <c r="I15" s="106"/>
    </row>
    <row r="16" ht="14.25" spans="1:9">
      <c r="A16" s="23"/>
      <c r="B16" s="106"/>
      <c r="C16" s="106"/>
      <c r="D16" s="106"/>
      <c r="E16" s="106"/>
      <c r="F16" s="106"/>
      <c r="G16" s="106"/>
      <c r="H16" s="106"/>
      <c r="I16" s="106"/>
    </row>
  </sheetData>
  <mergeCells count="4">
    <mergeCell ref="B2:G2"/>
    <mergeCell ref="B3:C3"/>
    <mergeCell ref="B4:B8"/>
    <mergeCell ref="B9:B1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"/>
  <sheetViews>
    <sheetView workbookViewId="0">
      <selection activeCell="I62" sqref="I62"/>
    </sheetView>
  </sheetViews>
  <sheetFormatPr defaultColWidth="9" defaultRowHeight="13.5"/>
  <cols>
    <col min="1" max="1" width="12.4416666666667" style="1" customWidth="1"/>
    <col min="2" max="4" width="12.8833333333333" style="1" customWidth="1"/>
    <col min="5" max="5" width="10.1083333333333" style="1" customWidth="1"/>
    <col min="6" max="6" width="9.66666666666667" style="1" customWidth="1"/>
    <col min="7" max="9" width="9.21666666666667" style="1" customWidth="1"/>
    <col min="10" max="10" width="11" style="1" customWidth="1"/>
    <col min="11" max="11" width="8.33333333333333" style="1" customWidth="1"/>
    <col min="12" max="12" width="13.4416666666667" style="1" customWidth="1"/>
    <col min="13" max="18" width="10.2166666666667" style="1" customWidth="1"/>
    <col min="19" max="19" width="12.8833333333333" style="1"/>
    <col min="20" max="16384" width="10" style="1"/>
  </cols>
  <sheetData>
    <row r="1" s="1" customFormat="1" ht="39.75" customHeight="1" spans="1:18">
      <c r="A1" s="84" t="s">
        <v>14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104"/>
    </row>
    <row r="2" s="1" customFormat="1" ht="24.9" customHeight="1" spans="1:18">
      <c r="A2" s="86" t="s">
        <v>15</v>
      </c>
      <c r="B2" s="87">
        <v>1.0697</v>
      </c>
      <c r="C2" s="87">
        <v>0.6418</v>
      </c>
      <c r="D2" s="87">
        <v>0.3139</v>
      </c>
      <c r="E2" s="88"/>
      <c r="F2" s="89" t="s">
        <v>16</v>
      </c>
      <c r="G2" s="87">
        <v>7</v>
      </c>
      <c r="H2" s="89" t="s">
        <v>17</v>
      </c>
      <c r="I2" s="90">
        <v>8</v>
      </c>
      <c r="J2" s="102" t="s">
        <v>18</v>
      </c>
      <c r="K2" s="87">
        <v>10</v>
      </c>
      <c r="L2" s="88"/>
      <c r="M2" s="86"/>
      <c r="N2" s="86"/>
      <c r="O2" s="86"/>
      <c r="P2" s="86"/>
      <c r="Q2" s="86"/>
      <c r="R2" s="86"/>
    </row>
    <row r="3" s="1" customFormat="1" ht="24.9" customHeight="1" spans="1:18">
      <c r="A3" s="86" t="s">
        <v>19</v>
      </c>
      <c r="B3" s="87">
        <v>1.0697</v>
      </c>
      <c r="C3" s="87">
        <v>0.6418</v>
      </c>
      <c r="D3" s="87">
        <v>0.3139</v>
      </c>
      <c r="E3" s="88"/>
      <c r="F3" s="89" t="s">
        <v>20</v>
      </c>
      <c r="G3" s="90">
        <v>29</v>
      </c>
      <c r="H3" s="89" t="s">
        <v>21</v>
      </c>
      <c r="I3" s="87">
        <v>8</v>
      </c>
      <c r="J3" s="89" t="s">
        <v>22</v>
      </c>
      <c r="K3" s="90">
        <v>40</v>
      </c>
      <c r="L3" s="88"/>
      <c r="M3" s="86"/>
      <c r="N3" s="86"/>
      <c r="O3" s="86"/>
      <c r="P3" s="86"/>
      <c r="Q3" s="86"/>
      <c r="R3" s="86"/>
    </row>
    <row r="4" s="1" customFormat="1" ht="24.9" customHeight="1" spans="1:18">
      <c r="A4" s="86" t="s">
        <v>23</v>
      </c>
      <c r="B4" s="87">
        <v>1.1301</v>
      </c>
      <c r="C4" s="87">
        <v>0.6572</v>
      </c>
      <c r="D4" s="91">
        <v>0.275</v>
      </c>
      <c r="E4" s="88"/>
      <c r="F4" s="88"/>
      <c r="G4" s="88"/>
      <c r="H4" s="89" t="s">
        <v>24</v>
      </c>
      <c r="I4" s="90">
        <v>8</v>
      </c>
      <c r="J4" s="89" t="s">
        <v>25</v>
      </c>
      <c r="K4" s="90">
        <v>28000</v>
      </c>
      <c r="L4" s="88"/>
      <c r="M4" s="86"/>
      <c r="N4" s="86"/>
      <c r="O4" s="86"/>
      <c r="P4" s="86"/>
      <c r="Q4" s="86"/>
      <c r="R4" s="86"/>
    </row>
    <row r="5" s="1" customFormat="1" ht="24.9" customHeight="1" spans="1:18">
      <c r="A5" s="92" t="s">
        <v>26</v>
      </c>
      <c r="B5" s="93" t="s">
        <v>27</v>
      </c>
      <c r="C5" s="93" t="s">
        <v>28</v>
      </c>
      <c r="D5" s="93" t="s">
        <v>29</v>
      </c>
      <c r="E5" s="94" t="s">
        <v>30</v>
      </c>
      <c r="F5" s="94" t="s">
        <v>31</v>
      </c>
      <c r="G5" s="94" t="s">
        <v>32</v>
      </c>
      <c r="H5" s="94" t="s">
        <v>33</v>
      </c>
      <c r="I5" s="94" t="s">
        <v>34</v>
      </c>
      <c r="J5" s="102" t="s">
        <v>35</v>
      </c>
      <c r="K5" s="102" t="s">
        <v>36</v>
      </c>
      <c r="L5" s="94" t="s">
        <v>37</v>
      </c>
      <c r="M5" s="102" t="s">
        <v>38</v>
      </c>
      <c r="N5" s="102" t="s">
        <v>39</v>
      </c>
      <c r="O5" s="102" t="s">
        <v>40</v>
      </c>
      <c r="P5" s="102" t="s">
        <v>41</v>
      </c>
      <c r="Q5" s="102" t="s">
        <v>42</v>
      </c>
      <c r="R5" s="102" t="s">
        <v>43</v>
      </c>
    </row>
    <row r="6" s="1" customFormat="1" ht="24.9" customHeight="1" spans="1:19">
      <c r="A6" s="95">
        <v>44208.07</v>
      </c>
      <c r="B6" s="90">
        <v>53779</v>
      </c>
      <c r="C6" s="90">
        <v>56898</v>
      </c>
      <c r="D6" s="90">
        <v>42231</v>
      </c>
      <c r="E6" s="96">
        <v>152908</v>
      </c>
      <c r="F6" s="96">
        <v>60775.6479</v>
      </c>
      <c r="G6" s="96">
        <v>37393.3656</v>
      </c>
      <c r="H6" s="96">
        <v>11613.525</v>
      </c>
      <c r="I6" s="96">
        <v>109782.5385</v>
      </c>
      <c r="J6" s="96">
        <v>521</v>
      </c>
      <c r="K6" s="96">
        <v>20840</v>
      </c>
      <c r="L6" s="96">
        <v>130622.5385</v>
      </c>
      <c r="M6" s="96">
        <v>231.806034482759</v>
      </c>
      <c r="N6" s="96">
        <v>245.25</v>
      </c>
      <c r="O6" s="96">
        <v>182.030172413793</v>
      </c>
      <c r="P6" s="96">
        <v>289.193965517241</v>
      </c>
      <c r="Q6" s="96">
        <v>275.75</v>
      </c>
      <c r="R6" s="96">
        <v>338.969827586207</v>
      </c>
      <c r="S6" s="105">
        <v>49.7758620689655</v>
      </c>
    </row>
    <row r="7" s="1" customFormat="1" ht="24.9" customHeight="1" spans="1:19">
      <c r="A7" s="95">
        <v>44239.07</v>
      </c>
      <c r="B7" s="90">
        <v>76538</v>
      </c>
      <c r="C7" s="90">
        <v>76739</v>
      </c>
      <c r="D7" s="90">
        <v>44551</v>
      </c>
      <c r="E7" s="96">
        <v>197828</v>
      </c>
      <c r="F7" s="96">
        <v>86495.5938</v>
      </c>
      <c r="G7" s="96">
        <v>50432.8708</v>
      </c>
      <c r="H7" s="96">
        <v>12251.525</v>
      </c>
      <c r="I7" s="96">
        <v>149179.9896</v>
      </c>
      <c r="J7" s="96">
        <v>674</v>
      </c>
      <c r="K7" s="96">
        <v>26960</v>
      </c>
      <c r="L7" s="96">
        <v>176139.9896</v>
      </c>
      <c r="M7" s="96">
        <v>329.905172413793</v>
      </c>
      <c r="N7" s="96">
        <v>330.771551724138</v>
      </c>
      <c r="O7" s="96">
        <v>192.030172413793</v>
      </c>
      <c r="P7" s="96">
        <v>344.094827586207</v>
      </c>
      <c r="Q7" s="96">
        <v>343.228448275862</v>
      </c>
      <c r="R7" s="96">
        <v>481.969827586207</v>
      </c>
      <c r="S7" s="105">
        <v>137.875</v>
      </c>
    </row>
    <row r="8" s="1" customFormat="1" ht="24.9" customHeight="1" spans="1:19">
      <c r="A8" s="95">
        <v>44267.07</v>
      </c>
      <c r="B8" s="90">
        <v>26911</v>
      </c>
      <c r="C8" s="90">
        <v>26519</v>
      </c>
      <c r="D8" s="90">
        <v>14582</v>
      </c>
      <c r="E8" s="96">
        <v>68012</v>
      </c>
      <c r="F8" s="96">
        <v>30412.1211</v>
      </c>
      <c r="G8" s="96">
        <v>17428.2868</v>
      </c>
      <c r="H8" s="96">
        <v>4010.05</v>
      </c>
      <c r="I8" s="96">
        <v>51850.4579</v>
      </c>
      <c r="J8" s="96">
        <v>602</v>
      </c>
      <c r="K8" s="96">
        <v>24080</v>
      </c>
      <c r="L8" s="96">
        <v>75930.4579</v>
      </c>
      <c r="M8" s="96">
        <v>115.995689655172</v>
      </c>
      <c r="N8" s="96">
        <v>114.306034482759</v>
      </c>
      <c r="O8" s="96">
        <v>62.8534482758621</v>
      </c>
      <c r="P8" s="96">
        <v>486.004310344828</v>
      </c>
      <c r="Q8" s="96">
        <v>487.693965517241</v>
      </c>
      <c r="R8" s="96">
        <v>539.146551724138</v>
      </c>
      <c r="S8" s="105">
        <v>53.1422413793103</v>
      </c>
    </row>
    <row r="9" s="1" customFormat="1" ht="24.9" customHeight="1" spans="1:19">
      <c r="A9" s="95">
        <v>44298.07</v>
      </c>
      <c r="B9" s="90">
        <v>82935</v>
      </c>
      <c r="C9" s="90">
        <v>84248</v>
      </c>
      <c r="D9" s="90">
        <v>60138</v>
      </c>
      <c r="E9" s="96">
        <v>227321</v>
      </c>
      <c r="F9" s="96">
        <v>93724.8435</v>
      </c>
      <c r="G9" s="96">
        <v>55367.7856</v>
      </c>
      <c r="H9" s="96">
        <v>16537.95</v>
      </c>
      <c r="I9" s="96">
        <v>165630.5791</v>
      </c>
      <c r="J9" s="96">
        <v>674</v>
      </c>
      <c r="K9" s="96">
        <v>26960</v>
      </c>
      <c r="L9" s="96">
        <v>192590.5791</v>
      </c>
      <c r="M9" s="96">
        <v>357.478448275862</v>
      </c>
      <c r="N9" s="96">
        <v>363.137931034483</v>
      </c>
      <c r="O9" s="96">
        <v>259.215517241379</v>
      </c>
      <c r="P9" s="96">
        <v>316.521551724138</v>
      </c>
      <c r="Q9" s="96">
        <v>310.862068965517</v>
      </c>
      <c r="R9" s="96">
        <v>414.784482758621</v>
      </c>
      <c r="S9" s="105">
        <v>98.2629310344828</v>
      </c>
    </row>
    <row r="10" s="1" customFormat="1" ht="24.9" customHeight="1" spans="1:19">
      <c r="A10" s="95">
        <v>44328.07</v>
      </c>
      <c r="B10" s="90">
        <v>79589</v>
      </c>
      <c r="C10" s="90">
        <v>81019</v>
      </c>
      <c r="D10" s="90">
        <v>61578</v>
      </c>
      <c r="E10" s="96">
        <v>222186</v>
      </c>
      <c r="F10" s="96">
        <v>89943.5289</v>
      </c>
      <c r="G10" s="96">
        <v>53245.6868</v>
      </c>
      <c r="H10" s="96">
        <v>16933.95</v>
      </c>
      <c r="I10" s="96">
        <v>160123.1657</v>
      </c>
      <c r="J10" s="96">
        <v>717</v>
      </c>
      <c r="K10" s="96">
        <v>28680</v>
      </c>
      <c r="L10" s="96">
        <v>188803.1657</v>
      </c>
      <c r="M10" s="96">
        <v>343.056034482759</v>
      </c>
      <c r="N10" s="96">
        <v>349.219827586207</v>
      </c>
      <c r="O10" s="96">
        <v>265.422413793103</v>
      </c>
      <c r="P10" s="96">
        <v>373.943965517241</v>
      </c>
      <c r="Q10" s="96">
        <v>367.780172413793</v>
      </c>
      <c r="R10" s="96">
        <v>451.577586206897</v>
      </c>
      <c r="S10" s="105">
        <v>77.6336206896552</v>
      </c>
    </row>
    <row r="11" s="1" customFormat="1" ht="24.9" customHeight="1" spans="1:19">
      <c r="A11" s="95">
        <v>44359.07</v>
      </c>
      <c r="B11" s="90">
        <v>110544</v>
      </c>
      <c r="C11" s="90">
        <v>110583</v>
      </c>
      <c r="D11" s="90">
        <v>92610</v>
      </c>
      <c r="E11" s="96">
        <v>313737</v>
      </c>
      <c r="F11" s="96">
        <v>124925.7744</v>
      </c>
      <c r="G11" s="96">
        <v>72675.1476</v>
      </c>
      <c r="H11" s="96">
        <v>25467.75</v>
      </c>
      <c r="I11" s="96">
        <v>223068.672</v>
      </c>
      <c r="J11" s="96">
        <v>870</v>
      </c>
      <c r="K11" s="96">
        <v>34800</v>
      </c>
      <c r="L11" s="96">
        <v>257868.672</v>
      </c>
      <c r="M11" s="96">
        <v>476.48275862069</v>
      </c>
      <c r="N11" s="96">
        <v>476.650862068966</v>
      </c>
      <c r="O11" s="96">
        <v>399.181034482759</v>
      </c>
      <c r="P11" s="96">
        <v>393.51724137931</v>
      </c>
      <c r="Q11" s="96">
        <v>393.349137931034</v>
      </c>
      <c r="R11" s="96">
        <v>470.818965517241</v>
      </c>
      <c r="S11" s="105">
        <v>77.301724137931</v>
      </c>
    </row>
    <row r="12" s="1" customFormat="1" ht="24.9" customHeight="1" spans="1:19">
      <c r="A12" s="95">
        <v>44389.07</v>
      </c>
      <c r="B12" s="90">
        <v>80705</v>
      </c>
      <c r="C12" s="90">
        <v>81921</v>
      </c>
      <c r="D12" s="90">
        <v>47682</v>
      </c>
      <c r="E12" s="96">
        <v>210308</v>
      </c>
      <c r="F12" s="96">
        <v>91204.7205</v>
      </c>
      <c r="G12" s="96">
        <v>53838.4812</v>
      </c>
      <c r="H12" s="96">
        <v>13112.55</v>
      </c>
      <c r="I12" s="96">
        <v>158155.7517</v>
      </c>
      <c r="J12" s="96">
        <v>736</v>
      </c>
      <c r="K12" s="96">
        <v>29440</v>
      </c>
      <c r="L12" s="96">
        <v>187595.7517</v>
      </c>
      <c r="M12" s="96">
        <v>347.866379310345</v>
      </c>
      <c r="N12" s="96">
        <v>353.10775862069</v>
      </c>
      <c r="O12" s="96">
        <v>205.525862068966</v>
      </c>
      <c r="P12" s="96">
        <v>388.133620689655</v>
      </c>
      <c r="Q12" s="96">
        <v>382.89224137931</v>
      </c>
      <c r="R12" s="96">
        <v>530.474137931034</v>
      </c>
      <c r="S12" s="105">
        <v>142.340517241379</v>
      </c>
    </row>
    <row r="13" s="1" customFormat="1" ht="24.9" customHeight="1" spans="1:19">
      <c r="A13" s="95">
        <v>44420.07</v>
      </c>
      <c r="B13" s="90">
        <v>91022</v>
      </c>
      <c r="C13" s="90">
        <v>96256</v>
      </c>
      <c r="D13" s="90">
        <v>45570</v>
      </c>
      <c r="E13" s="96">
        <v>232848</v>
      </c>
      <c r="F13" s="96">
        <v>102863.9622</v>
      </c>
      <c r="G13" s="96">
        <v>63259.4432</v>
      </c>
      <c r="H13" s="96">
        <v>12531.75</v>
      </c>
      <c r="I13" s="96">
        <v>178655.1554</v>
      </c>
      <c r="J13" s="96">
        <v>869</v>
      </c>
      <c r="K13" s="96">
        <v>34760</v>
      </c>
      <c r="L13" s="96">
        <v>213415.1554</v>
      </c>
      <c r="M13" s="96">
        <v>392.336206896552</v>
      </c>
      <c r="N13" s="96">
        <v>414.896551724138</v>
      </c>
      <c r="O13" s="96">
        <v>196.422413793103</v>
      </c>
      <c r="P13" s="96">
        <v>476.663793103448</v>
      </c>
      <c r="Q13" s="96">
        <v>454.103448275862</v>
      </c>
      <c r="R13" s="96">
        <v>672.577586206897</v>
      </c>
      <c r="S13" s="105">
        <v>195.913793103448</v>
      </c>
    </row>
    <row r="14" s="1" customFormat="1" ht="24.9" customHeight="1" spans="1:19">
      <c r="A14" s="95">
        <v>44451.07</v>
      </c>
      <c r="B14" s="90">
        <v>106408</v>
      </c>
      <c r="C14" s="90">
        <v>103037</v>
      </c>
      <c r="D14" s="90">
        <v>70776</v>
      </c>
      <c r="E14" s="96">
        <v>280221</v>
      </c>
      <c r="F14" s="96">
        <v>120251.6808</v>
      </c>
      <c r="G14" s="96">
        <v>67715.9164</v>
      </c>
      <c r="H14" s="96">
        <v>19463.4</v>
      </c>
      <c r="I14" s="96">
        <v>207430.9972</v>
      </c>
      <c r="J14" s="96">
        <v>957</v>
      </c>
      <c r="K14" s="96">
        <v>38280</v>
      </c>
      <c r="L14" s="96">
        <v>245710.9972</v>
      </c>
      <c r="M14" s="96">
        <v>458.655172413793</v>
      </c>
      <c r="N14" s="96">
        <v>444.125</v>
      </c>
      <c r="O14" s="96">
        <v>305.068965517241</v>
      </c>
      <c r="P14" s="96">
        <v>498.344827586207</v>
      </c>
      <c r="Q14" s="96">
        <v>512.875</v>
      </c>
      <c r="R14" s="96">
        <v>651.931034482759</v>
      </c>
      <c r="S14" s="105">
        <v>153.586206896552</v>
      </c>
    </row>
    <row r="15" s="1" customFormat="1" ht="24.9" customHeight="1" spans="1:19">
      <c r="A15" s="95">
        <v>44481.07</v>
      </c>
      <c r="B15" s="90">
        <v>92166</v>
      </c>
      <c r="C15" s="90">
        <v>92618</v>
      </c>
      <c r="D15" s="90">
        <v>66292</v>
      </c>
      <c r="E15" s="96">
        <v>251076</v>
      </c>
      <c r="F15" s="96">
        <v>104156.7966</v>
      </c>
      <c r="G15" s="96">
        <v>60868.5496</v>
      </c>
      <c r="H15" s="96">
        <v>18230.3</v>
      </c>
      <c r="I15" s="96">
        <v>183255.6462</v>
      </c>
      <c r="J15" s="96">
        <v>758</v>
      </c>
      <c r="K15" s="96">
        <v>30320</v>
      </c>
      <c r="L15" s="96">
        <v>213575.6462</v>
      </c>
      <c r="M15" s="96">
        <v>397.26724137931</v>
      </c>
      <c r="N15" s="96">
        <v>399.215517241379</v>
      </c>
      <c r="O15" s="96">
        <v>285.741379310345</v>
      </c>
      <c r="P15" s="96">
        <v>360.73275862069</v>
      </c>
      <c r="Q15" s="96">
        <v>358.784482758621</v>
      </c>
      <c r="R15" s="96">
        <v>472.258620689655</v>
      </c>
      <c r="S15" s="105">
        <v>111.525862068966</v>
      </c>
    </row>
    <row r="16" s="1" customFormat="1" ht="24.9" customHeight="1" spans="1:19">
      <c r="A16" s="97" t="s">
        <v>44</v>
      </c>
      <c r="B16" s="98">
        <v>80059.7</v>
      </c>
      <c r="C16" s="98">
        <v>80983.8</v>
      </c>
      <c r="D16" s="98">
        <v>54601</v>
      </c>
      <c r="E16" s="98">
        <v>215644.5</v>
      </c>
      <c r="F16" s="98">
        <v>90475.46697</v>
      </c>
      <c r="G16" s="98">
        <v>53222.55336</v>
      </c>
      <c r="H16" s="98">
        <v>15015.275</v>
      </c>
      <c r="I16" s="98">
        <v>158713.29533</v>
      </c>
      <c r="J16" s="98">
        <v>737.8</v>
      </c>
      <c r="K16" s="98">
        <v>29512</v>
      </c>
      <c r="L16" s="98">
        <v>188225.29533</v>
      </c>
      <c r="M16" s="98">
        <v>345.084913793103</v>
      </c>
      <c r="N16" s="98">
        <v>349.068103448276</v>
      </c>
      <c r="O16" s="98">
        <v>235.349137931034</v>
      </c>
      <c r="P16" s="98">
        <v>392.715086206897</v>
      </c>
      <c r="Q16" s="98">
        <v>388.731896551724</v>
      </c>
      <c r="R16" s="98">
        <v>502.450862068965</v>
      </c>
      <c r="S16" s="88">
        <v>109.735775862069</v>
      </c>
    </row>
    <row r="17" s="1" customFormat="1" ht="24.9" customHeight="1" spans="1:18">
      <c r="A17" s="97" t="s">
        <v>45</v>
      </c>
      <c r="B17" s="98">
        <v>2668.65666666667</v>
      </c>
      <c r="C17" s="98">
        <v>2699.46</v>
      </c>
      <c r="D17" s="98">
        <v>1820.03333333333</v>
      </c>
      <c r="E17" s="98">
        <v>8294.01923076923</v>
      </c>
      <c r="F17" s="98">
        <v>3479.82565269231</v>
      </c>
      <c r="G17" s="98">
        <v>2047.02128307692</v>
      </c>
      <c r="H17" s="98">
        <v>577.510576923077</v>
      </c>
      <c r="I17" s="98">
        <v>6104.35751269231</v>
      </c>
      <c r="J17" s="103"/>
      <c r="K17" s="98">
        <v>1135.07692307692</v>
      </c>
      <c r="L17" s="98">
        <v>7239.43443576923</v>
      </c>
      <c r="M17" s="98"/>
      <c r="N17" s="98"/>
      <c r="O17" s="98"/>
      <c r="P17" s="98"/>
      <c r="Q17" s="98"/>
      <c r="R17" s="98"/>
    </row>
    <row r="18" s="1" customFormat="1" ht="24.9" customHeight="1" spans="1:18">
      <c r="A18" s="97" t="s">
        <v>46</v>
      </c>
      <c r="B18" s="98">
        <v>333.582083333333</v>
      </c>
      <c r="C18" s="98">
        <v>337.4325</v>
      </c>
      <c r="D18" s="98">
        <v>227.504166666667</v>
      </c>
      <c r="E18" s="98"/>
      <c r="F18" s="98"/>
      <c r="G18" s="98"/>
      <c r="H18" s="98"/>
      <c r="I18" s="98"/>
      <c r="J18" s="103"/>
      <c r="K18" s="98"/>
      <c r="L18" s="98"/>
      <c r="M18" s="98"/>
      <c r="N18" s="98"/>
      <c r="O18" s="98"/>
      <c r="P18" s="98"/>
      <c r="Q18" s="98"/>
      <c r="R18" s="98"/>
    </row>
    <row r="51" s="1" customFormat="1" spans="1:8">
      <c r="A51" s="99"/>
      <c r="B51" s="99"/>
      <c r="C51" s="99"/>
      <c r="D51" s="99"/>
      <c r="E51" s="100"/>
      <c r="F51" s="100"/>
      <c r="G51" s="100"/>
      <c r="H51" s="100"/>
    </row>
    <row r="52" s="1" customFormat="1" spans="1:8">
      <c r="A52" s="99"/>
      <c r="B52" s="99"/>
      <c r="C52" s="99"/>
      <c r="D52" s="99"/>
      <c r="E52" s="100"/>
      <c r="F52" s="100"/>
      <c r="G52" s="100"/>
      <c r="H52" s="100"/>
    </row>
    <row r="53" s="1" customFormat="1" spans="1:8">
      <c r="A53" s="99"/>
      <c r="B53" s="99"/>
      <c r="C53" s="99"/>
      <c r="D53" s="99"/>
      <c r="E53" s="100"/>
      <c r="F53" s="100"/>
      <c r="G53" s="100"/>
      <c r="H53" s="100"/>
    </row>
    <row r="54" s="1" customFormat="1" spans="1:8">
      <c r="A54" s="99"/>
      <c r="B54" s="99"/>
      <c r="C54" s="99"/>
      <c r="D54" s="99"/>
      <c r="E54" s="100"/>
      <c r="F54" s="100"/>
      <c r="G54" s="100"/>
      <c r="H54" s="100"/>
    </row>
    <row r="55" s="1" customFormat="1" spans="1:8">
      <c r="A55" s="99"/>
      <c r="B55" s="99"/>
      <c r="C55" s="99"/>
      <c r="D55" s="99"/>
      <c r="E55" s="100"/>
      <c r="F55" s="100"/>
      <c r="G55" s="100"/>
      <c r="H55" s="100"/>
    </row>
    <row r="56" s="1" customFormat="1" spans="1:8">
      <c r="A56" s="99"/>
      <c r="B56" s="99"/>
      <c r="C56" s="99"/>
      <c r="D56" s="99"/>
      <c r="E56" s="100"/>
      <c r="F56" s="100"/>
      <c r="G56" s="100"/>
      <c r="H56" s="100"/>
    </row>
    <row r="57" s="1" customFormat="1" spans="1:8">
      <c r="A57" s="99"/>
      <c r="B57" s="99"/>
      <c r="C57" s="99"/>
      <c r="D57" s="99"/>
      <c r="E57" s="100"/>
      <c r="F57" s="100"/>
      <c r="G57" s="100"/>
      <c r="H57" s="100"/>
    </row>
    <row r="58" s="1" customFormat="1" spans="1:8">
      <c r="A58" s="99"/>
      <c r="B58" s="99"/>
      <c r="C58" s="99"/>
      <c r="D58" s="99"/>
      <c r="E58" s="100"/>
      <c r="F58" s="100"/>
      <c r="G58" s="100"/>
      <c r="H58" s="100"/>
    </row>
    <row r="59" s="1" customFormat="1" spans="1:8">
      <c r="A59" s="99"/>
      <c r="B59" s="99"/>
      <c r="C59" s="99"/>
      <c r="D59" s="99"/>
      <c r="E59" s="100"/>
      <c r="F59" s="100"/>
      <c r="G59" s="100"/>
      <c r="H59" s="100"/>
    </row>
    <row r="60" s="1" customFormat="1" spans="1:8">
      <c r="A60" s="99"/>
      <c r="B60" s="99"/>
      <c r="C60" s="99"/>
      <c r="D60" s="99"/>
      <c r="E60" s="100"/>
      <c r="F60" s="100"/>
      <c r="G60" s="100"/>
      <c r="H60" s="100"/>
    </row>
    <row r="61" s="1" customFormat="1" spans="1:8">
      <c r="A61" s="99"/>
      <c r="B61" s="99"/>
      <c r="C61" s="99"/>
      <c r="D61" s="99"/>
      <c r="E61" s="100"/>
      <c r="F61" s="100"/>
      <c r="G61" s="100"/>
      <c r="H61" s="100"/>
    </row>
    <row r="62" s="1" customFormat="1" spans="1:8">
      <c r="A62" s="99"/>
      <c r="B62" s="99"/>
      <c r="C62" s="99"/>
      <c r="D62" s="99"/>
      <c r="E62" s="100"/>
      <c r="F62" s="100"/>
      <c r="G62" s="100"/>
      <c r="H62" s="100"/>
    </row>
    <row r="63" s="1" customFormat="1" spans="1:8">
      <c r="A63" s="99"/>
      <c r="B63" s="99"/>
      <c r="C63" s="99"/>
      <c r="D63" s="99"/>
      <c r="E63" s="100"/>
      <c r="F63" s="100"/>
      <c r="G63" s="100"/>
      <c r="H63" s="100"/>
    </row>
    <row r="64" s="1" customFormat="1" spans="1:8">
      <c r="A64" s="99"/>
      <c r="B64" s="99"/>
      <c r="C64" s="99"/>
      <c r="D64" s="101"/>
      <c r="E64" s="100"/>
      <c r="F64" s="100"/>
      <c r="G64" s="100"/>
      <c r="H64" s="100"/>
    </row>
    <row r="65" s="1" customFormat="1" spans="1:8">
      <c r="A65" s="99"/>
      <c r="B65" s="99"/>
      <c r="C65" s="99"/>
      <c r="D65" s="99"/>
      <c r="E65" s="100"/>
      <c r="F65" s="100"/>
      <c r="G65" s="100"/>
      <c r="H65" s="100"/>
    </row>
  </sheetData>
  <mergeCells count="1">
    <mergeCell ref="A1:R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L63" sqref="L63"/>
    </sheetView>
  </sheetViews>
  <sheetFormatPr defaultColWidth="9" defaultRowHeight="13.5"/>
  <cols>
    <col min="1" max="1" width="12.4416666666667" style="1" customWidth="1"/>
    <col min="2" max="4" width="12.8833333333333" style="1" customWidth="1"/>
    <col min="5" max="5" width="10.1083333333333" style="1" customWidth="1"/>
    <col min="6" max="6" width="9.66666666666667" style="1" customWidth="1"/>
    <col min="7" max="9" width="9.21666666666667" style="1" customWidth="1"/>
    <col min="10" max="10" width="11" style="1" customWidth="1"/>
    <col min="11" max="11" width="8.33333333333333" style="1" customWidth="1"/>
    <col min="12" max="12" width="13.4416666666667" style="1" customWidth="1"/>
    <col min="13" max="18" width="10.2166666666667" style="1" customWidth="1"/>
    <col min="19" max="19" width="12.8833333333333" style="1"/>
    <col min="20" max="16384" width="10" style="1"/>
  </cols>
  <sheetData>
    <row r="1" s="83" customFormat="1" ht="39.75" customHeight="1" spans="1:18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104"/>
    </row>
    <row r="2" s="1" customFormat="1" ht="24.9" customHeight="1" spans="1:18">
      <c r="A2" s="86" t="s">
        <v>15</v>
      </c>
      <c r="B2" s="87">
        <v>1.0697</v>
      </c>
      <c r="C2" s="87">
        <v>0.6418</v>
      </c>
      <c r="D2" s="87">
        <v>0.3139</v>
      </c>
      <c r="E2" s="88"/>
      <c r="F2" s="89" t="s">
        <v>16</v>
      </c>
      <c r="G2" s="87">
        <v>7</v>
      </c>
      <c r="H2" s="89" t="s">
        <v>17</v>
      </c>
      <c r="I2" s="90">
        <v>8</v>
      </c>
      <c r="J2" s="102" t="s">
        <v>18</v>
      </c>
      <c r="K2" s="87">
        <v>10</v>
      </c>
      <c r="L2" s="88"/>
      <c r="M2" s="86"/>
      <c r="N2" s="86"/>
      <c r="O2" s="86"/>
      <c r="P2" s="86"/>
      <c r="Q2" s="86"/>
      <c r="R2" s="86"/>
    </row>
    <row r="3" s="1" customFormat="1" ht="24.9" customHeight="1" spans="1:18">
      <c r="A3" s="86" t="s">
        <v>19</v>
      </c>
      <c r="B3" s="87">
        <v>1.0697</v>
      </c>
      <c r="C3" s="87">
        <v>0.6418</v>
      </c>
      <c r="D3" s="87">
        <v>0.3139</v>
      </c>
      <c r="E3" s="88"/>
      <c r="F3" s="89" t="s">
        <v>20</v>
      </c>
      <c r="G3" s="90">
        <v>29</v>
      </c>
      <c r="H3" s="89" t="s">
        <v>21</v>
      </c>
      <c r="I3" s="87">
        <v>8</v>
      </c>
      <c r="J3" s="89" t="s">
        <v>22</v>
      </c>
      <c r="K3" s="90">
        <v>40</v>
      </c>
      <c r="L3" s="88"/>
      <c r="M3" s="86"/>
      <c r="N3" s="86"/>
      <c r="O3" s="86"/>
      <c r="P3" s="86"/>
      <c r="Q3" s="86"/>
      <c r="R3" s="86"/>
    </row>
    <row r="4" s="1" customFormat="1" ht="24.9" customHeight="1" spans="1:18">
      <c r="A4" s="86" t="s">
        <v>23</v>
      </c>
      <c r="B4" s="87">
        <v>1.1301</v>
      </c>
      <c r="C4" s="87">
        <v>0.6572</v>
      </c>
      <c r="D4" s="91">
        <v>0.275</v>
      </c>
      <c r="E4" s="88"/>
      <c r="F4" s="88"/>
      <c r="G4" s="88"/>
      <c r="H4" s="89" t="s">
        <v>24</v>
      </c>
      <c r="I4" s="90">
        <v>8</v>
      </c>
      <c r="J4" s="89" t="s">
        <v>25</v>
      </c>
      <c r="K4" s="90">
        <v>28000</v>
      </c>
      <c r="L4" s="88"/>
      <c r="M4" s="86"/>
      <c r="N4" s="86"/>
      <c r="O4" s="86"/>
      <c r="P4" s="86"/>
      <c r="Q4" s="86"/>
      <c r="R4" s="86"/>
    </row>
    <row r="5" s="1" customFormat="1" ht="24.9" customHeight="1" spans="1:18">
      <c r="A5" s="92" t="s">
        <v>26</v>
      </c>
      <c r="B5" s="93" t="s">
        <v>27</v>
      </c>
      <c r="C5" s="93" t="s">
        <v>28</v>
      </c>
      <c r="D5" s="93" t="s">
        <v>29</v>
      </c>
      <c r="E5" s="94" t="s">
        <v>30</v>
      </c>
      <c r="F5" s="94" t="s">
        <v>31</v>
      </c>
      <c r="G5" s="94" t="s">
        <v>32</v>
      </c>
      <c r="H5" s="94" t="s">
        <v>33</v>
      </c>
      <c r="I5" s="94" t="s">
        <v>34</v>
      </c>
      <c r="J5" s="102" t="s">
        <v>35</v>
      </c>
      <c r="K5" s="102" t="s">
        <v>36</v>
      </c>
      <c r="L5" s="94" t="s">
        <v>37</v>
      </c>
      <c r="M5" s="102" t="s">
        <v>38</v>
      </c>
      <c r="N5" s="102" t="s">
        <v>39</v>
      </c>
      <c r="O5" s="102" t="s">
        <v>40</v>
      </c>
      <c r="P5" s="102" t="s">
        <v>41</v>
      </c>
      <c r="Q5" s="102" t="s">
        <v>42</v>
      </c>
      <c r="R5" s="102" t="s">
        <v>43</v>
      </c>
    </row>
    <row r="6" s="1" customFormat="1" ht="24.9" customHeight="1" spans="1:19">
      <c r="A6" s="95">
        <v>44208.07</v>
      </c>
      <c r="B6" s="90">
        <v>51099</v>
      </c>
      <c r="C6" s="90">
        <v>50760</v>
      </c>
      <c r="D6" s="90">
        <v>26370</v>
      </c>
      <c r="E6" s="96">
        <v>128229</v>
      </c>
      <c r="F6" s="96">
        <v>57746.9799</v>
      </c>
      <c r="G6" s="96">
        <v>33359.472</v>
      </c>
      <c r="H6" s="96">
        <v>7251.75</v>
      </c>
      <c r="I6" s="96">
        <v>98358.2019</v>
      </c>
      <c r="J6" s="96">
        <v>500</v>
      </c>
      <c r="K6" s="96">
        <v>20000</v>
      </c>
      <c r="L6" s="96">
        <v>118358.2019</v>
      </c>
      <c r="M6" s="96">
        <v>220.254310344828</v>
      </c>
      <c r="N6" s="96">
        <v>218.793103448276</v>
      </c>
      <c r="O6" s="96">
        <v>113.663793103448</v>
      </c>
      <c r="P6" s="96">
        <v>279.745689655172</v>
      </c>
      <c r="Q6" s="96">
        <v>281.206896551724</v>
      </c>
      <c r="R6" s="96">
        <v>386.336206896552</v>
      </c>
      <c r="S6" s="105">
        <v>106.590517241379</v>
      </c>
    </row>
    <row r="7" s="1" customFormat="1" ht="24.9" customHeight="1" spans="1:19">
      <c r="A7" s="95">
        <v>44239.07</v>
      </c>
      <c r="B7" s="90">
        <v>32989</v>
      </c>
      <c r="C7" s="90">
        <v>32791</v>
      </c>
      <c r="D7" s="90">
        <v>19625</v>
      </c>
      <c r="E7" s="96">
        <v>85405</v>
      </c>
      <c r="F7" s="96">
        <v>37280.8689</v>
      </c>
      <c r="G7" s="96">
        <v>21550.2452</v>
      </c>
      <c r="H7" s="96">
        <v>5396.875</v>
      </c>
      <c r="I7" s="96">
        <v>64227.9891</v>
      </c>
      <c r="J7" s="96">
        <v>500</v>
      </c>
      <c r="K7" s="96">
        <v>20000</v>
      </c>
      <c r="L7" s="96">
        <v>84227.9891</v>
      </c>
      <c r="M7" s="96">
        <v>142.193965517241</v>
      </c>
      <c r="N7" s="96">
        <v>141.340517241379</v>
      </c>
      <c r="O7" s="96">
        <v>84.5905172413793</v>
      </c>
      <c r="P7" s="96">
        <v>357.806034482759</v>
      </c>
      <c r="Q7" s="96">
        <v>358.659482758621</v>
      </c>
      <c r="R7" s="96">
        <v>415.409482758621</v>
      </c>
      <c r="S7" s="105">
        <v>57.603448275862</v>
      </c>
    </row>
    <row r="8" s="1" customFormat="1" ht="24.9" customHeight="1" spans="1:19">
      <c r="A8" s="95">
        <v>44267.07</v>
      </c>
      <c r="B8" s="90">
        <v>59538</v>
      </c>
      <c r="C8" s="90">
        <v>59844</v>
      </c>
      <c r="D8" s="90">
        <v>38705</v>
      </c>
      <c r="E8" s="96">
        <v>158087</v>
      </c>
      <c r="F8" s="96">
        <v>67283.8938</v>
      </c>
      <c r="G8" s="96">
        <v>39329.4768</v>
      </c>
      <c r="H8" s="96">
        <v>10643.875</v>
      </c>
      <c r="I8" s="96">
        <v>117257.2456</v>
      </c>
      <c r="J8" s="96">
        <v>500</v>
      </c>
      <c r="K8" s="96">
        <v>20000</v>
      </c>
      <c r="L8" s="96">
        <v>137257.2456</v>
      </c>
      <c r="M8" s="96">
        <v>256.629310344828</v>
      </c>
      <c r="N8" s="96">
        <v>257.948275862069</v>
      </c>
      <c r="O8" s="96">
        <v>166.831896551724</v>
      </c>
      <c r="P8" s="96">
        <v>243.370689655172</v>
      </c>
      <c r="Q8" s="96">
        <v>242.051724137931</v>
      </c>
      <c r="R8" s="96">
        <v>333.168103448276</v>
      </c>
      <c r="S8" s="105">
        <v>89.7974137931034</v>
      </c>
    </row>
    <row r="9" s="1" customFormat="1" ht="24.9" customHeight="1" spans="1:19">
      <c r="A9" s="95">
        <v>44298.07</v>
      </c>
      <c r="B9" s="90">
        <v>57562</v>
      </c>
      <c r="C9" s="90">
        <v>58280</v>
      </c>
      <c r="D9" s="90">
        <v>40836</v>
      </c>
      <c r="E9" s="96">
        <v>156678</v>
      </c>
      <c r="F9" s="96">
        <v>65050.8162</v>
      </c>
      <c r="G9" s="96">
        <v>38301.616</v>
      </c>
      <c r="H9" s="96">
        <v>11229.9</v>
      </c>
      <c r="I9" s="96">
        <v>114582.3322</v>
      </c>
      <c r="J9" s="96">
        <v>500</v>
      </c>
      <c r="K9" s="96">
        <v>20000</v>
      </c>
      <c r="L9" s="96">
        <v>134582.3322</v>
      </c>
      <c r="M9" s="96">
        <v>248.112068965517</v>
      </c>
      <c r="N9" s="96">
        <v>251.206896551724</v>
      </c>
      <c r="O9" s="96">
        <v>176.01724137931</v>
      </c>
      <c r="P9" s="96">
        <v>251.887931034483</v>
      </c>
      <c r="Q9" s="96">
        <v>248.793103448276</v>
      </c>
      <c r="R9" s="96">
        <v>323.98275862069</v>
      </c>
      <c r="S9" s="105">
        <v>72.0948275862069</v>
      </c>
    </row>
    <row r="10" s="1" customFormat="1" ht="24.9" customHeight="1" spans="1:19">
      <c r="A10" s="95">
        <v>44328.07</v>
      </c>
      <c r="B10" s="90">
        <v>42451</v>
      </c>
      <c r="C10" s="90">
        <v>43789</v>
      </c>
      <c r="D10" s="90">
        <v>27593</v>
      </c>
      <c r="E10" s="96">
        <v>113833</v>
      </c>
      <c r="F10" s="96">
        <v>47973.8751</v>
      </c>
      <c r="G10" s="96">
        <v>28778.1308</v>
      </c>
      <c r="H10" s="96">
        <v>7588.075</v>
      </c>
      <c r="I10" s="96">
        <v>84340.0809</v>
      </c>
      <c r="J10" s="96">
        <v>500</v>
      </c>
      <c r="K10" s="96">
        <v>20000</v>
      </c>
      <c r="L10" s="96">
        <v>104340.0809</v>
      </c>
      <c r="M10" s="96">
        <v>182.978448275862</v>
      </c>
      <c r="N10" s="96">
        <v>188.745689655172</v>
      </c>
      <c r="O10" s="96">
        <v>118.935344827586</v>
      </c>
      <c r="P10" s="96">
        <v>317.021551724138</v>
      </c>
      <c r="Q10" s="96">
        <v>311.254310344828</v>
      </c>
      <c r="R10" s="96">
        <v>381.064655172414</v>
      </c>
      <c r="S10" s="105">
        <v>64.0431034482759</v>
      </c>
    </row>
    <row r="11" s="1" customFormat="1" ht="24.9" customHeight="1" spans="1:19">
      <c r="A11" s="95">
        <v>44359.07</v>
      </c>
      <c r="B11" s="90">
        <v>41182</v>
      </c>
      <c r="C11" s="90">
        <v>40479</v>
      </c>
      <c r="D11" s="90">
        <v>20314</v>
      </c>
      <c r="E11" s="96">
        <v>101975</v>
      </c>
      <c r="F11" s="96">
        <v>46539.7782</v>
      </c>
      <c r="G11" s="96">
        <v>26602.7988</v>
      </c>
      <c r="H11" s="96">
        <v>5586.35</v>
      </c>
      <c r="I11" s="96">
        <v>78728.927</v>
      </c>
      <c r="J11" s="96">
        <v>500</v>
      </c>
      <c r="K11" s="96">
        <v>20000</v>
      </c>
      <c r="L11" s="96">
        <v>98728.927</v>
      </c>
      <c r="M11" s="96">
        <v>177.508620689655</v>
      </c>
      <c r="N11" s="96">
        <v>174.478448275862</v>
      </c>
      <c r="O11" s="96">
        <v>87.5603448275862</v>
      </c>
      <c r="P11" s="96">
        <v>322.491379310345</v>
      </c>
      <c r="Q11" s="96">
        <v>325.521551724138</v>
      </c>
      <c r="R11" s="96">
        <v>412.439655172414</v>
      </c>
      <c r="S11" s="105">
        <v>89.948275862069</v>
      </c>
    </row>
    <row r="12" s="1" customFormat="1" ht="24.9" customHeight="1" spans="1:19">
      <c r="A12" s="95">
        <v>44389.07</v>
      </c>
      <c r="B12" s="90">
        <v>33732</v>
      </c>
      <c r="C12" s="90">
        <v>40872</v>
      </c>
      <c r="D12" s="90">
        <v>17616</v>
      </c>
      <c r="E12" s="96">
        <v>92220</v>
      </c>
      <c r="F12" s="96">
        <v>38120.5332</v>
      </c>
      <c r="G12" s="96">
        <v>26861.0784</v>
      </c>
      <c r="H12" s="96">
        <v>4844.4</v>
      </c>
      <c r="I12" s="96">
        <v>69826.0116</v>
      </c>
      <c r="J12" s="96">
        <v>500</v>
      </c>
      <c r="K12" s="96">
        <v>20000</v>
      </c>
      <c r="L12" s="96">
        <v>89826.0116</v>
      </c>
      <c r="M12" s="96">
        <v>145.396551724138</v>
      </c>
      <c r="N12" s="96">
        <v>176.172413793103</v>
      </c>
      <c r="O12" s="96">
        <v>75.9310344827586</v>
      </c>
      <c r="P12" s="96">
        <v>354.603448275862</v>
      </c>
      <c r="Q12" s="96">
        <v>323.827586206897</v>
      </c>
      <c r="R12" s="96">
        <v>424.068965517241</v>
      </c>
      <c r="S12" s="105">
        <v>69.4655172413793</v>
      </c>
    </row>
    <row r="13" s="1" customFormat="1" ht="24.9" customHeight="1" spans="1:19">
      <c r="A13" s="95">
        <v>44420.07</v>
      </c>
      <c r="B13" s="90">
        <v>33929</v>
      </c>
      <c r="C13" s="90">
        <v>35069</v>
      </c>
      <c r="D13" s="90">
        <v>16687</v>
      </c>
      <c r="E13" s="96">
        <v>85685</v>
      </c>
      <c r="F13" s="96">
        <v>38343.1629</v>
      </c>
      <c r="G13" s="96">
        <v>23047.3468</v>
      </c>
      <c r="H13" s="96">
        <v>4588.925</v>
      </c>
      <c r="I13" s="96">
        <v>65979.4347</v>
      </c>
      <c r="J13" s="96">
        <v>500</v>
      </c>
      <c r="K13" s="96">
        <v>20000</v>
      </c>
      <c r="L13" s="96">
        <v>85979.4347</v>
      </c>
      <c r="M13" s="96">
        <v>146.245689655172</v>
      </c>
      <c r="N13" s="96">
        <v>151.159482758621</v>
      </c>
      <c r="O13" s="96">
        <v>71.926724137931</v>
      </c>
      <c r="P13" s="96">
        <v>353.754310344828</v>
      </c>
      <c r="Q13" s="96">
        <v>348.840517241379</v>
      </c>
      <c r="R13" s="96">
        <v>428.073275862069</v>
      </c>
      <c r="S13" s="105">
        <v>74.3189655172414</v>
      </c>
    </row>
    <row r="14" s="1" customFormat="1" ht="24.9" customHeight="1" spans="1:19">
      <c r="A14" s="95">
        <v>44451.07</v>
      </c>
      <c r="B14" s="90">
        <v>40189</v>
      </c>
      <c r="C14" s="90">
        <v>39354</v>
      </c>
      <c r="D14" s="90">
        <v>21614</v>
      </c>
      <c r="E14" s="96">
        <v>101157</v>
      </c>
      <c r="F14" s="96">
        <v>45417.5889</v>
      </c>
      <c r="G14" s="96">
        <v>25863.4488</v>
      </c>
      <c r="H14" s="96">
        <v>5943.85</v>
      </c>
      <c r="I14" s="96">
        <v>77224.8877</v>
      </c>
      <c r="J14" s="96">
        <v>500</v>
      </c>
      <c r="K14" s="96">
        <v>20000</v>
      </c>
      <c r="L14" s="96">
        <v>97224.8877</v>
      </c>
      <c r="M14" s="96">
        <v>173.228448275862</v>
      </c>
      <c r="N14" s="96">
        <v>169.629310344828</v>
      </c>
      <c r="O14" s="96">
        <v>93.1637931034483</v>
      </c>
      <c r="P14" s="96">
        <v>326.771551724138</v>
      </c>
      <c r="Q14" s="96">
        <v>330.370689655172</v>
      </c>
      <c r="R14" s="96">
        <v>406.836206896552</v>
      </c>
      <c r="S14" s="105">
        <v>80.0646551724138</v>
      </c>
    </row>
    <row r="15" s="1" customFormat="1" ht="24.9" customHeight="1" spans="1:19">
      <c r="A15" s="95">
        <v>44481.07</v>
      </c>
      <c r="B15" s="90">
        <v>41257</v>
      </c>
      <c r="C15" s="90">
        <v>40537</v>
      </c>
      <c r="D15" s="90">
        <v>18295</v>
      </c>
      <c r="E15" s="96">
        <v>100089</v>
      </c>
      <c r="F15" s="96">
        <v>46624.5357</v>
      </c>
      <c r="G15" s="96">
        <v>26640.9164</v>
      </c>
      <c r="H15" s="96">
        <v>5031.125</v>
      </c>
      <c r="I15" s="96">
        <v>78296.5771</v>
      </c>
      <c r="J15" s="96">
        <v>500</v>
      </c>
      <c r="K15" s="96">
        <v>20000</v>
      </c>
      <c r="L15" s="96">
        <v>98296.5771</v>
      </c>
      <c r="M15" s="96">
        <v>177.831896551724</v>
      </c>
      <c r="N15" s="96">
        <v>174.728448275862</v>
      </c>
      <c r="O15" s="96">
        <v>78.8577586206897</v>
      </c>
      <c r="P15" s="96">
        <v>322.168103448276</v>
      </c>
      <c r="Q15" s="96">
        <v>325.271551724138</v>
      </c>
      <c r="R15" s="96">
        <v>421.14224137931</v>
      </c>
      <c r="S15" s="105">
        <v>98.9741379310345</v>
      </c>
    </row>
    <row r="16" s="1" customFormat="1" ht="24.9" customHeight="1" spans="1:19">
      <c r="A16" s="97" t="s">
        <v>44</v>
      </c>
      <c r="B16" s="98">
        <v>43392.8</v>
      </c>
      <c r="C16" s="98">
        <v>44177.5</v>
      </c>
      <c r="D16" s="98">
        <v>24765.5</v>
      </c>
      <c r="E16" s="98">
        <v>112335.8</v>
      </c>
      <c r="F16" s="98">
        <v>49038.20328</v>
      </c>
      <c r="G16" s="98">
        <v>29033.453</v>
      </c>
      <c r="H16" s="98">
        <v>6810.5125</v>
      </c>
      <c r="I16" s="98">
        <v>84882.16878</v>
      </c>
      <c r="J16" s="98">
        <v>500</v>
      </c>
      <c r="K16" s="98">
        <v>20000</v>
      </c>
      <c r="L16" s="98">
        <v>104882.16878</v>
      </c>
      <c r="M16" s="98">
        <v>187.037931034483</v>
      </c>
      <c r="N16" s="98">
        <v>190.42025862069</v>
      </c>
      <c r="O16" s="98">
        <v>106.747844827586</v>
      </c>
      <c r="P16" s="98">
        <v>312.962068965517</v>
      </c>
      <c r="Q16" s="98">
        <v>309.57974137931</v>
      </c>
      <c r="R16" s="98">
        <v>393.252155172414</v>
      </c>
      <c r="S16" s="88">
        <v>80.2900862068966</v>
      </c>
    </row>
    <row r="17" s="1" customFormat="1" ht="24.9" customHeight="1" spans="1:18">
      <c r="A17" s="97" t="s">
        <v>45</v>
      </c>
      <c r="B17" s="98">
        <v>1446.42666666667</v>
      </c>
      <c r="C17" s="98">
        <v>1472.58333333333</v>
      </c>
      <c r="D17" s="98">
        <v>825.516666666667</v>
      </c>
      <c r="E17" s="98">
        <v>4320.60769230769</v>
      </c>
      <c r="F17" s="98">
        <v>1886.08474153846</v>
      </c>
      <c r="G17" s="98">
        <v>1116.67126923077</v>
      </c>
      <c r="H17" s="98">
        <v>261.942788461538</v>
      </c>
      <c r="I17" s="98">
        <v>3264.69879923077</v>
      </c>
      <c r="J17" s="103"/>
      <c r="K17" s="98">
        <v>769.230769230769</v>
      </c>
      <c r="L17" s="98">
        <v>4033.92956846154</v>
      </c>
      <c r="M17" s="98"/>
      <c r="N17" s="98"/>
      <c r="O17" s="98"/>
      <c r="P17" s="98"/>
      <c r="Q17" s="98"/>
      <c r="R17" s="98"/>
    </row>
    <row r="18" s="1" customFormat="1" ht="24.9" customHeight="1" spans="1:18">
      <c r="A18" s="97" t="s">
        <v>46</v>
      </c>
      <c r="B18" s="98">
        <v>180.803333333333</v>
      </c>
      <c r="C18" s="98">
        <v>184.072916666667</v>
      </c>
      <c r="D18" s="98">
        <v>103.189583333333</v>
      </c>
      <c r="E18" s="98"/>
      <c r="F18" s="98"/>
      <c r="G18" s="98"/>
      <c r="H18" s="98"/>
      <c r="I18" s="98"/>
      <c r="J18" s="103"/>
      <c r="K18" s="98"/>
      <c r="L18" s="98"/>
      <c r="M18" s="98"/>
      <c r="N18" s="98"/>
      <c r="O18" s="98"/>
      <c r="P18" s="98"/>
      <c r="Q18" s="98"/>
      <c r="R18" s="98"/>
    </row>
    <row r="50" s="1" customFormat="1" spans="1:8">
      <c r="A50" s="99"/>
      <c r="B50" s="99"/>
      <c r="C50" s="99"/>
      <c r="D50" s="99"/>
      <c r="E50" s="100"/>
      <c r="F50" s="100"/>
      <c r="G50" s="100"/>
      <c r="H50" s="100"/>
    </row>
    <row r="51" s="1" customFormat="1" spans="1:8">
      <c r="A51" s="99"/>
      <c r="B51" s="99"/>
      <c r="C51" s="99"/>
      <c r="D51" s="99"/>
      <c r="E51" s="100"/>
      <c r="F51" s="100"/>
      <c r="G51" s="100"/>
      <c r="H51" s="100"/>
    </row>
    <row r="52" s="1" customFormat="1" spans="1:8">
      <c r="A52" s="99"/>
      <c r="B52" s="99"/>
      <c r="C52" s="99"/>
      <c r="D52" s="99"/>
      <c r="E52" s="100"/>
      <c r="F52" s="100"/>
      <c r="G52" s="100"/>
      <c r="H52" s="100"/>
    </row>
    <row r="53" s="1" customFormat="1" spans="1:8">
      <c r="A53" s="99"/>
      <c r="B53" s="99"/>
      <c r="C53" s="99"/>
      <c r="D53" s="99"/>
      <c r="E53" s="100"/>
      <c r="F53" s="100"/>
      <c r="G53" s="100"/>
      <c r="H53" s="100"/>
    </row>
    <row r="54" s="1" customFormat="1" spans="1:8">
      <c r="A54" s="99"/>
      <c r="B54" s="99"/>
      <c r="C54" s="99"/>
      <c r="D54" s="99"/>
      <c r="E54" s="100"/>
      <c r="F54" s="100"/>
      <c r="G54" s="100"/>
      <c r="H54" s="100"/>
    </row>
    <row r="55" s="1" customFormat="1" spans="1:8">
      <c r="A55" s="99"/>
      <c r="B55" s="99"/>
      <c r="C55" s="99"/>
      <c r="D55" s="99"/>
      <c r="E55" s="100"/>
      <c r="F55" s="100"/>
      <c r="G55" s="100"/>
      <c r="H55" s="100"/>
    </row>
    <row r="56" s="1" customFormat="1" spans="1:8">
      <c r="A56" s="99"/>
      <c r="B56" s="99"/>
      <c r="C56" s="99"/>
      <c r="D56" s="99"/>
      <c r="E56" s="100"/>
      <c r="F56" s="100"/>
      <c r="G56" s="100"/>
      <c r="H56" s="100"/>
    </row>
    <row r="57" s="1" customFormat="1" spans="1:8">
      <c r="A57" s="99"/>
      <c r="B57" s="99"/>
      <c r="C57" s="99"/>
      <c r="D57" s="99"/>
      <c r="E57" s="100"/>
      <c r="F57" s="100"/>
      <c r="G57" s="100"/>
      <c r="H57" s="100"/>
    </row>
    <row r="58" s="1" customFormat="1" spans="1:8">
      <c r="A58" s="99"/>
      <c r="B58" s="99"/>
      <c r="C58" s="99"/>
      <c r="D58" s="99"/>
      <c r="E58" s="100"/>
      <c r="F58" s="100"/>
      <c r="G58" s="100"/>
      <c r="H58" s="100"/>
    </row>
    <row r="59" s="1" customFormat="1" spans="1:8">
      <c r="A59" s="99"/>
      <c r="B59" s="99"/>
      <c r="C59" s="99"/>
      <c r="D59" s="99"/>
      <c r="E59" s="100"/>
      <c r="F59" s="100"/>
      <c r="G59" s="100"/>
      <c r="H59" s="100"/>
    </row>
    <row r="60" s="1" customFormat="1" spans="1:8">
      <c r="A60" s="99"/>
      <c r="B60" s="99"/>
      <c r="C60" s="99"/>
      <c r="D60" s="99"/>
      <c r="E60" s="100"/>
      <c r="F60" s="100"/>
      <c r="G60" s="100"/>
      <c r="H60" s="100"/>
    </row>
    <row r="61" s="1" customFormat="1" spans="1:8">
      <c r="A61" s="99"/>
      <c r="B61" s="99"/>
      <c r="C61" s="99"/>
      <c r="D61" s="99"/>
      <c r="E61" s="100"/>
      <c r="F61" s="100"/>
      <c r="G61" s="100"/>
      <c r="H61" s="100"/>
    </row>
    <row r="62" s="1" customFormat="1" spans="1:8">
      <c r="A62" s="99"/>
      <c r="B62" s="99"/>
      <c r="C62" s="99"/>
      <c r="D62" s="99"/>
      <c r="E62" s="100"/>
      <c r="F62" s="100"/>
      <c r="G62" s="100"/>
      <c r="H62" s="100"/>
    </row>
    <row r="63" s="1" customFormat="1" spans="1:8">
      <c r="A63" s="99"/>
      <c r="B63" s="99"/>
      <c r="C63" s="99"/>
      <c r="D63" s="101"/>
      <c r="E63" s="100"/>
      <c r="F63" s="100"/>
      <c r="G63" s="100"/>
      <c r="H63" s="100"/>
    </row>
    <row r="64" s="1" customFormat="1" spans="1:8">
      <c r="A64" s="99"/>
      <c r="B64" s="99"/>
      <c r="C64" s="99"/>
      <c r="D64" s="99"/>
      <c r="E64" s="100"/>
      <c r="F64" s="100"/>
      <c r="G64" s="100"/>
      <c r="H64" s="100"/>
    </row>
  </sheetData>
  <mergeCells count="1">
    <mergeCell ref="A1:R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opLeftCell="A43" workbookViewId="0">
      <selection activeCell="K61" sqref="K61"/>
    </sheetView>
  </sheetViews>
  <sheetFormatPr defaultColWidth="9" defaultRowHeight="13.5"/>
  <cols>
    <col min="1" max="1" width="5.44166666666667" style="1" customWidth="1"/>
    <col min="2" max="3" width="10.1083333333333" style="1" customWidth="1"/>
    <col min="4" max="4" width="16.8833333333333" style="1" customWidth="1"/>
    <col min="5" max="5" width="14.775" style="1" customWidth="1"/>
    <col min="6" max="6" width="13.1083333333333" style="1" customWidth="1"/>
    <col min="7" max="7" width="10.1083333333333" style="1" customWidth="1"/>
    <col min="8" max="8" width="10.6666666666667" style="1" customWidth="1"/>
    <col min="9" max="9" width="12.4416666666667" style="1" customWidth="1"/>
    <col min="10" max="10" width="15.8833333333333" style="1" customWidth="1"/>
    <col min="11" max="11" width="8.88333333333333" style="1"/>
    <col min="12" max="12" width="12.8833333333333" style="1"/>
    <col min="13" max="16384" width="8.88333333333333" style="1"/>
  </cols>
  <sheetData>
    <row r="1" s="1" customFormat="1" ht="39.75" customHeight="1" spans="1:9">
      <c r="A1" s="48" t="s">
        <v>48</v>
      </c>
      <c r="B1" s="48"/>
      <c r="C1" s="48"/>
      <c r="D1" s="48"/>
      <c r="E1" s="48"/>
      <c r="F1" s="48"/>
      <c r="G1" s="48"/>
      <c r="H1" s="48"/>
      <c r="I1" s="80"/>
    </row>
    <row r="2" s="1" customFormat="1" ht="36.75" customHeight="1" spans="1:9">
      <c r="A2" s="49" t="s">
        <v>49</v>
      </c>
      <c r="B2" s="49" t="s">
        <v>50</v>
      </c>
      <c r="C2" s="49"/>
      <c r="D2" s="50" t="s">
        <v>51</v>
      </c>
      <c r="E2" s="51" t="s">
        <v>52</v>
      </c>
      <c r="F2" s="52" t="s">
        <v>53</v>
      </c>
      <c r="G2" s="52" t="s">
        <v>54</v>
      </c>
      <c r="H2" s="52"/>
      <c r="I2" s="52"/>
    </row>
    <row r="3" s="1" customFormat="1" ht="24.9" customHeight="1" spans="1:9">
      <c r="A3" s="49">
        <v>1</v>
      </c>
      <c r="B3" s="53" t="s">
        <v>55</v>
      </c>
      <c r="C3" s="53"/>
      <c r="D3" s="54">
        <v>900</v>
      </c>
      <c r="E3" s="53" t="s">
        <v>56</v>
      </c>
      <c r="F3" s="53">
        <v>900</v>
      </c>
      <c r="G3" s="55" t="s">
        <v>57</v>
      </c>
      <c r="H3" s="55"/>
      <c r="I3" s="55"/>
    </row>
    <row r="4" s="1" customFormat="1" ht="24.9" customHeight="1" spans="1:9">
      <c r="A4" s="49">
        <v>2</v>
      </c>
      <c r="B4" s="53" t="s">
        <v>58</v>
      </c>
      <c r="C4" s="53"/>
      <c r="D4" s="54">
        <v>4</v>
      </c>
      <c r="E4" s="53" t="s">
        <v>59</v>
      </c>
      <c r="F4" s="53">
        <v>4</v>
      </c>
      <c r="G4" s="53"/>
      <c r="H4" s="53"/>
      <c r="I4" s="53"/>
    </row>
    <row r="5" s="1" customFormat="1" ht="24.9" customHeight="1" spans="1:9">
      <c r="A5" s="49">
        <v>3</v>
      </c>
      <c r="B5" s="53" t="s">
        <v>60</v>
      </c>
      <c r="C5" s="53"/>
      <c r="D5" s="54">
        <v>3150</v>
      </c>
      <c r="E5" s="53" t="s">
        <v>61</v>
      </c>
      <c r="F5" s="53">
        <v>3150</v>
      </c>
      <c r="G5" s="53"/>
      <c r="H5" s="53"/>
      <c r="I5" s="53"/>
    </row>
    <row r="6" s="1" customFormat="1" ht="24.9" customHeight="1" spans="1:9">
      <c r="A6" s="49">
        <v>4</v>
      </c>
      <c r="B6" s="53" t="s">
        <v>62</v>
      </c>
      <c r="C6" s="53"/>
      <c r="D6" s="56" t="s">
        <v>63</v>
      </c>
      <c r="E6" s="53" t="s">
        <v>61</v>
      </c>
      <c r="F6" s="57">
        <v>2835</v>
      </c>
      <c r="G6" s="53"/>
      <c r="H6" s="53"/>
      <c r="I6" s="53"/>
    </row>
    <row r="7" s="1" customFormat="1" ht="24.9" customHeight="1" spans="1:9">
      <c r="A7" s="49">
        <v>5</v>
      </c>
      <c r="B7" s="53" t="s">
        <v>64</v>
      </c>
      <c r="C7" s="58" t="s">
        <v>65</v>
      </c>
      <c r="D7" s="53">
        <v>9.9</v>
      </c>
      <c r="E7" s="53" t="s">
        <v>56</v>
      </c>
      <c r="F7" s="53">
        <v>9.9</v>
      </c>
      <c r="G7" s="59" t="s">
        <v>66</v>
      </c>
      <c r="H7" s="59"/>
      <c r="I7" s="59"/>
    </row>
    <row r="8" s="1" customFormat="1" ht="24.9" customHeight="1" spans="1:9">
      <c r="A8" s="49">
        <v>6</v>
      </c>
      <c r="B8" s="53"/>
      <c r="C8" s="58" t="s">
        <v>67</v>
      </c>
      <c r="D8" s="53">
        <v>59.4</v>
      </c>
      <c r="E8" s="53" t="s">
        <v>68</v>
      </c>
      <c r="F8" s="53">
        <v>59.4</v>
      </c>
      <c r="G8" s="60" t="s">
        <v>69</v>
      </c>
      <c r="H8" s="60"/>
      <c r="I8" s="60"/>
    </row>
    <row r="9" s="1" customFormat="1" ht="24.9" customHeight="1" spans="1:13">
      <c r="A9" s="49">
        <v>7</v>
      </c>
      <c r="B9" s="61">
        <v>10</v>
      </c>
      <c r="C9" s="61"/>
      <c r="D9" s="53" t="s">
        <v>70</v>
      </c>
      <c r="E9" s="53" t="s">
        <v>71</v>
      </c>
      <c r="F9" s="54">
        <v>1.1301</v>
      </c>
      <c r="G9" s="53"/>
      <c r="H9" s="53"/>
      <c r="I9" s="53"/>
      <c r="M9" s="23">
        <v>0.8551</v>
      </c>
    </row>
    <row r="10" s="1" customFormat="1" ht="24.9" customHeight="1" spans="1:9">
      <c r="A10" s="49"/>
      <c r="B10" s="61"/>
      <c r="C10" s="61"/>
      <c r="D10" s="53" t="s">
        <v>72</v>
      </c>
      <c r="E10" s="53" t="s">
        <v>71</v>
      </c>
      <c r="F10" s="54">
        <v>0.6572</v>
      </c>
      <c r="G10" s="53"/>
      <c r="H10" s="53"/>
      <c r="I10" s="53"/>
    </row>
    <row r="11" s="1" customFormat="1" ht="24.9" customHeight="1" spans="1:9">
      <c r="A11" s="49"/>
      <c r="B11" s="61"/>
      <c r="C11" s="61"/>
      <c r="D11" s="53" t="s">
        <v>73</v>
      </c>
      <c r="E11" s="53" t="s">
        <v>71</v>
      </c>
      <c r="F11" s="62">
        <v>0.275</v>
      </c>
      <c r="G11" s="53"/>
      <c r="H11" s="53"/>
      <c r="I11" s="53"/>
    </row>
    <row r="12" s="1" customFormat="1" ht="24.9" customHeight="1" spans="1:9">
      <c r="A12" s="49">
        <v>8</v>
      </c>
      <c r="B12" s="53" t="s">
        <v>74</v>
      </c>
      <c r="C12" s="53" t="s">
        <v>75</v>
      </c>
      <c r="D12" s="63">
        <v>820.657894736842</v>
      </c>
      <c r="E12" s="53" t="s">
        <v>76</v>
      </c>
      <c r="F12" s="63">
        <v>820.657894736842</v>
      </c>
      <c r="G12" s="53"/>
      <c r="H12" s="53"/>
      <c r="I12" s="53"/>
    </row>
    <row r="13" s="1" customFormat="1" ht="24.9" customHeight="1" spans="1:10">
      <c r="A13" s="49"/>
      <c r="B13" s="53"/>
      <c r="C13" s="53" t="s">
        <v>77</v>
      </c>
      <c r="D13" s="63">
        <v>35.64</v>
      </c>
      <c r="E13" s="53" t="s">
        <v>76</v>
      </c>
      <c r="F13" s="63">
        <v>35.64</v>
      </c>
      <c r="G13" s="64" t="s">
        <v>78</v>
      </c>
      <c r="H13" s="64"/>
      <c r="I13" s="64"/>
      <c r="J13" s="81"/>
    </row>
    <row r="14" s="1" customFormat="1" ht="24.9" customHeight="1" spans="1:9">
      <c r="A14" s="49">
        <v>9</v>
      </c>
      <c r="B14" s="53" t="s">
        <v>79</v>
      </c>
      <c r="C14" s="53"/>
      <c r="D14" s="65" t="s">
        <v>80</v>
      </c>
      <c r="E14" s="53" t="s">
        <v>81</v>
      </c>
      <c r="F14" s="66">
        <v>0.883752180678014</v>
      </c>
      <c r="G14" s="66"/>
      <c r="H14" s="66"/>
      <c r="I14" s="66"/>
    </row>
    <row r="15" s="1" customFormat="1" ht="24.9" customHeight="1" spans="1:9">
      <c r="A15" s="49"/>
      <c r="B15" s="53"/>
      <c r="C15" s="53"/>
      <c r="D15" s="67">
        <v>0.883752180678014</v>
      </c>
      <c r="E15" s="53"/>
      <c r="F15" s="66"/>
      <c r="G15" s="66"/>
      <c r="H15" s="66"/>
      <c r="I15" s="66"/>
    </row>
    <row r="16" s="1" customFormat="1" ht="24.9" customHeight="1" spans="1:9">
      <c r="A16" s="49">
        <v>10</v>
      </c>
      <c r="B16" s="53" t="s">
        <v>82</v>
      </c>
      <c r="C16" s="53"/>
      <c r="D16" s="68">
        <v>0.03</v>
      </c>
      <c r="E16" s="53" t="s">
        <v>83</v>
      </c>
      <c r="F16" s="68">
        <v>0.03</v>
      </c>
      <c r="G16" s="69"/>
      <c r="H16" s="69"/>
      <c r="I16" s="69"/>
    </row>
    <row r="17" s="47" customFormat="1" ht="24.9" customHeight="1" spans="1:10">
      <c r="A17" s="49">
        <v>11</v>
      </c>
      <c r="B17" s="57" t="s">
        <v>84</v>
      </c>
      <c r="C17" s="57"/>
      <c r="D17" s="57">
        <v>2663.55</v>
      </c>
      <c r="E17" s="57" t="s">
        <v>68</v>
      </c>
      <c r="F17" s="57">
        <v>2663.55</v>
      </c>
      <c r="G17" s="69"/>
      <c r="H17" s="69"/>
      <c r="I17" s="69"/>
      <c r="J17" s="82"/>
    </row>
    <row r="18" s="47" customFormat="1" ht="24.9" customHeight="1" spans="1:10">
      <c r="A18" s="49">
        <v>12</v>
      </c>
      <c r="B18" s="57" t="s">
        <v>85</v>
      </c>
      <c r="C18" s="57"/>
      <c r="D18" s="57">
        <v>3010.077855</v>
      </c>
      <c r="E18" s="53" t="s">
        <v>76</v>
      </c>
      <c r="F18" s="57">
        <v>3010.077855</v>
      </c>
      <c r="G18" s="69"/>
      <c r="H18" s="69"/>
      <c r="I18" s="69"/>
      <c r="J18" s="82"/>
    </row>
    <row r="19" s="1" customFormat="1" ht="24.9" customHeight="1" spans="1:9">
      <c r="A19" s="49">
        <v>13</v>
      </c>
      <c r="B19" s="57" t="s">
        <v>86</v>
      </c>
      <c r="C19" s="57"/>
      <c r="D19" s="63">
        <v>2153.77996026316</v>
      </c>
      <c r="E19" s="53" t="s">
        <v>76</v>
      </c>
      <c r="F19" s="63">
        <v>2153.77996026316</v>
      </c>
      <c r="G19" s="69"/>
      <c r="H19" s="69"/>
      <c r="I19" s="69"/>
    </row>
    <row r="20" s="1" customFormat="1" ht="24.9" customHeight="1" spans="1:9">
      <c r="A20" s="49">
        <v>14</v>
      </c>
      <c r="B20" s="57" t="s">
        <v>87</v>
      </c>
      <c r="C20" s="57"/>
      <c r="D20" s="63">
        <v>753822.986092105</v>
      </c>
      <c r="E20" s="53" t="s">
        <v>76</v>
      </c>
      <c r="F20" s="63">
        <v>753822.986092105</v>
      </c>
      <c r="G20" s="69"/>
      <c r="H20" s="69"/>
      <c r="I20" s="69"/>
    </row>
    <row r="21" s="1" customFormat="1" ht="24.9" customHeight="1" spans="1:9">
      <c r="A21" s="49">
        <v>15</v>
      </c>
      <c r="B21" s="57" t="s">
        <v>88</v>
      </c>
      <c r="C21" s="57"/>
      <c r="D21" s="63">
        <v>753822.986092105</v>
      </c>
      <c r="E21" s="53" t="s">
        <v>76</v>
      </c>
      <c r="F21" s="63">
        <v>753822.986092105</v>
      </c>
      <c r="G21" s="70" t="s">
        <v>89</v>
      </c>
      <c r="H21" s="70"/>
      <c r="I21" s="70"/>
    </row>
    <row r="22" s="1" customFormat="1" ht="24.9" customHeight="1" spans="1:9">
      <c r="A22" s="49">
        <v>16</v>
      </c>
      <c r="B22" s="53" t="s">
        <v>90</v>
      </c>
      <c r="C22" s="53"/>
      <c r="D22" s="71">
        <v>40</v>
      </c>
      <c r="E22" s="53" t="s">
        <v>76</v>
      </c>
      <c r="F22" s="63">
        <v>5400</v>
      </c>
      <c r="G22" s="72">
        <v>135</v>
      </c>
      <c r="H22" s="72"/>
      <c r="I22" s="72"/>
    </row>
    <row r="23" s="1" customFormat="1" ht="24.9" customHeight="1" spans="1:9">
      <c r="A23" s="49">
        <v>17</v>
      </c>
      <c r="B23" s="53" t="s">
        <v>91</v>
      </c>
      <c r="C23" s="53"/>
      <c r="D23" s="57">
        <v>759222.986092105</v>
      </c>
      <c r="E23" s="53" t="s">
        <v>76</v>
      </c>
      <c r="F23" s="63">
        <v>759222.986092105</v>
      </c>
      <c r="G23" s="63" t="s">
        <v>92</v>
      </c>
      <c r="H23" s="63"/>
      <c r="I23" s="63"/>
    </row>
    <row r="24" s="1" customFormat="1" ht="24.9" customHeight="1" spans="1:9">
      <c r="A24" s="49" t="s">
        <v>93</v>
      </c>
      <c r="B24" s="49"/>
      <c r="C24" s="49"/>
      <c r="D24" s="49"/>
      <c r="E24" s="49"/>
      <c r="F24" s="49"/>
      <c r="G24" s="49"/>
      <c r="H24" s="49"/>
      <c r="I24" s="49"/>
    </row>
    <row r="25" s="1" customFormat="1" ht="40.5" customHeight="1" spans="1:9">
      <c r="A25" s="49" t="s">
        <v>94</v>
      </c>
      <c r="B25" s="50" t="s">
        <v>95</v>
      </c>
      <c r="C25" s="51" t="s">
        <v>96</v>
      </c>
      <c r="D25" s="51" t="s">
        <v>97</v>
      </c>
      <c r="E25" s="52" t="s">
        <v>98</v>
      </c>
      <c r="F25" s="52" t="s">
        <v>99</v>
      </c>
      <c r="G25" s="52" t="s">
        <v>100</v>
      </c>
      <c r="H25" s="52" t="s">
        <v>101</v>
      </c>
      <c r="I25" s="52" t="s">
        <v>102</v>
      </c>
    </row>
    <row r="26" s="1" customFormat="1" ht="24.9" customHeight="1" spans="1:9">
      <c r="A26" s="73">
        <v>1</v>
      </c>
      <c r="B26" s="74">
        <v>0.06</v>
      </c>
      <c r="C26" s="75">
        <v>0.97</v>
      </c>
      <c r="D26" s="76">
        <v>180.855045</v>
      </c>
      <c r="E26" s="76">
        <v>115.884005041184</v>
      </c>
      <c r="F26" s="76">
        <v>-12.96</v>
      </c>
      <c r="G26" s="76">
        <v>162.7695405</v>
      </c>
      <c r="H26" s="76">
        <v>265.693545541184</v>
      </c>
      <c r="I26" s="76">
        <v>265.693545541184</v>
      </c>
    </row>
    <row r="27" s="1" customFormat="1" ht="24.9" customHeight="1" spans="1:9">
      <c r="A27" s="73">
        <v>2</v>
      </c>
      <c r="B27" s="77">
        <v>0.06</v>
      </c>
      <c r="C27" s="76">
        <v>0.91</v>
      </c>
      <c r="D27" s="76">
        <v>169.668135</v>
      </c>
      <c r="E27" s="76">
        <v>108.715922255132</v>
      </c>
      <c r="F27" s="76">
        <v>-12.96</v>
      </c>
      <c r="G27" s="76">
        <v>152.7013215</v>
      </c>
      <c r="H27" s="76">
        <v>248.457243755132</v>
      </c>
      <c r="I27" s="76">
        <v>514.150789296316</v>
      </c>
    </row>
    <row r="28" s="1" customFormat="1" ht="24.9" customHeight="1" spans="1:9">
      <c r="A28" s="73">
        <v>3</v>
      </c>
      <c r="B28" s="77">
        <v>0.03</v>
      </c>
      <c r="C28" s="76">
        <v>0.88</v>
      </c>
      <c r="D28" s="76">
        <v>82.03734</v>
      </c>
      <c r="E28" s="76">
        <v>66.3364227761053</v>
      </c>
      <c r="F28" s="76">
        <v>6.48</v>
      </c>
      <c r="G28" s="76">
        <v>0</v>
      </c>
      <c r="H28" s="76">
        <v>72.8164227761053</v>
      </c>
      <c r="I28" s="76">
        <v>586.967212072421</v>
      </c>
    </row>
    <row r="29" s="1" customFormat="1" ht="24.9" customHeight="1" spans="1:9">
      <c r="A29" s="73">
        <v>4</v>
      </c>
      <c r="B29" s="77">
        <v>0.03</v>
      </c>
      <c r="C29" s="76">
        <v>0.85</v>
      </c>
      <c r="D29" s="76">
        <v>79.2406125</v>
      </c>
      <c r="E29" s="76">
        <v>64.0749538178289</v>
      </c>
      <c r="F29" s="76">
        <v>6.48</v>
      </c>
      <c r="G29" s="76">
        <v>0</v>
      </c>
      <c r="H29" s="76">
        <v>70.5549538178289</v>
      </c>
      <c r="I29" s="76">
        <v>657.52216589025</v>
      </c>
    </row>
    <row r="30" s="1" customFormat="1" ht="24.9" customHeight="1" spans="1:9">
      <c r="A30" s="73">
        <v>5</v>
      </c>
      <c r="B30" s="77">
        <v>0.03</v>
      </c>
      <c r="C30" s="76">
        <v>0.82</v>
      </c>
      <c r="D30" s="76">
        <v>76.443885</v>
      </c>
      <c r="E30" s="76">
        <v>61.8134848595526</v>
      </c>
      <c r="F30" s="76">
        <v>6.48</v>
      </c>
      <c r="G30" s="76">
        <v>0</v>
      </c>
      <c r="H30" s="76">
        <v>68.2934848595526</v>
      </c>
      <c r="I30" s="76">
        <v>725.815650749803</v>
      </c>
    </row>
    <row r="31" s="1" customFormat="1" ht="24.9" customHeight="1" spans="1:9">
      <c r="A31" s="73">
        <v>6</v>
      </c>
      <c r="B31" s="77">
        <v>0.03</v>
      </c>
      <c r="C31" s="76">
        <v>0.79</v>
      </c>
      <c r="D31" s="76">
        <v>73.6471575</v>
      </c>
      <c r="E31" s="76">
        <v>59.5520159012763</v>
      </c>
      <c r="F31" s="76">
        <v>6.48</v>
      </c>
      <c r="G31" s="76">
        <v>0</v>
      </c>
      <c r="H31" s="76">
        <v>66.0320159012763</v>
      </c>
      <c r="I31" s="76">
        <v>791.847666651079</v>
      </c>
    </row>
    <row r="32" s="1" customFormat="1" ht="24.9" customHeight="1" spans="1:9">
      <c r="A32" s="73">
        <v>7</v>
      </c>
      <c r="B32" s="77">
        <v>0.03</v>
      </c>
      <c r="C32" s="76">
        <v>0.76</v>
      </c>
      <c r="D32" s="76">
        <v>70.85043</v>
      </c>
      <c r="E32" s="76">
        <v>57.290546943</v>
      </c>
      <c r="F32" s="76">
        <v>6.48</v>
      </c>
      <c r="G32" s="76">
        <v>0</v>
      </c>
      <c r="H32" s="76">
        <v>63.770546943</v>
      </c>
      <c r="I32" s="76">
        <v>855.618213594079</v>
      </c>
    </row>
    <row r="33" s="1" customFormat="1" ht="24.9" customHeight="1" spans="1:9">
      <c r="A33" s="73">
        <v>8</v>
      </c>
      <c r="B33" s="77">
        <v>0.03</v>
      </c>
      <c r="C33" s="76">
        <v>0.73</v>
      </c>
      <c r="D33" s="76">
        <v>68.0537025</v>
      </c>
      <c r="E33" s="76">
        <v>55.0290779847237</v>
      </c>
      <c r="F33" s="76">
        <v>6.48</v>
      </c>
      <c r="G33" s="76">
        <v>0</v>
      </c>
      <c r="H33" s="76">
        <v>61.5090779847237</v>
      </c>
      <c r="I33" s="76">
        <v>917.127291578803</v>
      </c>
    </row>
    <row r="34" s="1" customFormat="1" ht="24.9" customHeight="1" spans="1:9">
      <c r="A34" s="73">
        <v>9</v>
      </c>
      <c r="B34" s="77">
        <v>0.03</v>
      </c>
      <c r="C34" s="76">
        <v>1</v>
      </c>
      <c r="D34" s="76">
        <v>93.22425</v>
      </c>
      <c r="E34" s="76">
        <v>75.3822986092105</v>
      </c>
      <c r="F34" s="76">
        <v>6.48</v>
      </c>
      <c r="G34" s="76">
        <v>0</v>
      </c>
      <c r="H34" s="76">
        <v>81.8622986092105</v>
      </c>
      <c r="I34" s="76">
        <v>998.989590188013</v>
      </c>
    </row>
    <row r="35" s="1" customFormat="1" ht="24.9" customHeight="1" spans="1:9">
      <c r="A35" s="73">
        <v>10</v>
      </c>
      <c r="B35" s="77">
        <v>0.03</v>
      </c>
      <c r="C35" s="76">
        <v>0.97</v>
      </c>
      <c r="D35" s="76">
        <v>90.4275225</v>
      </c>
      <c r="E35" s="76">
        <v>73.1208296509342</v>
      </c>
      <c r="F35" s="76">
        <v>6.48</v>
      </c>
      <c r="G35" s="76">
        <v>0</v>
      </c>
      <c r="H35" s="76">
        <v>79.6008296509342</v>
      </c>
      <c r="I35" s="76">
        <v>1078.59041983895</v>
      </c>
    </row>
    <row r="36" s="1" customFormat="1" ht="24.9" customHeight="1" spans="1:9">
      <c r="A36" s="73">
        <v>11</v>
      </c>
      <c r="B36" s="77">
        <v>0.03</v>
      </c>
      <c r="C36" s="76">
        <v>0.94</v>
      </c>
      <c r="D36" s="76">
        <v>87.630795</v>
      </c>
      <c r="E36" s="76">
        <v>70.8593606926579</v>
      </c>
      <c r="F36" s="76">
        <v>6.48</v>
      </c>
      <c r="G36" s="76">
        <v>0</v>
      </c>
      <c r="H36" s="76">
        <v>77.3393606926579</v>
      </c>
      <c r="I36" s="76">
        <v>1155.92978053161</v>
      </c>
    </row>
    <row r="37" s="1" customFormat="1" ht="24.9" customHeight="1" spans="1:9">
      <c r="A37" s="73">
        <v>12</v>
      </c>
      <c r="B37" s="77">
        <v>0.03</v>
      </c>
      <c r="C37" s="76">
        <v>0.91</v>
      </c>
      <c r="D37" s="76">
        <v>84.8340675</v>
      </c>
      <c r="E37" s="76">
        <v>68.5978917343816</v>
      </c>
      <c r="F37" s="76">
        <v>6.48</v>
      </c>
      <c r="G37" s="76">
        <v>0</v>
      </c>
      <c r="H37" s="76">
        <v>75.0778917343816</v>
      </c>
      <c r="I37" s="76">
        <v>1231.00767226599</v>
      </c>
    </row>
    <row r="38" s="1" customFormat="1" ht="24.9" customHeight="1" spans="1:9">
      <c r="A38" s="73">
        <v>13</v>
      </c>
      <c r="B38" s="77">
        <v>0.03</v>
      </c>
      <c r="C38" s="76">
        <v>0.88</v>
      </c>
      <c r="D38" s="76">
        <v>82.03734</v>
      </c>
      <c r="E38" s="76">
        <v>66.3364227761053</v>
      </c>
      <c r="F38" s="76">
        <v>6.48</v>
      </c>
      <c r="G38" s="76">
        <v>0</v>
      </c>
      <c r="H38" s="76">
        <v>72.8164227761053</v>
      </c>
      <c r="I38" s="76">
        <v>1303.82409504209</v>
      </c>
    </row>
    <row r="39" s="1" customFormat="1" ht="24.9" customHeight="1" spans="1:9">
      <c r="A39" s="73">
        <v>14</v>
      </c>
      <c r="B39" s="77">
        <v>0.03</v>
      </c>
      <c r="C39" s="76">
        <v>0.85</v>
      </c>
      <c r="D39" s="76">
        <v>79.2406125</v>
      </c>
      <c r="E39" s="76">
        <v>64.0749538178289</v>
      </c>
      <c r="F39" s="76">
        <v>6.48</v>
      </c>
      <c r="G39" s="76">
        <v>0</v>
      </c>
      <c r="H39" s="76">
        <v>70.5549538178289</v>
      </c>
      <c r="I39" s="76">
        <v>1374.37904885992</v>
      </c>
    </row>
    <row r="40" s="1" customFormat="1" ht="24.9" customHeight="1" spans="1:9">
      <c r="A40" s="73">
        <v>15</v>
      </c>
      <c r="B40" s="77">
        <v>0.03</v>
      </c>
      <c r="C40" s="76">
        <v>0.82</v>
      </c>
      <c r="D40" s="76">
        <v>76.443885</v>
      </c>
      <c r="E40" s="76">
        <v>61.8134848595526</v>
      </c>
      <c r="F40" s="76">
        <v>6.48</v>
      </c>
      <c r="G40" s="76">
        <v>0</v>
      </c>
      <c r="H40" s="76">
        <v>68.2934848595526</v>
      </c>
      <c r="I40" s="76">
        <v>1442.67253371947</v>
      </c>
    </row>
    <row r="41" s="1" customFormat="1" ht="24.9" customHeight="1" spans="1:12">
      <c r="A41" s="73">
        <v>16</v>
      </c>
      <c r="B41" s="77">
        <v>0.03</v>
      </c>
      <c r="C41" s="76">
        <v>0.79</v>
      </c>
      <c r="D41" s="76">
        <v>73.6471575</v>
      </c>
      <c r="E41" s="76">
        <v>59.5520159012763</v>
      </c>
      <c r="F41" s="76">
        <v>6.48</v>
      </c>
      <c r="G41" s="76">
        <v>0</v>
      </c>
      <c r="H41" s="76">
        <v>66.0320159012763</v>
      </c>
      <c r="I41" s="76">
        <v>1508.70454962075</v>
      </c>
      <c r="L41" s="23" t="s">
        <v>93</v>
      </c>
    </row>
    <row r="42" s="1" customFormat="1" ht="24.9" customHeight="1" spans="1:9">
      <c r="A42" s="73">
        <v>17</v>
      </c>
      <c r="B42" s="77">
        <v>0.03</v>
      </c>
      <c r="C42" s="76">
        <v>0.76</v>
      </c>
      <c r="D42" s="76">
        <v>70.85043</v>
      </c>
      <c r="E42" s="76">
        <v>57.290546943</v>
      </c>
      <c r="F42" s="76">
        <v>6.48</v>
      </c>
      <c r="G42" s="76">
        <v>0</v>
      </c>
      <c r="H42" s="76">
        <v>63.770546943</v>
      </c>
      <c r="I42" s="76">
        <v>1572.47509656375</v>
      </c>
    </row>
    <row r="43" s="1" customFormat="1" ht="24.9" customHeight="1" spans="1:9">
      <c r="A43" s="73">
        <v>18</v>
      </c>
      <c r="B43" s="77">
        <v>0.03</v>
      </c>
      <c r="C43" s="76">
        <v>0.73</v>
      </c>
      <c r="D43" s="76">
        <v>68.0537025</v>
      </c>
      <c r="E43" s="76">
        <v>55.0290779847237</v>
      </c>
      <c r="F43" s="76">
        <v>6.48</v>
      </c>
      <c r="G43" s="76">
        <v>0</v>
      </c>
      <c r="H43" s="76">
        <v>61.5090779847237</v>
      </c>
      <c r="I43" s="76">
        <v>1633.98417454847</v>
      </c>
    </row>
    <row r="44" s="1" customFormat="1" ht="24.9" customHeight="1" spans="1:9">
      <c r="A44" s="73">
        <v>19</v>
      </c>
      <c r="B44" s="77">
        <v>0.03</v>
      </c>
      <c r="C44" s="76">
        <v>0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1633.98417454847</v>
      </c>
    </row>
    <row r="45" s="1" customFormat="1" ht="24.9" customHeight="1" spans="1:9">
      <c r="A45" s="73">
        <v>20</v>
      </c>
      <c r="B45" s="77">
        <v>0.03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1633.98417454847</v>
      </c>
    </row>
    <row r="46" s="1" customFormat="1" ht="36.75" customHeight="1" spans="1:9">
      <c r="A46" s="78" t="s">
        <v>103</v>
      </c>
      <c r="B46" s="78"/>
      <c r="C46" s="78"/>
      <c r="D46" s="79">
        <v>1607.18607</v>
      </c>
      <c r="E46" s="79">
        <v>1240.75331254847</v>
      </c>
      <c r="F46" s="79">
        <v>77.76</v>
      </c>
      <c r="G46" s="79">
        <v>315.470862</v>
      </c>
      <c r="H46" s="79">
        <v>1633.98417454847</v>
      </c>
      <c r="I46" s="79">
        <v>1633.98417454847</v>
      </c>
    </row>
    <row r="52" s="1" customFormat="1" spans="1:9">
      <c r="A52" s="44"/>
      <c r="B52" s="44"/>
      <c r="C52" s="44"/>
      <c r="D52" s="44"/>
      <c r="E52" s="44"/>
      <c r="F52" s="44"/>
      <c r="G52" s="44"/>
      <c r="H52" s="44"/>
      <c r="I52" s="44"/>
    </row>
    <row r="53" s="1" customFormat="1" spans="1:9">
      <c r="A53" s="44"/>
      <c r="B53" s="44"/>
      <c r="C53" s="44"/>
      <c r="D53" s="44"/>
      <c r="E53" s="44"/>
      <c r="F53" s="44"/>
      <c r="G53" s="44"/>
      <c r="H53" s="44"/>
      <c r="I53" s="44"/>
    </row>
    <row r="54" s="1" customFormat="1" spans="1:9">
      <c r="A54" s="44"/>
      <c r="B54" s="44"/>
      <c r="C54" s="44"/>
      <c r="D54" s="44"/>
      <c r="E54" s="44"/>
      <c r="F54" s="44"/>
      <c r="G54" s="44"/>
      <c r="H54" s="44"/>
      <c r="I54" s="44"/>
    </row>
    <row r="55" s="1" customFormat="1" spans="1:9">
      <c r="A55" s="44"/>
      <c r="B55" s="44"/>
      <c r="C55" s="44"/>
      <c r="D55" s="44"/>
      <c r="E55" s="44"/>
      <c r="F55" s="44"/>
      <c r="G55" s="44"/>
      <c r="H55" s="44"/>
      <c r="I55" s="44"/>
    </row>
    <row r="56" s="1" customFormat="1" spans="1:9">
      <c r="A56" s="44"/>
      <c r="B56" s="44"/>
      <c r="C56" s="44"/>
      <c r="D56" s="44"/>
      <c r="E56" s="44"/>
      <c r="F56" s="44"/>
      <c r="G56" s="44"/>
      <c r="H56" s="44"/>
      <c r="I56" s="44"/>
    </row>
    <row r="57" s="1" customFormat="1" spans="1:9">
      <c r="A57" s="44"/>
      <c r="B57" s="44"/>
      <c r="C57" s="44"/>
      <c r="D57" s="44"/>
      <c r="E57" s="44"/>
      <c r="F57" s="44"/>
      <c r="G57" s="44"/>
      <c r="H57" s="44"/>
      <c r="I57" s="44"/>
    </row>
    <row r="58" s="1" customFormat="1" spans="1:9">
      <c r="A58" s="44"/>
      <c r="B58" s="44"/>
      <c r="C58" s="44"/>
      <c r="D58" s="44"/>
      <c r="E58" s="44"/>
      <c r="F58" s="44"/>
      <c r="G58" s="44"/>
      <c r="H58" s="44"/>
      <c r="I58" s="44"/>
    </row>
    <row r="59" s="1" customFormat="1" spans="1:9">
      <c r="A59" s="44"/>
      <c r="B59" s="44"/>
      <c r="C59" s="44"/>
      <c r="D59" s="44"/>
      <c r="E59" s="44"/>
      <c r="F59" s="44"/>
      <c r="G59" s="44"/>
      <c r="H59" s="44"/>
      <c r="I59" s="44"/>
    </row>
    <row r="60" s="1" customFormat="1" spans="1:9">
      <c r="A60" s="44"/>
      <c r="B60" s="44"/>
      <c r="C60" s="44"/>
      <c r="D60" s="44"/>
      <c r="E60" s="44"/>
      <c r="F60" s="44"/>
      <c r="G60" s="44"/>
      <c r="H60" s="44"/>
      <c r="I60" s="44"/>
    </row>
    <row r="61" s="1" customFormat="1" spans="1:9">
      <c r="A61" s="44"/>
      <c r="B61" s="44"/>
      <c r="C61" s="44"/>
      <c r="D61" s="44"/>
      <c r="E61" s="44"/>
      <c r="F61" s="44"/>
      <c r="G61" s="44"/>
      <c r="H61" s="44"/>
      <c r="I61" s="44"/>
    </row>
    <row r="62" s="1" customFormat="1" spans="1:9">
      <c r="A62" s="44"/>
      <c r="B62" s="44"/>
      <c r="C62" s="44"/>
      <c r="D62" s="44"/>
      <c r="E62" s="44"/>
      <c r="F62" s="44"/>
      <c r="G62" s="44"/>
      <c r="H62" s="44"/>
      <c r="I62" s="44"/>
    </row>
    <row r="63" s="1" customFormat="1" spans="1:9">
      <c r="A63" s="44"/>
      <c r="B63" s="44"/>
      <c r="C63" s="44"/>
      <c r="D63" s="44"/>
      <c r="E63" s="44"/>
      <c r="F63" s="44"/>
      <c r="G63" s="44"/>
      <c r="H63" s="44"/>
      <c r="I63" s="44"/>
    </row>
    <row r="64" s="1" customFormat="1" spans="1:9">
      <c r="A64" s="44"/>
      <c r="B64" s="44"/>
      <c r="C64" s="44"/>
      <c r="D64" s="44"/>
      <c r="E64" s="44"/>
      <c r="F64" s="44"/>
      <c r="G64" s="44"/>
      <c r="H64" s="44"/>
      <c r="I64" s="44"/>
    </row>
    <row r="65" s="1" customFormat="1" spans="1:9">
      <c r="A65" s="44"/>
      <c r="B65" s="44"/>
      <c r="C65" s="44"/>
      <c r="D65" s="44"/>
      <c r="E65" s="44"/>
      <c r="F65" s="44"/>
      <c r="G65" s="44"/>
      <c r="H65" s="44"/>
      <c r="I65" s="44"/>
    </row>
  </sheetData>
  <mergeCells count="46">
    <mergeCell ref="A1:I1"/>
    <mergeCell ref="B2:C2"/>
    <mergeCell ref="G2:I2"/>
    <mergeCell ref="B3:C3"/>
    <mergeCell ref="G3:I3"/>
    <mergeCell ref="B4:C4"/>
    <mergeCell ref="G4:I4"/>
    <mergeCell ref="B5:C5"/>
    <mergeCell ref="G5:I5"/>
    <mergeCell ref="B6:C6"/>
    <mergeCell ref="G6:I6"/>
    <mergeCell ref="G7:I7"/>
    <mergeCell ref="G8:I8"/>
    <mergeCell ref="G9:I9"/>
    <mergeCell ref="G10:I10"/>
    <mergeCell ref="G11:I11"/>
    <mergeCell ref="G12:I12"/>
    <mergeCell ref="G13:I13"/>
    <mergeCell ref="B16:C16"/>
    <mergeCell ref="G16:I16"/>
    <mergeCell ref="B17:C17"/>
    <mergeCell ref="G17:I17"/>
    <mergeCell ref="B18:C18"/>
    <mergeCell ref="G18:I18"/>
    <mergeCell ref="B19:C19"/>
    <mergeCell ref="G19:I19"/>
    <mergeCell ref="B20:C20"/>
    <mergeCell ref="G20:I20"/>
    <mergeCell ref="B21:C21"/>
    <mergeCell ref="G21:I21"/>
    <mergeCell ref="B22:C22"/>
    <mergeCell ref="G22:I22"/>
    <mergeCell ref="B23:C23"/>
    <mergeCell ref="G23:I23"/>
    <mergeCell ref="A24:I24"/>
    <mergeCell ref="A46:C46"/>
    <mergeCell ref="A9:A11"/>
    <mergeCell ref="A12:A13"/>
    <mergeCell ref="A14:A15"/>
    <mergeCell ref="B7:B8"/>
    <mergeCell ref="B12:B13"/>
    <mergeCell ref="E14:E15"/>
    <mergeCell ref="F14:F15"/>
    <mergeCell ref="B9:C11"/>
    <mergeCell ref="B14:C15"/>
    <mergeCell ref="G14:I15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opLeftCell="A32" workbookViewId="0">
      <selection activeCell="H57" sqref="H57"/>
    </sheetView>
  </sheetViews>
  <sheetFormatPr defaultColWidth="9" defaultRowHeight="13.5"/>
  <cols>
    <col min="1" max="1" width="8.88333333333333" style="1"/>
    <col min="2" max="2" width="11.4416666666667" style="1" customWidth="1"/>
    <col min="3" max="3" width="11.2166666666667" style="1" customWidth="1"/>
    <col min="4" max="4" width="8.775" style="1" customWidth="1"/>
    <col min="5" max="5" width="10.775" style="1" customWidth="1"/>
    <col min="6" max="6" width="8.775" style="1" customWidth="1"/>
    <col min="7" max="7" width="13.3333333333333" style="1" customWidth="1"/>
    <col min="8" max="8" width="40.6666666666667" style="1" customWidth="1"/>
    <col min="9" max="9" width="41.1083333333333" style="1"/>
    <col min="10" max="13" width="8.88333333333333" style="1"/>
    <col min="14" max="14" width="12.8833333333333" style="1"/>
    <col min="15" max="16384" width="8.88333333333333" style="1"/>
  </cols>
  <sheetData>
    <row r="1" s="1" customFormat="1" ht="39.75" customHeight="1" spans="1:7">
      <c r="A1" s="24" t="s">
        <v>104</v>
      </c>
      <c r="B1" s="24"/>
      <c r="C1" s="24"/>
      <c r="D1" s="24"/>
      <c r="E1" s="24"/>
      <c r="F1" s="24"/>
      <c r="G1" s="24"/>
    </row>
    <row r="2" s="23" customFormat="1" ht="24.75" customHeight="1" spans="1:11">
      <c r="A2" s="25" t="s">
        <v>49</v>
      </c>
      <c r="B2" s="25" t="s">
        <v>105</v>
      </c>
      <c r="C2" s="25"/>
      <c r="D2" s="25" t="s">
        <v>106</v>
      </c>
      <c r="E2" s="25" t="s">
        <v>107</v>
      </c>
      <c r="F2" s="25" t="s">
        <v>108</v>
      </c>
      <c r="G2" s="25"/>
      <c r="H2" s="26"/>
      <c r="K2" s="45"/>
    </row>
    <row r="3" s="1" customFormat="1" ht="24.9" customHeight="1" spans="1:11">
      <c r="A3" s="25">
        <v>1</v>
      </c>
      <c r="B3" s="25" t="s">
        <v>109</v>
      </c>
      <c r="C3" s="25"/>
      <c r="D3" s="27">
        <v>1200</v>
      </c>
      <c r="E3" s="25" t="s">
        <v>110</v>
      </c>
      <c r="F3" s="25"/>
      <c r="G3" s="25"/>
      <c r="H3" s="26"/>
      <c r="K3" s="45"/>
    </row>
    <row r="4" s="1" customFormat="1" ht="24.9" customHeight="1" spans="1:11">
      <c r="A4" s="25">
        <v>2</v>
      </c>
      <c r="B4" s="25" t="s">
        <v>111</v>
      </c>
      <c r="C4" s="25"/>
      <c r="D4" s="27">
        <v>1100</v>
      </c>
      <c r="E4" s="25" t="s">
        <v>59</v>
      </c>
      <c r="F4" s="28" t="s">
        <v>112</v>
      </c>
      <c r="G4" s="28"/>
      <c r="H4" s="29"/>
      <c r="K4" s="45"/>
    </row>
    <row r="5" s="1" customFormat="1" ht="32.25" customHeight="1" spans="1:11">
      <c r="A5" s="25">
        <v>3</v>
      </c>
      <c r="B5" s="28" t="s">
        <v>113</v>
      </c>
      <c r="C5" s="28"/>
      <c r="D5" s="30">
        <v>0.9</v>
      </c>
      <c r="E5" s="25" t="s">
        <v>114</v>
      </c>
      <c r="F5" s="28" t="s">
        <v>115</v>
      </c>
      <c r="G5" s="28"/>
      <c r="H5" s="31"/>
      <c r="K5" s="45"/>
    </row>
    <row r="6" s="1" customFormat="1" ht="24.9" customHeight="1" spans="1:11">
      <c r="A6" s="25">
        <v>4</v>
      </c>
      <c r="B6" s="28" t="s">
        <v>116</v>
      </c>
      <c r="C6" s="28"/>
      <c r="D6" s="30">
        <v>0.4514</v>
      </c>
      <c r="E6" s="25" t="s">
        <v>114</v>
      </c>
      <c r="F6" s="28" t="s">
        <v>117</v>
      </c>
      <c r="G6" s="28"/>
      <c r="H6" s="31"/>
      <c r="K6" s="45"/>
    </row>
    <row r="7" s="1" customFormat="1" ht="24.9" customHeight="1" spans="1:11">
      <c r="A7" s="25">
        <v>5</v>
      </c>
      <c r="B7" s="28" t="s">
        <v>118</v>
      </c>
      <c r="C7" s="25"/>
      <c r="D7" s="32">
        <v>0.9</v>
      </c>
      <c r="E7" s="28" t="s">
        <v>119</v>
      </c>
      <c r="F7" s="28" t="s">
        <v>120</v>
      </c>
      <c r="G7" s="28"/>
      <c r="H7" s="29"/>
      <c r="K7" s="45"/>
    </row>
    <row r="8" s="1" customFormat="1" ht="24.9" customHeight="1" spans="1:11">
      <c r="A8" s="33"/>
      <c r="B8" s="33"/>
      <c r="C8" s="33"/>
      <c r="D8" s="33"/>
      <c r="E8" s="33"/>
      <c r="F8" s="33"/>
      <c r="G8" s="33"/>
      <c r="H8" s="34"/>
      <c r="K8" s="45"/>
    </row>
    <row r="9" s="1" customFormat="1" ht="37.5" customHeight="1" spans="1:11">
      <c r="A9" s="35" t="s">
        <v>94</v>
      </c>
      <c r="B9" s="35" t="s">
        <v>95</v>
      </c>
      <c r="C9" s="35" t="s">
        <v>96</v>
      </c>
      <c r="D9" s="35" t="s">
        <v>121</v>
      </c>
      <c r="E9" s="36" t="s">
        <v>122</v>
      </c>
      <c r="F9" s="36" t="s">
        <v>123</v>
      </c>
      <c r="G9" s="37" t="s">
        <v>124</v>
      </c>
      <c r="H9" s="38"/>
      <c r="K9" s="45"/>
    </row>
    <row r="10" s="1" customFormat="1" ht="24.9" customHeight="1" spans="1:11">
      <c r="A10" s="25">
        <v>1</v>
      </c>
      <c r="B10" s="39">
        <v>0.025</v>
      </c>
      <c r="C10" s="40">
        <v>0.975</v>
      </c>
      <c r="D10" s="41">
        <v>128.7</v>
      </c>
      <c r="E10" s="41">
        <v>128.7</v>
      </c>
      <c r="F10" s="41">
        <v>81.559764</v>
      </c>
      <c r="G10" s="42">
        <v>81.559764</v>
      </c>
      <c r="H10" s="38"/>
      <c r="I10" s="46"/>
      <c r="K10" s="45"/>
    </row>
    <row r="11" s="1" customFormat="1" ht="24.9" customHeight="1" spans="1:11">
      <c r="A11" s="25">
        <v>2</v>
      </c>
      <c r="B11" s="43">
        <v>0.007</v>
      </c>
      <c r="C11" s="40">
        <v>0.968</v>
      </c>
      <c r="D11" s="41">
        <v>127.776</v>
      </c>
      <c r="E11" s="41">
        <v>256.476</v>
      </c>
      <c r="F11" s="41">
        <v>68.19660672</v>
      </c>
      <c r="G11" s="42">
        <v>149.75637072</v>
      </c>
      <c r="H11" s="38"/>
      <c r="I11" s="46"/>
      <c r="K11" s="45"/>
    </row>
    <row r="12" s="1" customFormat="1" ht="24.9" customHeight="1" spans="1:11">
      <c r="A12" s="25">
        <v>3</v>
      </c>
      <c r="B12" s="43">
        <v>0.007</v>
      </c>
      <c r="C12" s="40">
        <v>0.961</v>
      </c>
      <c r="D12" s="41">
        <v>126.852</v>
      </c>
      <c r="E12" s="41">
        <v>383.328</v>
      </c>
      <c r="F12" s="41">
        <v>108.47621928</v>
      </c>
      <c r="G12" s="42">
        <v>258.23259</v>
      </c>
      <c r="H12" s="38"/>
      <c r="I12" s="46"/>
      <c r="K12" s="45"/>
    </row>
    <row r="13" s="1" customFormat="1" ht="24.9" customHeight="1" spans="1:11">
      <c r="A13" s="25">
        <v>4</v>
      </c>
      <c r="B13" s="43">
        <v>0.007</v>
      </c>
      <c r="C13" s="40">
        <v>0.954</v>
      </c>
      <c r="D13" s="41">
        <v>125.928</v>
      </c>
      <c r="E13" s="41">
        <v>509.256</v>
      </c>
      <c r="F13" s="41">
        <v>107.68606992</v>
      </c>
      <c r="G13" s="42">
        <v>365.91865992</v>
      </c>
      <c r="H13" s="38"/>
      <c r="I13" s="46"/>
      <c r="K13" s="45"/>
    </row>
    <row r="14" s="1" customFormat="1" ht="24.9" customHeight="1" spans="1:11">
      <c r="A14" s="25">
        <v>5</v>
      </c>
      <c r="B14" s="43">
        <v>0.007</v>
      </c>
      <c r="C14" s="40">
        <v>0.947</v>
      </c>
      <c r="D14" s="41">
        <v>125.004</v>
      </c>
      <c r="E14" s="41">
        <v>634.26</v>
      </c>
      <c r="F14" s="41">
        <v>106.89592056</v>
      </c>
      <c r="G14" s="42">
        <v>472.81458048</v>
      </c>
      <c r="H14" s="38"/>
      <c r="I14" s="46"/>
      <c r="K14" s="45"/>
    </row>
    <row r="15" s="1" customFormat="1" ht="24.9" customHeight="1" spans="1:11">
      <c r="A15" s="25">
        <v>6</v>
      </c>
      <c r="B15" s="43">
        <v>0.007</v>
      </c>
      <c r="C15" s="40">
        <v>0.94</v>
      </c>
      <c r="D15" s="41">
        <v>124.08</v>
      </c>
      <c r="E15" s="41">
        <v>758.34</v>
      </c>
      <c r="F15" s="41">
        <v>106.1057712</v>
      </c>
      <c r="G15" s="42">
        <v>578.92035168</v>
      </c>
      <c r="H15" s="38"/>
      <c r="I15" s="46"/>
      <c r="K15" s="45"/>
    </row>
    <row r="16" s="1" customFormat="1" ht="24.9" customHeight="1" spans="1:11">
      <c r="A16" s="25">
        <v>7</v>
      </c>
      <c r="B16" s="43">
        <v>0.007</v>
      </c>
      <c r="C16" s="40">
        <v>0.933</v>
      </c>
      <c r="D16" s="41">
        <v>123.156</v>
      </c>
      <c r="E16" s="41">
        <v>881.496</v>
      </c>
      <c r="F16" s="41">
        <v>105.31562184</v>
      </c>
      <c r="G16" s="42">
        <v>684.23597352</v>
      </c>
      <c r="H16" s="38"/>
      <c r="I16" s="46"/>
      <c r="K16" s="45"/>
    </row>
    <row r="17" s="1" customFormat="1" ht="24.9" customHeight="1" spans="1:11">
      <c r="A17" s="25">
        <v>8</v>
      </c>
      <c r="B17" s="43">
        <v>0.007</v>
      </c>
      <c r="C17" s="40">
        <v>0.926</v>
      </c>
      <c r="D17" s="41">
        <v>122.232</v>
      </c>
      <c r="E17" s="41">
        <v>1003.728</v>
      </c>
      <c r="F17" s="41">
        <v>104.52547248</v>
      </c>
      <c r="G17" s="42">
        <v>788.761446</v>
      </c>
      <c r="H17" s="38"/>
      <c r="I17" s="46"/>
      <c r="K17" s="45"/>
    </row>
    <row r="18" s="1" customFormat="1" ht="24.9" customHeight="1" spans="1:11">
      <c r="A18" s="25">
        <v>9</v>
      </c>
      <c r="B18" s="43">
        <v>0.007</v>
      </c>
      <c r="C18" s="40">
        <v>0.919</v>
      </c>
      <c r="D18" s="41">
        <v>121.308</v>
      </c>
      <c r="E18" s="41">
        <v>1125.036</v>
      </c>
      <c r="F18" s="41">
        <v>103.73532312</v>
      </c>
      <c r="G18" s="42">
        <v>892.49676912</v>
      </c>
      <c r="H18" s="38"/>
      <c r="I18" s="46"/>
      <c r="K18" s="45"/>
    </row>
    <row r="19" s="1" customFormat="1" ht="24.9" customHeight="1" spans="1:11">
      <c r="A19" s="25">
        <v>10</v>
      </c>
      <c r="B19" s="43">
        <v>0.007</v>
      </c>
      <c r="C19" s="40">
        <v>0.912</v>
      </c>
      <c r="D19" s="41">
        <v>120.384</v>
      </c>
      <c r="E19" s="41">
        <v>1245.42</v>
      </c>
      <c r="F19" s="41">
        <v>102.94517376</v>
      </c>
      <c r="G19" s="42">
        <v>995.44194288</v>
      </c>
      <c r="H19" s="38"/>
      <c r="I19" s="46"/>
      <c r="K19" s="45"/>
    </row>
    <row r="20" s="1" customFormat="1" ht="24.9" customHeight="1" spans="1:11">
      <c r="A20" s="25">
        <v>11</v>
      </c>
      <c r="B20" s="43">
        <v>0.007</v>
      </c>
      <c r="C20" s="40">
        <v>0.905</v>
      </c>
      <c r="D20" s="41">
        <v>119.46</v>
      </c>
      <c r="E20" s="41">
        <v>1364.88</v>
      </c>
      <c r="F20" s="41">
        <v>102.1550244</v>
      </c>
      <c r="G20" s="42">
        <v>1097.59696728</v>
      </c>
      <c r="H20" s="38"/>
      <c r="I20" s="46"/>
      <c r="K20" s="45"/>
    </row>
    <row r="21" s="1" customFormat="1" ht="24.9" customHeight="1" spans="1:11">
      <c r="A21" s="25">
        <v>12</v>
      </c>
      <c r="B21" s="43">
        <v>0.007</v>
      </c>
      <c r="C21" s="40">
        <v>0.898</v>
      </c>
      <c r="D21" s="41">
        <v>118.536</v>
      </c>
      <c r="E21" s="41">
        <v>1483.416</v>
      </c>
      <c r="F21" s="41">
        <v>101.36487504</v>
      </c>
      <c r="G21" s="42">
        <v>1198.96184232</v>
      </c>
      <c r="H21" s="38"/>
      <c r="I21" s="46"/>
      <c r="K21" s="45"/>
    </row>
    <row r="22" s="1" customFormat="1" ht="24.9" customHeight="1" spans="1:11">
      <c r="A22" s="25">
        <v>13</v>
      </c>
      <c r="B22" s="43">
        <v>0.007</v>
      </c>
      <c r="C22" s="40">
        <v>0.891</v>
      </c>
      <c r="D22" s="41">
        <v>117.612</v>
      </c>
      <c r="E22" s="41">
        <v>1601.028</v>
      </c>
      <c r="F22" s="41">
        <v>100.57472568</v>
      </c>
      <c r="G22" s="42">
        <v>1299.536568</v>
      </c>
      <c r="H22" s="38"/>
      <c r="I22" s="46"/>
      <c r="K22" s="45"/>
    </row>
    <row r="23" s="1" customFormat="1" ht="24.9" customHeight="1" spans="1:11">
      <c r="A23" s="25">
        <v>14</v>
      </c>
      <c r="B23" s="43">
        <v>0.007</v>
      </c>
      <c r="C23" s="40">
        <v>0.884</v>
      </c>
      <c r="D23" s="41">
        <v>116.688</v>
      </c>
      <c r="E23" s="41">
        <v>1717.716</v>
      </c>
      <c r="F23" s="41">
        <v>99.78457632</v>
      </c>
      <c r="G23" s="42">
        <v>1399.32114432</v>
      </c>
      <c r="H23" s="38"/>
      <c r="I23" s="46"/>
      <c r="K23" s="45"/>
    </row>
    <row r="24" s="1" customFormat="1" ht="24.9" customHeight="1" spans="1:11">
      <c r="A24" s="25">
        <v>15</v>
      </c>
      <c r="B24" s="43">
        <v>0.007</v>
      </c>
      <c r="C24" s="40">
        <v>0.877</v>
      </c>
      <c r="D24" s="41">
        <v>115.764</v>
      </c>
      <c r="E24" s="41">
        <v>1833.48</v>
      </c>
      <c r="F24" s="41">
        <v>98.99442696</v>
      </c>
      <c r="G24" s="42">
        <v>1498.31557128</v>
      </c>
      <c r="H24" s="38"/>
      <c r="I24" s="46"/>
      <c r="K24" s="45"/>
    </row>
    <row r="25" s="1" customFormat="1" ht="24.9" customHeight="1" spans="1:11">
      <c r="A25" s="25">
        <v>16</v>
      </c>
      <c r="B25" s="43">
        <v>0.007</v>
      </c>
      <c r="C25" s="40">
        <v>0.87</v>
      </c>
      <c r="D25" s="41">
        <v>114.84</v>
      </c>
      <c r="E25" s="41">
        <v>1948.32</v>
      </c>
      <c r="F25" s="41">
        <v>98.2042776</v>
      </c>
      <c r="G25" s="42">
        <v>1596.51984888</v>
      </c>
      <c r="H25" s="38"/>
      <c r="I25" s="46"/>
      <c r="K25" s="45"/>
    </row>
    <row r="26" s="1" customFormat="1" ht="24.9" customHeight="1" spans="1:11">
      <c r="A26" s="25">
        <v>17</v>
      </c>
      <c r="B26" s="43">
        <v>0.007</v>
      </c>
      <c r="C26" s="40">
        <v>0.863</v>
      </c>
      <c r="D26" s="41">
        <v>113.916</v>
      </c>
      <c r="E26" s="41">
        <v>2062.236</v>
      </c>
      <c r="F26" s="41">
        <v>97.41412824</v>
      </c>
      <c r="G26" s="42">
        <v>1693.93397712</v>
      </c>
      <c r="H26" s="38"/>
      <c r="I26" s="46"/>
      <c r="K26" s="45"/>
    </row>
    <row r="27" s="1" customFormat="1" ht="24.9" customHeight="1" spans="1:11">
      <c r="A27" s="25">
        <v>18</v>
      </c>
      <c r="B27" s="43">
        <v>0.007</v>
      </c>
      <c r="C27" s="40">
        <v>0.856</v>
      </c>
      <c r="D27" s="41">
        <v>112.992</v>
      </c>
      <c r="E27" s="41">
        <v>2175.228</v>
      </c>
      <c r="F27" s="41">
        <v>96.62397888</v>
      </c>
      <c r="G27" s="42">
        <v>1790.557956</v>
      </c>
      <c r="H27" s="38"/>
      <c r="I27" s="46"/>
      <c r="K27" s="45"/>
    </row>
    <row r="28" s="1" customFormat="1" ht="24.9" customHeight="1" spans="1:11">
      <c r="A28" s="25">
        <v>19</v>
      </c>
      <c r="B28" s="43">
        <v>0.007</v>
      </c>
      <c r="C28" s="40">
        <v>0.849</v>
      </c>
      <c r="D28" s="41">
        <v>112.068</v>
      </c>
      <c r="E28" s="41">
        <v>2287.296</v>
      </c>
      <c r="F28" s="41">
        <v>95.83382952</v>
      </c>
      <c r="G28" s="42">
        <v>1886.39178552</v>
      </c>
      <c r="H28" s="38"/>
      <c r="I28" s="46"/>
      <c r="K28" s="45"/>
    </row>
    <row r="29" s="1" customFormat="1" ht="24.9" customHeight="1" spans="1:11">
      <c r="A29" s="25">
        <v>20</v>
      </c>
      <c r="B29" s="43">
        <v>0.007</v>
      </c>
      <c r="C29" s="40">
        <v>0.842</v>
      </c>
      <c r="D29" s="41">
        <v>111.144</v>
      </c>
      <c r="E29" s="41">
        <v>2398.44</v>
      </c>
      <c r="F29" s="41">
        <v>95.04368016</v>
      </c>
      <c r="G29" s="42">
        <v>1981.43546568</v>
      </c>
      <c r="H29" s="38"/>
      <c r="I29" s="46"/>
      <c r="K29" s="45"/>
    </row>
    <row r="30" s="1" customFormat="1" ht="24.9" customHeight="1" spans="1:11">
      <c r="A30" s="25">
        <v>21</v>
      </c>
      <c r="B30" s="43">
        <v>0.007</v>
      </c>
      <c r="C30" s="40">
        <v>0.835</v>
      </c>
      <c r="D30" s="41">
        <v>110.22</v>
      </c>
      <c r="E30" s="41">
        <v>2508.66</v>
      </c>
      <c r="F30" s="41">
        <v>94.2535308</v>
      </c>
      <c r="G30" s="42">
        <v>2075.68899648</v>
      </c>
      <c r="H30" s="38"/>
      <c r="K30" s="45"/>
    </row>
    <row r="31" s="1" customFormat="1" ht="24.9" customHeight="1" spans="1:11">
      <c r="A31" s="25">
        <v>22</v>
      </c>
      <c r="B31" s="43">
        <v>0.007</v>
      </c>
      <c r="C31" s="40">
        <v>0.828</v>
      </c>
      <c r="D31" s="41">
        <v>109.296</v>
      </c>
      <c r="E31" s="41">
        <v>2617.956</v>
      </c>
      <c r="F31" s="41">
        <v>93.46338144</v>
      </c>
      <c r="G31" s="42">
        <v>2169.15237792</v>
      </c>
      <c r="H31" s="38"/>
      <c r="K31" s="45"/>
    </row>
    <row r="32" s="1" customFormat="1" ht="24.9" customHeight="1" spans="1:11">
      <c r="A32" s="25">
        <v>23</v>
      </c>
      <c r="B32" s="43">
        <v>0.007</v>
      </c>
      <c r="C32" s="40">
        <v>0.821</v>
      </c>
      <c r="D32" s="41">
        <v>108.372</v>
      </c>
      <c r="E32" s="41">
        <v>2726.328</v>
      </c>
      <c r="F32" s="41">
        <v>92.67323208</v>
      </c>
      <c r="G32" s="42">
        <v>2261.82561</v>
      </c>
      <c r="H32" s="38"/>
      <c r="K32" s="45"/>
    </row>
    <row r="33" s="1" customFormat="1" ht="24.9" customHeight="1" spans="1:11">
      <c r="A33" s="25">
        <v>24</v>
      </c>
      <c r="B33" s="43">
        <v>0.007</v>
      </c>
      <c r="C33" s="40">
        <v>0.814</v>
      </c>
      <c r="D33" s="41">
        <v>107.448</v>
      </c>
      <c r="E33" s="41">
        <v>2833.776</v>
      </c>
      <c r="F33" s="41">
        <v>91.88308272</v>
      </c>
      <c r="G33" s="42">
        <v>2353.70869272</v>
      </c>
      <c r="H33" s="38"/>
      <c r="K33" s="45"/>
    </row>
    <row r="34" s="1" customFormat="1" ht="24.9" customHeight="1" spans="1:11">
      <c r="A34" s="25">
        <v>25</v>
      </c>
      <c r="B34" s="43">
        <v>0.007</v>
      </c>
      <c r="C34" s="40">
        <v>0.807</v>
      </c>
      <c r="D34" s="41">
        <v>106.524</v>
      </c>
      <c r="E34" s="41">
        <v>2940.3</v>
      </c>
      <c r="F34" s="41">
        <v>91.09293336</v>
      </c>
      <c r="G34" s="42">
        <v>2444.80162608</v>
      </c>
      <c r="H34" s="38"/>
      <c r="K34" s="45"/>
    </row>
    <row r="35" s="1" customFormat="1" spans="1:11">
      <c r="A35" s="34"/>
      <c r="B35" s="34"/>
      <c r="C35" s="34"/>
      <c r="D35" s="34"/>
      <c r="E35" s="38"/>
      <c r="F35" s="38"/>
      <c r="G35" s="38"/>
      <c r="H35" s="38"/>
      <c r="K35" s="45"/>
    </row>
    <row r="39" s="1" customFormat="1" spans="1:8">
      <c r="A39" s="44"/>
      <c r="B39" s="44"/>
      <c r="C39" s="44"/>
      <c r="D39" s="44"/>
      <c r="E39" s="44"/>
      <c r="F39" s="44"/>
      <c r="G39" s="44"/>
      <c r="H39" s="44"/>
    </row>
    <row r="40" s="1" customFormat="1" spans="1:8">
      <c r="A40" s="44"/>
      <c r="B40" s="44"/>
      <c r="C40" s="44"/>
      <c r="D40" s="44"/>
      <c r="E40" s="44"/>
      <c r="F40" s="44"/>
      <c r="G40" s="44"/>
      <c r="H40" s="44"/>
    </row>
    <row r="41" s="1" customFormat="1" spans="1:8">
      <c r="A41" s="44"/>
      <c r="B41" s="44"/>
      <c r="C41" s="44"/>
      <c r="D41" s="44"/>
      <c r="E41" s="44"/>
      <c r="F41" s="44"/>
      <c r="G41" s="44"/>
      <c r="H41" s="44"/>
    </row>
    <row r="42" s="1" customFormat="1" spans="1:8">
      <c r="A42" s="44"/>
      <c r="B42" s="44"/>
      <c r="C42" s="44"/>
      <c r="D42" s="44"/>
      <c r="E42" s="44"/>
      <c r="F42" s="44"/>
      <c r="G42" s="44"/>
      <c r="H42" s="44"/>
    </row>
    <row r="43" s="1" customFormat="1" spans="1:8">
      <c r="A43" s="44"/>
      <c r="B43" s="44"/>
      <c r="C43" s="44"/>
      <c r="D43" s="44"/>
      <c r="E43" s="44"/>
      <c r="F43" s="44"/>
      <c r="G43" s="44"/>
      <c r="H43" s="44"/>
    </row>
    <row r="44" s="1" customFormat="1" spans="1:8">
      <c r="A44" s="44"/>
      <c r="B44" s="44"/>
      <c r="C44" s="44"/>
      <c r="D44" s="44"/>
      <c r="E44" s="44"/>
      <c r="F44" s="44"/>
      <c r="G44" s="44"/>
      <c r="H44" s="44"/>
    </row>
    <row r="45" s="1" customFormat="1" spans="1:8">
      <c r="A45" s="44"/>
      <c r="B45" s="44"/>
      <c r="C45" s="44"/>
      <c r="D45" s="44"/>
      <c r="E45" s="44"/>
      <c r="F45" s="44"/>
      <c r="G45" s="44"/>
      <c r="H45" s="44"/>
    </row>
    <row r="46" s="1" customFormat="1" spans="1:8">
      <c r="A46" s="44"/>
      <c r="B46" s="44"/>
      <c r="C46" s="44"/>
      <c r="D46" s="44"/>
      <c r="E46" s="44"/>
      <c r="F46" s="44"/>
      <c r="G46" s="44"/>
      <c r="H46" s="44"/>
    </row>
    <row r="47" s="1" customFormat="1" spans="1:8">
      <c r="A47" s="44"/>
      <c r="B47" s="44"/>
      <c r="C47" s="44"/>
      <c r="D47" s="44"/>
      <c r="E47" s="44"/>
      <c r="F47" s="44"/>
      <c r="G47" s="44"/>
      <c r="H47" s="44"/>
    </row>
    <row r="48" s="1" customFormat="1" spans="1:8">
      <c r="A48" s="44"/>
      <c r="B48" s="44"/>
      <c r="C48" s="44"/>
      <c r="D48" s="44"/>
      <c r="E48" s="44"/>
      <c r="F48" s="44"/>
      <c r="G48" s="44"/>
      <c r="H48" s="44"/>
    </row>
    <row r="49" s="1" customFormat="1" spans="1:8">
      <c r="A49" s="44"/>
      <c r="B49" s="44"/>
      <c r="C49" s="44"/>
      <c r="D49" s="44"/>
      <c r="E49" s="44"/>
      <c r="F49" s="44"/>
      <c r="G49" s="44"/>
      <c r="H49" s="44"/>
    </row>
    <row r="50" s="1" customFormat="1" spans="1:8">
      <c r="A50" s="44"/>
      <c r="B50" s="44"/>
      <c r="C50" s="44"/>
      <c r="D50" s="44"/>
      <c r="E50" s="44"/>
      <c r="F50" s="44"/>
      <c r="G50" s="44"/>
      <c r="H50" s="44"/>
    </row>
    <row r="51" s="1" customFormat="1" spans="1:8">
      <c r="A51" s="44"/>
      <c r="B51" s="44"/>
      <c r="C51" s="44"/>
      <c r="D51" s="44"/>
      <c r="E51" s="44"/>
      <c r="F51" s="44"/>
      <c r="G51" s="44"/>
      <c r="H51" s="44"/>
    </row>
    <row r="52" s="1" customFormat="1" spans="1:8">
      <c r="A52" s="44"/>
      <c r="B52" s="44"/>
      <c r="C52" s="44"/>
      <c r="D52" s="44"/>
      <c r="E52" s="44"/>
      <c r="F52" s="44"/>
      <c r="G52" s="44"/>
      <c r="H52" s="44"/>
    </row>
    <row r="53" s="1" customFormat="1" spans="1:8">
      <c r="A53" s="44"/>
      <c r="B53" s="44"/>
      <c r="C53" s="44"/>
      <c r="D53" s="44"/>
      <c r="E53" s="44"/>
      <c r="F53" s="44"/>
      <c r="G53" s="44"/>
      <c r="H53" s="44"/>
    </row>
  </sheetData>
  <mergeCells count="14">
    <mergeCell ref="A1:G1"/>
    <mergeCell ref="B2:C2"/>
    <mergeCell ref="F2:G2"/>
    <mergeCell ref="B3:C3"/>
    <mergeCell ref="F3:G3"/>
    <mergeCell ref="B4:C4"/>
    <mergeCell ref="F4:G4"/>
    <mergeCell ref="B5:C5"/>
    <mergeCell ref="F5:G5"/>
    <mergeCell ref="B6:C6"/>
    <mergeCell ref="F6:G6"/>
    <mergeCell ref="B7:C7"/>
    <mergeCell ref="F7:G7"/>
    <mergeCell ref="A8:G8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3"/>
  <sheetViews>
    <sheetView workbookViewId="0">
      <selection activeCell="Y36" sqref="Y36"/>
    </sheetView>
  </sheetViews>
  <sheetFormatPr defaultColWidth="9" defaultRowHeight="13.5"/>
  <cols>
    <col min="1" max="1" width="3.44166666666667" style="1" customWidth="1"/>
    <col min="2" max="2" width="18.8833333333333" style="1" customWidth="1"/>
    <col min="3" max="3" width="4.66666666666667" style="1" customWidth="1"/>
    <col min="4" max="4" width="6.44166666666667" style="1" customWidth="1"/>
    <col min="5" max="6" width="4.21666666666667" style="1" customWidth="1"/>
    <col min="7" max="27" width="5" style="1" customWidth="1"/>
    <col min="28" max="28" width="8.88333333333333" style="1"/>
    <col min="29" max="29" width="17.4416666666667" style="1" customWidth="1"/>
    <col min="30" max="31" width="5.66666666666667" style="1" customWidth="1"/>
    <col min="32" max="32" width="4.66666666666667" style="1" customWidth="1"/>
    <col min="33" max="16384" width="8.88333333333333" style="1"/>
  </cols>
  <sheetData>
    <row r="1" s="1" customFormat="1" ht="39.75" customHeight="1" spans="1:27">
      <c r="A1" s="2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="1" customFormat="1" ht="24.9" customHeight="1" spans="1:27">
      <c r="A2" s="4" t="s">
        <v>126</v>
      </c>
      <c r="B2" s="4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</row>
    <row r="3" s="1" customFormat="1" ht="24.9" customHeight="1" spans="1:27">
      <c r="A3" s="4" t="s">
        <v>127</v>
      </c>
      <c r="B3" s="4"/>
      <c r="C3" s="6">
        <v>180.855045</v>
      </c>
      <c r="D3" s="6">
        <v>169.668135</v>
      </c>
      <c r="E3" s="6">
        <v>82.03734</v>
      </c>
      <c r="F3" s="6">
        <v>79.2406125</v>
      </c>
      <c r="G3" s="6">
        <v>76.443885</v>
      </c>
      <c r="H3" s="6">
        <v>73.6471575</v>
      </c>
      <c r="I3" s="6">
        <v>70.85043</v>
      </c>
      <c r="J3" s="6">
        <v>68.0537025</v>
      </c>
      <c r="K3" s="6">
        <v>93.22425</v>
      </c>
      <c r="L3" s="6">
        <v>90.4275225</v>
      </c>
      <c r="M3" s="6">
        <v>87.630795</v>
      </c>
      <c r="N3" s="6">
        <v>84.8340675</v>
      </c>
      <c r="O3" s="6">
        <v>82.03734</v>
      </c>
      <c r="P3" s="6">
        <v>79.2406125</v>
      </c>
      <c r="Q3" s="6">
        <v>76.443885</v>
      </c>
      <c r="R3" s="6">
        <v>73.6471575</v>
      </c>
      <c r="S3" s="6">
        <v>70.85043</v>
      </c>
      <c r="T3" s="6">
        <v>68.0537025</v>
      </c>
      <c r="U3" s="6"/>
      <c r="V3" s="6"/>
      <c r="W3" s="6"/>
      <c r="X3" s="6"/>
      <c r="Y3" s="6"/>
      <c r="Z3" s="6"/>
      <c r="AA3" s="6"/>
    </row>
    <row r="4" s="1" customFormat="1" ht="24.9" customHeight="1" spans="1:27">
      <c r="A4" s="4" t="s">
        <v>128</v>
      </c>
      <c r="B4" s="4"/>
      <c r="C4" s="6">
        <v>180.855045</v>
      </c>
      <c r="D4" s="6">
        <v>350.52318</v>
      </c>
      <c r="E4" s="6">
        <v>432.56052</v>
      </c>
      <c r="F4" s="6">
        <v>511.8011325</v>
      </c>
      <c r="G4" s="6">
        <v>588.2450175</v>
      </c>
      <c r="H4" s="6">
        <v>661.892175</v>
      </c>
      <c r="I4" s="6">
        <v>732.742605</v>
      </c>
      <c r="J4" s="6">
        <v>800.7963075</v>
      </c>
      <c r="K4" s="6">
        <v>894.0205575</v>
      </c>
      <c r="L4" s="6">
        <v>984.44808</v>
      </c>
      <c r="M4" s="6">
        <v>1072.078875</v>
      </c>
      <c r="N4" s="6">
        <v>1156.9129425</v>
      </c>
      <c r="O4" s="6">
        <v>1238.9502825</v>
      </c>
      <c r="P4" s="6">
        <v>1318.190895</v>
      </c>
      <c r="Q4" s="6">
        <v>1394.63478</v>
      </c>
      <c r="R4" s="6">
        <v>1468.2819375</v>
      </c>
      <c r="S4" s="6">
        <v>1539.1323675</v>
      </c>
      <c r="T4" s="6">
        <v>1607.18607</v>
      </c>
      <c r="U4" s="6">
        <v>1607.18607</v>
      </c>
      <c r="V4" s="6">
        <v>1607.18607</v>
      </c>
      <c r="W4" s="6">
        <v>1607.18607</v>
      </c>
      <c r="X4" s="6">
        <v>1607.18607</v>
      </c>
      <c r="Y4" s="6">
        <v>1607.18607</v>
      </c>
      <c r="Z4" s="6">
        <v>1607.18607</v>
      </c>
      <c r="AA4" s="6">
        <v>1607.18607</v>
      </c>
    </row>
    <row r="5" s="1" customFormat="1" ht="24.9" customHeight="1" spans="1:27">
      <c r="A5" s="4" t="s">
        <v>129</v>
      </c>
      <c r="B5" s="4"/>
      <c r="C5" s="6">
        <v>128.7</v>
      </c>
      <c r="D5" s="6">
        <v>127.776</v>
      </c>
      <c r="E5" s="6">
        <v>126.852</v>
      </c>
      <c r="F5" s="6">
        <v>125.928</v>
      </c>
      <c r="G5" s="6">
        <v>125.004</v>
      </c>
      <c r="H5" s="6">
        <v>124.08</v>
      </c>
      <c r="I5" s="6">
        <v>123.156</v>
      </c>
      <c r="J5" s="6">
        <v>122.232</v>
      </c>
      <c r="K5" s="6">
        <v>121.308</v>
      </c>
      <c r="L5" s="6">
        <v>120.384</v>
      </c>
      <c r="M5" s="6">
        <v>119.46</v>
      </c>
      <c r="N5" s="6">
        <v>118.536</v>
      </c>
      <c r="O5" s="6">
        <v>117.612</v>
      </c>
      <c r="P5" s="6">
        <v>116.688</v>
      </c>
      <c r="Q5" s="6">
        <v>115.764</v>
      </c>
      <c r="R5" s="6">
        <v>114.84</v>
      </c>
      <c r="S5" s="6">
        <v>113.916</v>
      </c>
      <c r="T5" s="6">
        <v>112.992</v>
      </c>
      <c r="U5" s="6">
        <v>112.068</v>
      </c>
      <c r="V5" s="6">
        <v>111.144</v>
      </c>
      <c r="W5" s="6">
        <v>110.22</v>
      </c>
      <c r="X5" s="6">
        <v>109.296</v>
      </c>
      <c r="Y5" s="6">
        <v>108.372</v>
      </c>
      <c r="Z5" s="6">
        <v>107.448</v>
      </c>
      <c r="AA5" s="6">
        <v>106.524</v>
      </c>
    </row>
    <row r="6" s="1" customFormat="1" ht="24.9" customHeight="1" spans="1:27">
      <c r="A6" s="4" t="s">
        <v>130</v>
      </c>
      <c r="B6" s="4"/>
      <c r="C6" s="6">
        <v>128.7</v>
      </c>
      <c r="D6" s="6">
        <v>256.476</v>
      </c>
      <c r="E6" s="6">
        <v>383.328</v>
      </c>
      <c r="F6" s="6">
        <v>509.256</v>
      </c>
      <c r="G6" s="6">
        <v>634.26</v>
      </c>
      <c r="H6" s="6">
        <v>758.34</v>
      </c>
      <c r="I6" s="6">
        <v>881.496</v>
      </c>
      <c r="J6" s="6">
        <v>1003.728</v>
      </c>
      <c r="K6" s="6">
        <v>1125.036</v>
      </c>
      <c r="L6" s="6">
        <v>1245.42</v>
      </c>
      <c r="M6" s="6">
        <v>1364.88</v>
      </c>
      <c r="N6" s="6">
        <v>1483.416</v>
      </c>
      <c r="O6" s="6">
        <v>1601.028</v>
      </c>
      <c r="P6" s="6">
        <v>1717.716</v>
      </c>
      <c r="Q6" s="6">
        <v>1833.48</v>
      </c>
      <c r="R6" s="6">
        <v>1948.32</v>
      </c>
      <c r="S6" s="6">
        <v>2062.236</v>
      </c>
      <c r="T6" s="6">
        <v>2175.228</v>
      </c>
      <c r="U6" s="6">
        <v>2287.296</v>
      </c>
      <c r="V6" s="6">
        <v>2398.44</v>
      </c>
      <c r="W6" s="6">
        <v>2508.66</v>
      </c>
      <c r="X6" s="6">
        <v>2617.956</v>
      </c>
      <c r="Y6" s="6">
        <v>2726.328</v>
      </c>
      <c r="Z6" s="6">
        <v>2833.776</v>
      </c>
      <c r="AA6" s="6">
        <v>2940.3</v>
      </c>
    </row>
    <row r="7" s="1" customFormat="1" ht="24.9" customHeight="1" spans="1:27">
      <c r="A7" s="4" t="s">
        <v>131</v>
      </c>
      <c r="B7" s="4"/>
      <c r="C7" s="6">
        <v>309.555045</v>
      </c>
      <c r="D7" s="6">
        <v>606.99918</v>
      </c>
      <c r="E7" s="6">
        <v>815.88852</v>
      </c>
      <c r="F7" s="6">
        <v>1021.0571325</v>
      </c>
      <c r="G7" s="6">
        <v>1222.5050175</v>
      </c>
      <c r="H7" s="6">
        <v>1420.232175</v>
      </c>
      <c r="I7" s="6">
        <v>1614.238605</v>
      </c>
      <c r="J7" s="6">
        <v>1804.5243075</v>
      </c>
      <c r="K7" s="6">
        <v>2019.0565575</v>
      </c>
      <c r="L7" s="6">
        <v>2229.86808</v>
      </c>
      <c r="M7" s="6">
        <v>2436.958875</v>
      </c>
      <c r="N7" s="6">
        <v>2640.3289425</v>
      </c>
      <c r="O7" s="6">
        <v>2839.9782825</v>
      </c>
      <c r="P7" s="6">
        <v>3035.906895</v>
      </c>
      <c r="Q7" s="6">
        <v>3228.11478</v>
      </c>
      <c r="R7" s="6">
        <v>3416.6019375</v>
      </c>
      <c r="S7" s="6">
        <v>3601.3683675</v>
      </c>
      <c r="T7" s="6">
        <v>3782.41407</v>
      </c>
      <c r="U7" s="6">
        <v>3894.48207</v>
      </c>
      <c r="V7" s="6">
        <v>4005.62607</v>
      </c>
      <c r="W7" s="6">
        <v>4115.84607</v>
      </c>
      <c r="X7" s="6">
        <v>4225.14207</v>
      </c>
      <c r="Y7" s="6">
        <v>4333.51407</v>
      </c>
      <c r="Z7" s="6">
        <v>4440.96207</v>
      </c>
      <c r="AA7" s="6">
        <v>4547.48607</v>
      </c>
    </row>
    <row r="8" s="1" customFormat="1" ht="24.9" customHeight="1" spans="1:27">
      <c r="A8" s="7" t="s">
        <v>132</v>
      </c>
      <c r="B8" s="4" t="s">
        <v>133</v>
      </c>
      <c r="C8" s="6">
        <v>265.693545541184</v>
      </c>
      <c r="D8" s="6">
        <v>248.457243755132</v>
      </c>
      <c r="E8" s="6">
        <v>72.8164227761053</v>
      </c>
      <c r="F8" s="6">
        <v>70.5549538178289</v>
      </c>
      <c r="G8" s="6">
        <v>68.2934848595526</v>
      </c>
      <c r="H8" s="6">
        <v>66.0320159012763</v>
      </c>
      <c r="I8" s="6">
        <v>63.770546943</v>
      </c>
      <c r="J8" s="6">
        <v>61.5090779847237</v>
      </c>
      <c r="K8" s="6">
        <v>81.8622986092105</v>
      </c>
      <c r="L8" s="6">
        <v>79.6008296509342</v>
      </c>
      <c r="M8" s="6">
        <v>77.3393606926579</v>
      </c>
      <c r="N8" s="6">
        <v>75.0778917343816</v>
      </c>
      <c r="O8" s="6">
        <v>72.8164227761053</v>
      </c>
      <c r="P8" s="6">
        <v>70.5549538178289</v>
      </c>
      <c r="Q8" s="6">
        <v>68.2934848595526</v>
      </c>
      <c r="R8" s="6">
        <v>66.0320159012763</v>
      </c>
      <c r="S8" s="6">
        <v>63.770546943</v>
      </c>
      <c r="T8" s="6">
        <v>61.5090779847237</v>
      </c>
      <c r="U8" s="6">
        <v>94.5</v>
      </c>
      <c r="V8" s="6"/>
      <c r="W8" s="6"/>
      <c r="X8" s="6"/>
      <c r="Y8" s="6"/>
      <c r="Z8" s="6"/>
      <c r="AA8" s="6"/>
    </row>
    <row r="9" s="1" customFormat="1" ht="24.9" customHeight="1" spans="1:27">
      <c r="A9" s="8"/>
      <c r="B9" s="4" t="s">
        <v>134</v>
      </c>
      <c r="C9" s="6">
        <v>265.693545541184</v>
      </c>
      <c r="D9" s="6">
        <v>514.150789296316</v>
      </c>
      <c r="E9" s="6">
        <v>586.967212072421</v>
      </c>
      <c r="F9" s="6">
        <v>657.52216589025</v>
      </c>
      <c r="G9" s="6">
        <v>725.815650749803</v>
      </c>
      <c r="H9" s="6">
        <v>791.847666651079</v>
      </c>
      <c r="I9" s="6">
        <v>855.618213594079</v>
      </c>
      <c r="J9" s="6">
        <v>917.127291578803</v>
      </c>
      <c r="K9" s="6">
        <v>998.989590188013</v>
      </c>
      <c r="L9" s="6">
        <v>1078.59041983895</v>
      </c>
      <c r="M9" s="6">
        <v>1155.92978053161</v>
      </c>
      <c r="N9" s="6">
        <v>1231.00767226599</v>
      </c>
      <c r="O9" s="6">
        <v>1303.82409504209</v>
      </c>
      <c r="P9" s="6">
        <v>1374.37904885992</v>
      </c>
      <c r="Q9" s="6">
        <v>1442.67253371947</v>
      </c>
      <c r="R9" s="6">
        <v>1508.70454962075</v>
      </c>
      <c r="S9" s="6">
        <v>1572.47509656375</v>
      </c>
      <c r="T9" s="6">
        <v>1633.98417454847</v>
      </c>
      <c r="U9" s="6">
        <v>1728.48417454847</v>
      </c>
      <c r="V9" s="6">
        <v>1728.48417454847</v>
      </c>
      <c r="W9" s="6">
        <v>1728.48417454847</v>
      </c>
      <c r="X9" s="6">
        <v>1728.48417454847</v>
      </c>
      <c r="Y9" s="6">
        <v>1728.48417454847</v>
      </c>
      <c r="Z9" s="6">
        <v>1728.48417454847</v>
      </c>
      <c r="AA9" s="6">
        <v>1728.48417454847</v>
      </c>
    </row>
    <row r="10" s="1" customFormat="1" ht="24.9" customHeight="1" spans="1:27">
      <c r="A10" s="8"/>
      <c r="B10" s="4" t="s">
        <v>135</v>
      </c>
      <c r="C10" s="6">
        <v>81.559764</v>
      </c>
      <c r="D10" s="6">
        <v>68.19660672</v>
      </c>
      <c r="E10" s="6">
        <v>108.47621928</v>
      </c>
      <c r="F10" s="6">
        <v>107.68606992</v>
      </c>
      <c r="G10" s="6">
        <v>106.89592056</v>
      </c>
      <c r="H10" s="6">
        <v>106.1057712</v>
      </c>
      <c r="I10" s="6">
        <v>105.31562184</v>
      </c>
      <c r="J10" s="6">
        <v>104.52547248</v>
      </c>
      <c r="K10" s="6">
        <v>103.73532312</v>
      </c>
      <c r="L10" s="6">
        <v>102.94517376</v>
      </c>
      <c r="M10" s="6">
        <v>102.1550244</v>
      </c>
      <c r="N10" s="6">
        <v>101.36487504</v>
      </c>
      <c r="O10" s="6">
        <v>100.57472568</v>
      </c>
      <c r="P10" s="6">
        <v>99.78457632</v>
      </c>
      <c r="Q10" s="6">
        <v>98.99442696</v>
      </c>
      <c r="R10" s="6">
        <v>98.2042776</v>
      </c>
      <c r="S10" s="6">
        <v>97.41412824</v>
      </c>
      <c r="T10" s="6">
        <v>96.62397888</v>
      </c>
      <c r="U10" s="6">
        <v>95.83382952</v>
      </c>
      <c r="V10" s="6">
        <v>95.04368016</v>
      </c>
      <c r="W10" s="6">
        <v>94.2535308</v>
      </c>
      <c r="X10" s="6">
        <v>93.46338144</v>
      </c>
      <c r="Y10" s="6">
        <v>92.67323208</v>
      </c>
      <c r="Z10" s="6">
        <v>91.88308272</v>
      </c>
      <c r="AA10" s="6">
        <v>91.09293336</v>
      </c>
    </row>
    <row r="11" s="1" customFormat="1" ht="24.9" customHeight="1" spans="1:27">
      <c r="A11" s="8"/>
      <c r="B11" s="4" t="s">
        <v>136</v>
      </c>
      <c r="C11" s="6">
        <v>81.559764</v>
      </c>
      <c r="D11" s="6">
        <v>149.75637072</v>
      </c>
      <c r="E11" s="6">
        <v>258.23259</v>
      </c>
      <c r="F11" s="6">
        <v>365.91865992</v>
      </c>
      <c r="G11" s="6">
        <v>472.81458048</v>
      </c>
      <c r="H11" s="6">
        <v>578.92035168</v>
      </c>
      <c r="I11" s="6">
        <v>684.23597352</v>
      </c>
      <c r="J11" s="6">
        <v>788.761446</v>
      </c>
      <c r="K11" s="6">
        <v>892.49676912</v>
      </c>
      <c r="L11" s="6">
        <v>995.44194288</v>
      </c>
      <c r="M11" s="6">
        <v>1097.59696728</v>
      </c>
      <c r="N11" s="6">
        <v>1198.96184232</v>
      </c>
      <c r="O11" s="6">
        <v>1299.536568</v>
      </c>
      <c r="P11" s="6">
        <v>1399.32114432</v>
      </c>
      <c r="Q11" s="6">
        <v>1498.31557128</v>
      </c>
      <c r="R11" s="6">
        <v>1596.51984888</v>
      </c>
      <c r="S11" s="6">
        <v>1693.93397712</v>
      </c>
      <c r="T11" s="6">
        <v>1790.557956</v>
      </c>
      <c r="U11" s="6">
        <v>1886.39178552</v>
      </c>
      <c r="V11" s="6">
        <v>1981.43546568</v>
      </c>
      <c r="W11" s="6">
        <v>2075.68899648</v>
      </c>
      <c r="X11" s="6">
        <v>2169.15237792</v>
      </c>
      <c r="Y11" s="6">
        <v>2261.82561</v>
      </c>
      <c r="Z11" s="6">
        <v>2353.70869272</v>
      </c>
      <c r="AA11" s="6">
        <v>2444.80162608</v>
      </c>
    </row>
    <row r="12" s="1" customFormat="1" ht="24.9" customHeight="1" spans="1:27">
      <c r="A12" s="8"/>
      <c r="B12" s="4" t="s">
        <v>137</v>
      </c>
      <c r="C12" s="6">
        <v>347.253309541184</v>
      </c>
      <c r="D12" s="6">
        <v>663.907160016316</v>
      </c>
      <c r="E12" s="6">
        <v>845.199802072421</v>
      </c>
      <c r="F12" s="6">
        <v>1023.44082581025</v>
      </c>
      <c r="G12" s="6">
        <v>1198.6302312298</v>
      </c>
      <c r="H12" s="6">
        <v>1370.76801833108</v>
      </c>
      <c r="I12" s="6">
        <v>1539.85418711408</v>
      </c>
      <c r="J12" s="6">
        <v>1705.8887375788</v>
      </c>
      <c r="K12" s="6">
        <v>1891.48635930801</v>
      </c>
      <c r="L12" s="6">
        <v>2074.03236271895</v>
      </c>
      <c r="M12" s="6">
        <v>2253.52674781161</v>
      </c>
      <c r="N12" s="6">
        <v>2429.96951458599</v>
      </c>
      <c r="O12" s="6">
        <v>2603.36066304209</v>
      </c>
      <c r="P12" s="6">
        <v>2773.70019317992</v>
      </c>
      <c r="Q12" s="6">
        <v>2940.98810499947</v>
      </c>
      <c r="R12" s="6">
        <v>3105.22439850075</v>
      </c>
      <c r="S12" s="6">
        <v>3266.40907368375</v>
      </c>
      <c r="T12" s="6">
        <v>3424.54213054847</v>
      </c>
      <c r="U12" s="6">
        <v>3614.87596006847</v>
      </c>
      <c r="V12" s="6">
        <v>3709.91964022847</v>
      </c>
      <c r="W12" s="6">
        <v>3804.17317102847</v>
      </c>
      <c r="X12" s="6">
        <v>3897.63655246847</v>
      </c>
      <c r="Y12" s="6">
        <v>3990.30978454847</v>
      </c>
      <c r="Z12" s="6">
        <v>4082.19286726847</v>
      </c>
      <c r="AA12" s="6">
        <v>4173.28580062847</v>
      </c>
    </row>
    <row r="13" s="1" customFormat="1" ht="24.9" customHeight="1" spans="1:27">
      <c r="A13" s="7" t="s">
        <v>138</v>
      </c>
      <c r="B13" s="4" t="s">
        <v>133</v>
      </c>
      <c r="C13" s="6">
        <v>0</v>
      </c>
      <c r="D13" s="6">
        <v>0</v>
      </c>
      <c r="E13" s="6">
        <v>6.48</v>
      </c>
      <c r="F13" s="6">
        <v>6.48</v>
      </c>
      <c r="G13" s="6">
        <v>6.48</v>
      </c>
      <c r="H13" s="6">
        <v>6.48</v>
      </c>
      <c r="I13" s="6">
        <v>6.48</v>
      </c>
      <c r="J13" s="6">
        <v>6.48</v>
      </c>
      <c r="K13" s="6">
        <v>6.48</v>
      </c>
      <c r="L13" s="6">
        <v>6.48</v>
      </c>
      <c r="M13" s="6">
        <v>6.48</v>
      </c>
      <c r="N13" s="6">
        <v>6.48</v>
      </c>
      <c r="O13" s="6">
        <v>6.48</v>
      </c>
      <c r="P13" s="6">
        <v>6.48</v>
      </c>
      <c r="Q13" s="6">
        <v>6.48</v>
      </c>
      <c r="R13" s="6">
        <v>6.48</v>
      </c>
      <c r="S13" s="6">
        <v>6.48</v>
      </c>
      <c r="T13" s="6">
        <v>6.48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</row>
    <row r="14" s="1" customFormat="1" ht="24.9" customHeight="1" spans="1:27">
      <c r="A14" s="8"/>
      <c r="B14" s="4" t="s">
        <v>134</v>
      </c>
      <c r="C14" s="6">
        <v>0</v>
      </c>
      <c r="D14" s="6">
        <v>0</v>
      </c>
      <c r="E14" s="6">
        <v>6.48</v>
      </c>
      <c r="F14" s="6">
        <v>12.96</v>
      </c>
      <c r="G14" s="6">
        <v>19.44</v>
      </c>
      <c r="H14" s="6">
        <v>25.92</v>
      </c>
      <c r="I14" s="6">
        <v>32.4</v>
      </c>
      <c r="J14" s="6">
        <v>38.88</v>
      </c>
      <c r="K14" s="6">
        <v>45.36</v>
      </c>
      <c r="L14" s="6">
        <v>51.84</v>
      </c>
      <c r="M14" s="6">
        <v>58.32</v>
      </c>
      <c r="N14" s="6">
        <v>64.8</v>
      </c>
      <c r="O14" s="6">
        <v>71.28</v>
      </c>
      <c r="P14" s="6">
        <v>77.76</v>
      </c>
      <c r="Q14" s="6">
        <v>84.24</v>
      </c>
      <c r="R14" s="6">
        <v>90.72</v>
      </c>
      <c r="S14" s="6">
        <v>97.2</v>
      </c>
      <c r="T14" s="6">
        <v>103.68</v>
      </c>
      <c r="U14" s="6">
        <v>103.68</v>
      </c>
      <c r="V14" s="6">
        <v>103.68</v>
      </c>
      <c r="W14" s="6">
        <v>103.68</v>
      </c>
      <c r="X14" s="6">
        <v>103.68</v>
      </c>
      <c r="Y14" s="6">
        <v>103.68</v>
      </c>
      <c r="Z14" s="6">
        <v>103.68</v>
      </c>
      <c r="AA14" s="6">
        <v>103.68</v>
      </c>
    </row>
    <row r="15" s="1" customFormat="1" ht="24.9" customHeight="1" spans="1:33">
      <c r="A15" s="8"/>
      <c r="B15" s="4" t="s">
        <v>135</v>
      </c>
      <c r="C15" s="6">
        <v>8.1559764</v>
      </c>
      <c r="D15" s="6">
        <v>6.819660672</v>
      </c>
      <c r="E15" s="6">
        <v>10.847621928</v>
      </c>
      <c r="F15" s="6">
        <v>10.768606992</v>
      </c>
      <c r="G15" s="6">
        <v>10.689592056</v>
      </c>
      <c r="H15" s="6">
        <v>10.61057712</v>
      </c>
      <c r="I15" s="6">
        <v>10.531562184</v>
      </c>
      <c r="J15" s="6">
        <v>10.452547248</v>
      </c>
      <c r="K15" s="6">
        <v>10.373532312</v>
      </c>
      <c r="L15" s="6">
        <v>10.294517376</v>
      </c>
      <c r="M15" s="6">
        <v>10.21550244</v>
      </c>
      <c r="N15" s="6">
        <v>10.136487504</v>
      </c>
      <c r="O15" s="6">
        <v>10.057472568</v>
      </c>
      <c r="P15" s="6">
        <v>9.978457632</v>
      </c>
      <c r="Q15" s="6">
        <v>9.899442696</v>
      </c>
      <c r="R15" s="6">
        <v>9.82042776</v>
      </c>
      <c r="S15" s="6">
        <v>9.741412824</v>
      </c>
      <c r="T15" s="6">
        <v>9.662397888</v>
      </c>
      <c r="U15" s="6">
        <v>9.583382952</v>
      </c>
      <c r="V15" s="6">
        <v>9.504368016</v>
      </c>
      <c r="W15" s="6">
        <v>9.42535308</v>
      </c>
      <c r="X15" s="6">
        <v>9.346338144</v>
      </c>
      <c r="Y15" s="6">
        <v>9.267323208</v>
      </c>
      <c r="Z15" s="6">
        <v>9.188308272</v>
      </c>
      <c r="AA15" s="6">
        <v>9.109293336</v>
      </c>
      <c r="AC15" s="16" t="s">
        <v>139</v>
      </c>
      <c r="AD15" s="17">
        <v>3150</v>
      </c>
      <c r="AE15" s="18" t="s">
        <v>61</v>
      </c>
      <c r="AF15" s="18">
        <v>900</v>
      </c>
      <c r="AG15" s="18" t="s">
        <v>56</v>
      </c>
    </row>
    <row r="16" s="1" customFormat="1" ht="24.9" customHeight="1" spans="1:33">
      <c r="A16" s="8"/>
      <c r="B16" s="4" t="s">
        <v>136</v>
      </c>
      <c r="C16" s="6">
        <v>8.1559764</v>
      </c>
      <c r="D16" s="6">
        <v>14.975637072</v>
      </c>
      <c r="E16" s="6">
        <v>25.823259</v>
      </c>
      <c r="F16" s="6">
        <v>36.591865992</v>
      </c>
      <c r="G16" s="6">
        <v>47.281458048</v>
      </c>
      <c r="H16" s="6">
        <v>57.892035168</v>
      </c>
      <c r="I16" s="6">
        <v>68.423597352</v>
      </c>
      <c r="J16" s="6">
        <v>78.8761446</v>
      </c>
      <c r="K16" s="6">
        <v>89.249676912</v>
      </c>
      <c r="L16" s="6">
        <v>99.544194288</v>
      </c>
      <c r="M16" s="6">
        <v>109.759696728</v>
      </c>
      <c r="N16" s="6">
        <v>119.896184232</v>
      </c>
      <c r="O16" s="6">
        <v>129.9536568</v>
      </c>
      <c r="P16" s="6">
        <v>139.932114432</v>
      </c>
      <c r="Q16" s="6">
        <v>149.831557128</v>
      </c>
      <c r="R16" s="6">
        <v>159.651984888</v>
      </c>
      <c r="S16" s="6">
        <v>169.393397712</v>
      </c>
      <c r="T16" s="6">
        <v>179.0557956</v>
      </c>
      <c r="U16" s="6">
        <v>188.639178552</v>
      </c>
      <c r="V16" s="6">
        <v>198.143546568</v>
      </c>
      <c r="W16" s="6">
        <v>207.568899648</v>
      </c>
      <c r="X16" s="6">
        <v>216.915237792</v>
      </c>
      <c r="Y16" s="6">
        <v>226.182561</v>
      </c>
      <c r="Z16" s="6">
        <v>235.370869272</v>
      </c>
      <c r="AA16" s="6">
        <v>244.480162608</v>
      </c>
      <c r="AC16" s="16" t="s">
        <v>140</v>
      </c>
      <c r="AD16" s="17">
        <v>1200</v>
      </c>
      <c r="AE16" s="18" t="s">
        <v>56</v>
      </c>
      <c r="AF16" s="19"/>
      <c r="AG16" s="19"/>
    </row>
    <row r="17" s="1" customFormat="1" ht="24.9" customHeight="1" spans="1:32">
      <c r="A17" s="8"/>
      <c r="B17" s="4" t="s">
        <v>137</v>
      </c>
      <c r="C17" s="6">
        <v>8.1559764</v>
      </c>
      <c r="D17" s="6">
        <v>14.975637072</v>
      </c>
      <c r="E17" s="6">
        <v>32.303259</v>
      </c>
      <c r="F17" s="6">
        <v>49.551865992</v>
      </c>
      <c r="G17" s="6">
        <v>66.721458048</v>
      </c>
      <c r="H17" s="6">
        <v>83.812035168</v>
      </c>
      <c r="I17" s="6">
        <v>100.823597352</v>
      </c>
      <c r="J17" s="6">
        <v>117.7561446</v>
      </c>
      <c r="K17" s="6">
        <v>134.609676912</v>
      </c>
      <c r="L17" s="6">
        <v>151.384194288</v>
      </c>
      <c r="M17" s="6">
        <v>168.079696728</v>
      </c>
      <c r="N17" s="6">
        <v>184.696184232</v>
      </c>
      <c r="O17" s="6">
        <v>201.2336568</v>
      </c>
      <c r="P17" s="6">
        <v>217.692114432</v>
      </c>
      <c r="Q17" s="6">
        <v>234.071557128</v>
      </c>
      <c r="R17" s="6">
        <v>250.371984888</v>
      </c>
      <c r="S17" s="6">
        <v>266.593397712</v>
      </c>
      <c r="T17" s="6">
        <v>282.7357956</v>
      </c>
      <c r="U17" s="6">
        <v>292.319178552</v>
      </c>
      <c r="V17" s="6">
        <v>301.823546568</v>
      </c>
      <c r="W17" s="6">
        <v>311.248899648</v>
      </c>
      <c r="X17" s="6">
        <v>320.595237792</v>
      </c>
      <c r="Y17" s="6">
        <v>329.862561</v>
      </c>
      <c r="Z17" s="6">
        <v>339.050869272</v>
      </c>
      <c r="AA17" s="6">
        <v>348.160162608</v>
      </c>
      <c r="AC17" s="20" t="s">
        <v>141</v>
      </c>
      <c r="AD17" s="21">
        <v>2.2</v>
      </c>
      <c r="AE17" s="21">
        <v>2</v>
      </c>
      <c r="AF17" s="21">
        <v>1.8</v>
      </c>
    </row>
    <row r="18" s="1" customFormat="1" ht="24.9" customHeight="1" spans="1:32">
      <c r="A18" s="7" t="s">
        <v>142</v>
      </c>
      <c r="B18" s="4" t="s">
        <v>133</v>
      </c>
      <c r="C18" s="6">
        <v>265.693545541184</v>
      </c>
      <c r="D18" s="6">
        <v>248.457243755132</v>
      </c>
      <c r="E18" s="6">
        <v>66.3364227761053</v>
      </c>
      <c r="F18" s="6">
        <v>64.0749538178289</v>
      </c>
      <c r="G18" s="6">
        <v>61.8134848595526</v>
      </c>
      <c r="H18" s="6">
        <v>59.5520159012763</v>
      </c>
      <c r="I18" s="6">
        <v>57.290546943</v>
      </c>
      <c r="J18" s="6">
        <v>55.0290779847237</v>
      </c>
      <c r="K18" s="6">
        <v>75.3822986092105</v>
      </c>
      <c r="L18" s="6">
        <v>73.1208296509342</v>
      </c>
      <c r="M18" s="6">
        <v>70.8593606926579</v>
      </c>
      <c r="N18" s="6">
        <v>68.5978917343816</v>
      </c>
      <c r="O18" s="6">
        <v>66.3364227761053</v>
      </c>
      <c r="P18" s="6">
        <v>64.0749538178289</v>
      </c>
      <c r="Q18" s="6">
        <v>61.8134848595526</v>
      </c>
      <c r="R18" s="6">
        <v>59.5520159012763</v>
      </c>
      <c r="S18" s="6">
        <v>57.290546943</v>
      </c>
      <c r="T18" s="6">
        <v>55.0290779847237</v>
      </c>
      <c r="U18" s="6">
        <v>94.5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C18" s="16" t="s">
        <v>143</v>
      </c>
      <c r="AD18" s="22">
        <v>4.5</v>
      </c>
      <c r="AE18" s="22">
        <v>4.2</v>
      </c>
      <c r="AF18" s="22">
        <v>3.5</v>
      </c>
    </row>
    <row r="19" s="1" customFormat="1" ht="24.9" customHeight="1" spans="1:32">
      <c r="A19" s="8"/>
      <c r="B19" s="4" t="s">
        <v>134</v>
      </c>
      <c r="C19" s="6">
        <v>265.693545541184</v>
      </c>
      <c r="D19" s="6">
        <v>514.150789296316</v>
      </c>
      <c r="E19" s="6">
        <v>580.487212072421</v>
      </c>
      <c r="F19" s="6">
        <v>644.56216589025</v>
      </c>
      <c r="G19" s="6">
        <v>706.375650749803</v>
      </c>
      <c r="H19" s="6">
        <v>765.927666651079</v>
      </c>
      <c r="I19" s="6">
        <v>823.218213594079</v>
      </c>
      <c r="J19" s="6">
        <v>878.247291578803</v>
      </c>
      <c r="K19" s="6">
        <v>953.629590188013</v>
      </c>
      <c r="L19" s="6">
        <v>1026.75041983895</v>
      </c>
      <c r="M19" s="6">
        <v>1097.60978053161</v>
      </c>
      <c r="N19" s="6">
        <v>1166.20767226599</v>
      </c>
      <c r="O19" s="6">
        <v>1232.54409504209</v>
      </c>
      <c r="P19" s="6">
        <v>1296.61904885992</v>
      </c>
      <c r="Q19" s="6">
        <v>1358.43253371947</v>
      </c>
      <c r="R19" s="6">
        <v>1417.98454962075</v>
      </c>
      <c r="S19" s="6">
        <v>1475.27509656375</v>
      </c>
      <c r="T19" s="6">
        <v>1530.30417454847</v>
      </c>
      <c r="U19" s="6">
        <v>1624.80417454847</v>
      </c>
      <c r="V19" s="6">
        <v>1624.80417454847</v>
      </c>
      <c r="W19" s="6">
        <v>1624.80417454847</v>
      </c>
      <c r="X19" s="6">
        <v>1624.80417454847</v>
      </c>
      <c r="Y19" s="6">
        <v>1624.80417454847</v>
      </c>
      <c r="Z19" s="6">
        <v>1624.80417454847</v>
      </c>
      <c r="AA19" s="6">
        <v>1624.80417454847</v>
      </c>
      <c r="AC19" s="16" t="s">
        <v>144</v>
      </c>
      <c r="AD19" s="19">
        <v>693</v>
      </c>
      <c r="AE19" s="19">
        <v>630</v>
      </c>
      <c r="AF19" s="19">
        <v>567</v>
      </c>
    </row>
    <row r="20" s="1" customFormat="1" ht="24.9" customHeight="1" spans="1:32">
      <c r="A20" s="8"/>
      <c r="B20" s="4" t="s">
        <v>135</v>
      </c>
      <c r="C20" s="6">
        <v>73.4037876</v>
      </c>
      <c r="D20" s="6">
        <v>61.376946048</v>
      </c>
      <c r="E20" s="6">
        <v>97.628597352</v>
      </c>
      <c r="F20" s="6">
        <v>96.917462928</v>
      </c>
      <c r="G20" s="6">
        <v>96.206328504</v>
      </c>
      <c r="H20" s="6">
        <v>95.49519408</v>
      </c>
      <c r="I20" s="6">
        <v>94.784059656</v>
      </c>
      <c r="J20" s="6">
        <v>94.072925232</v>
      </c>
      <c r="K20" s="6">
        <v>93.361790808</v>
      </c>
      <c r="L20" s="6">
        <v>92.650656384</v>
      </c>
      <c r="M20" s="6">
        <v>91.93952196</v>
      </c>
      <c r="N20" s="6">
        <v>91.228387536</v>
      </c>
      <c r="O20" s="6">
        <v>90.517253112</v>
      </c>
      <c r="P20" s="6">
        <v>89.806118688</v>
      </c>
      <c r="Q20" s="6">
        <v>89.094984264</v>
      </c>
      <c r="R20" s="6">
        <v>88.38384984</v>
      </c>
      <c r="S20" s="6">
        <v>87.672715416</v>
      </c>
      <c r="T20" s="6">
        <v>86.961580992</v>
      </c>
      <c r="U20" s="6">
        <v>86.250446568</v>
      </c>
      <c r="V20" s="6">
        <v>85.539312144</v>
      </c>
      <c r="W20" s="6">
        <v>84.82817772</v>
      </c>
      <c r="X20" s="6">
        <v>84.117043296</v>
      </c>
      <c r="Y20" s="6">
        <v>83.405908872</v>
      </c>
      <c r="Z20" s="6">
        <v>82.694774448</v>
      </c>
      <c r="AA20" s="6">
        <v>81.983640024</v>
      </c>
      <c r="AC20" s="16" t="s">
        <v>145</v>
      </c>
      <c r="AD20" s="19">
        <v>540</v>
      </c>
      <c r="AE20" s="19">
        <v>504</v>
      </c>
      <c r="AF20" s="19">
        <v>420</v>
      </c>
    </row>
    <row r="21" s="1" customFormat="1" ht="24.9" customHeight="1" spans="1:32">
      <c r="A21" s="8"/>
      <c r="B21" s="4" t="s">
        <v>136</v>
      </c>
      <c r="C21" s="6">
        <v>73.4037876</v>
      </c>
      <c r="D21" s="6">
        <v>134.780733648</v>
      </c>
      <c r="E21" s="6">
        <v>232.409331</v>
      </c>
      <c r="F21" s="6">
        <v>329.326793928</v>
      </c>
      <c r="G21" s="6">
        <v>425.533122432</v>
      </c>
      <c r="H21" s="6">
        <v>521.028316512</v>
      </c>
      <c r="I21" s="6">
        <v>615.812376168</v>
      </c>
      <c r="J21" s="6">
        <v>709.8853014</v>
      </c>
      <c r="K21" s="6">
        <v>803.247092208</v>
      </c>
      <c r="L21" s="6">
        <v>895.897748592</v>
      </c>
      <c r="M21" s="6">
        <v>987.837270552</v>
      </c>
      <c r="N21" s="6">
        <v>1079.065658088</v>
      </c>
      <c r="O21" s="6">
        <v>1169.5829112</v>
      </c>
      <c r="P21" s="6">
        <v>1259.389029888</v>
      </c>
      <c r="Q21" s="6">
        <v>1348.484014152</v>
      </c>
      <c r="R21" s="6">
        <v>1436.867863992</v>
      </c>
      <c r="S21" s="6">
        <v>1524.540579408</v>
      </c>
      <c r="T21" s="6">
        <v>1611.5021604</v>
      </c>
      <c r="U21" s="6">
        <v>1697.752606968</v>
      </c>
      <c r="V21" s="6">
        <v>1783.291919112</v>
      </c>
      <c r="W21" s="6">
        <v>1868.120096832</v>
      </c>
      <c r="X21" s="6">
        <v>1952.237140128</v>
      </c>
      <c r="Y21" s="6">
        <v>2035.643049</v>
      </c>
      <c r="Z21" s="6">
        <v>2118.337823448</v>
      </c>
      <c r="AA21" s="6">
        <v>2200.321463472</v>
      </c>
      <c r="AC21" s="16" t="s">
        <v>146</v>
      </c>
      <c r="AD21" s="19">
        <v>1233</v>
      </c>
      <c r="AE21" s="19">
        <v>1134</v>
      </c>
      <c r="AF21" s="19">
        <v>987</v>
      </c>
    </row>
    <row r="22" s="1" customFormat="1" ht="24.9" customHeight="1" spans="1:27">
      <c r="A22" s="8"/>
      <c r="B22" s="4" t="s">
        <v>137</v>
      </c>
      <c r="C22" s="6">
        <v>339.097333141184</v>
      </c>
      <c r="D22" s="6">
        <v>648.931522944316</v>
      </c>
      <c r="E22" s="6">
        <v>812.896543072421</v>
      </c>
      <c r="F22" s="6">
        <v>973.88895981825</v>
      </c>
      <c r="G22" s="6">
        <v>1131.9087731818</v>
      </c>
      <c r="H22" s="6">
        <v>1286.95598316308</v>
      </c>
      <c r="I22" s="6">
        <v>1439.03058976208</v>
      </c>
      <c r="J22" s="6">
        <v>1588.1325929788</v>
      </c>
      <c r="K22" s="6">
        <v>1756.87668239601</v>
      </c>
      <c r="L22" s="6">
        <v>1922.64816843095</v>
      </c>
      <c r="M22" s="6">
        <v>2085.44705108361</v>
      </c>
      <c r="N22" s="6">
        <v>2245.27333035399</v>
      </c>
      <c r="O22" s="6">
        <v>2402.12700624209</v>
      </c>
      <c r="P22" s="6">
        <v>2556.00807874792</v>
      </c>
      <c r="Q22" s="6">
        <v>2706.91654787147</v>
      </c>
      <c r="R22" s="6">
        <v>2854.85241361275</v>
      </c>
      <c r="S22" s="6">
        <v>2999.81567597175</v>
      </c>
      <c r="T22" s="6">
        <v>3141.80633494847</v>
      </c>
      <c r="U22" s="6">
        <v>3322.55678151647</v>
      </c>
      <c r="V22" s="6">
        <v>3408.09609366047</v>
      </c>
      <c r="W22" s="6">
        <v>3492.92427138047</v>
      </c>
      <c r="X22" s="6">
        <v>3577.04131467647</v>
      </c>
      <c r="Y22" s="6">
        <v>3660.44722354847</v>
      </c>
      <c r="Z22" s="6">
        <v>3743.14199799647</v>
      </c>
      <c r="AA22" s="6">
        <v>3825.12563802047</v>
      </c>
    </row>
    <row r="23" s="1" customFormat="1" ht="24.9" customHeight="1" spans="1:27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="1" customFormat="1" ht="24.9" customHeight="1" spans="1:27">
      <c r="A24" s="9"/>
      <c r="B24" s="11" t="s">
        <v>147</v>
      </c>
      <c r="C24" s="12">
        <v>0.9</v>
      </c>
      <c r="D24" s="6" t="s">
        <v>148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="1" customFormat="1" ht="24.9" customHeight="1" spans="1:27">
      <c r="A25" s="9"/>
      <c r="B25" s="11" t="s">
        <v>149</v>
      </c>
      <c r="C25" s="12">
        <v>0</v>
      </c>
      <c r="D25" s="6" t="s">
        <v>150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="1" customFormat="1" ht="24.9" customHeight="1" spans="1:27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="1" customFormat="1" spans="1:27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="1" customFormat="1" spans="1:27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="1" customFormat="1" ht="15" spans="2:17">
      <c r="B29" s="13" t="s">
        <v>151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="1" customFormat="1" ht="15" spans="2:17"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="1" customFormat="1" ht="15" spans="2:17"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="1" customFormat="1" ht="15" spans="2:17"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="1" customFormat="1" ht="15" spans="2:17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="1" customFormat="1" ht="15" spans="2:17"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="1" customFormat="1" ht="15" spans="2:17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="1" customFormat="1" ht="15" spans="2:17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="1" customFormat="1" ht="15" spans="2:17"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="1" customFormat="1" ht="15" spans="2:17"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="1" customFormat="1" ht="15" spans="2:17"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="1" customFormat="1" ht="15" spans="2:17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="1" customFormat="1" ht="15" spans="2:17"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="1" customFormat="1" ht="15" spans="2:17">
      <c r="B42" s="13"/>
      <c r="C42" s="14"/>
      <c r="D42" s="14"/>
      <c r="E42" s="14"/>
      <c r="F42" s="14"/>
      <c r="G42" s="14"/>
      <c r="H42" s="15"/>
      <c r="I42" s="14"/>
      <c r="J42" s="14"/>
      <c r="K42" s="14"/>
      <c r="L42" s="14"/>
      <c r="M42" s="14"/>
      <c r="N42" s="14"/>
      <c r="O42" s="14"/>
      <c r="P42" s="14"/>
      <c r="Q42" s="14"/>
    </row>
    <row r="43" s="1" customFormat="1" ht="15" spans="2:17"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</sheetData>
  <mergeCells count="10">
    <mergeCell ref="A1:AA1"/>
    <mergeCell ref="A2:B2"/>
    <mergeCell ref="A3:B3"/>
    <mergeCell ref="A4:B4"/>
    <mergeCell ref="A5:B5"/>
    <mergeCell ref="A6:B6"/>
    <mergeCell ref="A7:B7"/>
    <mergeCell ref="A8:A12"/>
    <mergeCell ref="A13:A17"/>
    <mergeCell ref="A18:A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表1-电网电价计费</vt:lpstr>
      <vt:lpstr>表2-用电数据统计1500</vt:lpstr>
      <vt:lpstr>表3-用电数据统计500</vt:lpstr>
      <vt:lpstr>表4-储能电站收益分析</vt:lpstr>
      <vt:lpstr>表5-光伏电站收益分析</vt:lpstr>
      <vt:lpstr>表6-光储综合收益分析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北极星学社小助手</cp:lastModifiedBy>
  <dcterms:created xsi:type="dcterms:W3CDTF">2022-07-27T01:44:00Z</dcterms:created>
  <dcterms:modified xsi:type="dcterms:W3CDTF">2022-07-27T03:29:54Z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677E34385A444C82970A502D7DD2B7C7</vt:lpwstr>
  </property>
  <property fmtid="{D5CDD505-2E9C-101B-9397-08002B2CF9AE}" pid="3" name="KSOProductBuildVer">
    <vt:lpwstr>2052-11.1.0.11875</vt:lpwstr>
  </property>
</Properties>
</file>